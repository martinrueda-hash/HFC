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ettings" sheetId="2" state="visible" r:id="rId4"/>
    <sheet name="Oxford Economics" sheetId="3" state="visible" r:id="rId5"/>
    <sheet name="Raw data" sheetId="4" state="visible" r:id="rId6"/>
    <sheet name="Market levels" sheetId="5" state="visible" r:id="rId7"/>
    <sheet name="Dashboard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Short code (optional)</t>
        </r>
      </text>
    </comment>
    <comment ref="C5" authorId="0">
      <text>
        <r>
          <rPr>
            <sz val="10"/>
            <rFont val="Arial"/>
            <family val="2"/>
          </rPr>
          <t xml:space="preserve">Residential, or Commercial (commercial + healthcare + multi family)</t>
        </r>
      </text>
    </comment>
    <comment ref="D5" authorId="0">
      <text>
        <r>
          <rPr>
            <sz val="10"/>
            <rFont val="Arial"/>
            <family val="2"/>
          </rPr>
          <t xml:space="preserve">Location name exactly as in the Oxford Economics export</t>
        </r>
      </text>
    </comment>
    <comment ref="E5" authorId="0">
      <text>
        <r>
          <rPr>
            <sz val="10"/>
            <rFont val="Arial"/>
            <family val="2"/>
          </rPr>
          <t xml:space="preserve">HFC addressable market in the base year (your estimate, not total construction output)</t>
        </r>
      </text>
    </comment>
    <comment ref="F5" authorId="0">
      <text>
        <r>
          <rPr>
            <sz val="10"/>
            <rFont val="Arial"/>
            <family val="2"/>
          </rPr>
          <t xml:space="preserve">From Market levels (Oxford Economics, 2023 prices)</t>
        </r>
      </text>
    </comment>
    <comment ref="G5" authorId="0">
      <text>
        <r>
          <rPr>
            <sz val="10"/>
            <rFont val="Arial"/>
            <family val="2"/>
          </rPr>
          <t xml:space="preserve">From Market levels: needs the export to include the start year</t>
        </r>
      </text>
    </comment>
    <comment ref="H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I5" authorId="0">
      <text>
        <r>
          <rPr>
            <sz val="10"/>
            <rFont val="Arial"/>
            <family val="2"/>
          </rPr>
          <t xml:space="preserve">From Market levels</t>
        </r>
      </text>
    </comment>
    <comment ref="J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K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L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M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N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O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P5" authorId="0">
      <text>
        <r>
          <rPr>
            <sz val="10"/>
            <rFont val="Arial"/>
            <family val="2"/>
          </rPr>
          <t xml:space="preserve">From Market levels (Oxford Economics)</t>
        </r>
      </text>
    </comment>
    <comment ref="Q5" authorId="0">
      <text>
        <r>
          <rPr>
            <sz val="10"/>
            <rFont val="Arial"/>
            <family val="2"/>
          </rPr>
          <t xml:space="preserve">Actual sales in the base year</t>
        </r>
      </text>
    </comment>
    <comment ref="T5" authorId="0">
      <text>
        <r>
          <rPr>
            <sz val="10"/>
            <rFont val="Arial"/>
            <family val="2"/>
          </rPr>
          <t xml:space="preserve">Business plan</t>
        </r>
      </text>
    </comment>
    <comment ref="U5" authorId="0">
      <text>
        <r>
          <rPr>
            <sz val="10"/>
            <rFont val="Arial"/>
            <family val="2"/>
          </rPr>
          <t xml:space="preserve">Leave empty to use HFC sales / addressable market</t>
        </r>
      </text>
    </comment>
    <comment ref="V5" authorId="0">
      <text>
        <r>
          <rPr>
            <sz val="10"/>
            <rFont val="Arial"/>
            <family val="2"/>
          </rPr>
          <t xml:space="preserve">Leave empty to grow sales and market by their current-year growth</t>
        </r>
      </text>
    </comment>
    <comment ref="W5" authorId="0">
      <text>
        <r>
          <rPr>
            <sz val="10"/>
            <rFont val="Arial"/>
            <family val="2"/>
          </rPr>
          <t xml:space="preserve">1-5 score: price level and margin potential of the market (5 = best)</t>
        </r>
      </text>
    </comment>
    <comment ref="X5" authorId="0">
      <text>
        <r>
          <rPr>
            <sz val="10"/>
            <rFont val="Arial"/>
            <family val="2"/>
          </rPr>
          <t xml:space="preserve">1-5 score: 5 = benign competition, 1 = very fierce</t>
        </r>
      </text>
    </comment>
    <comment ref="Y5" authorId="0">
      <text>
        <r>
          <rPr>
            <sz val="10"/>
            <rFont val="Arial"/>
            <family val="2"/>
          </rPr>
          <t xml:space="preserve">1-5 score: HFC access to distributors, installers, specifiers</t>
        </r>
      </text>
    </comment>
    <comment ref="Z5" authorId="0">
      <text>
        <r>
          <rPr>
            <sz val="10"/>
            <rFont val="Arial"/>
            <family val="2"/>
          </rPr>
          <t xml:space="preserve">1-5 score: fit of the HFC range with local norms and demand</t>
        </r>
      </text>
    </comment>
  </commentList>
</comments>
</file>

<file path=xl/sharedStrings.xml><?xml version="1.0" encoding="utf-8"?>
<sst xmlns="http://schemas.openxmlformats.org/spreadsheetml/2006/main" count="3511" uniqueCount="259">
  <si>
    <t xml:space="preserve">Market intelligence Dashboard - data template</t>
  </si>
  <si>
    <t xml:space="preserve">Update the blue cells, save, and upload the file in the dashboard</t>
  </si>
  <si>
    <t xml:space="preserve">How to update the dashboard</t>
  </si>
  <si>
    <t xml:space="preserve">1</t>
  </si>
  <si>
    <t xml:space="preserve">Oxford Economics: paste the latest download (level values) at cell A6, header row included. Market growth for every country updates automatically.</t>
  </si>
  <si>
    <t xml:space="preserve">2</t>
  </si>
  <si>
    <t xml:space="preserve">Raw data: one row per country and end market. Update the blue cells: addressable market, HFC sales and growth, and the four 1-5 scores.</t>
  </si>
  <si>
    <t xml:space="preserve">3</t>
  </si>
  <si>
    <t xml:space="preserve">Settings: check the company name, the current year and the Oxford Economics series names. Weights and zone lines are set in the dashboard.</t>
  </si>
  <si>
    <t xml:space="preserve">4</t>
  </si>
  <si>
    <t xml:space="preserve">Dashboard data: nothing to type. Check that every country appears and that the check column shows no red cells.</t>
  </si>
  <si>
    <t xml:space="preserve">5</t>
  </si>
  <si>
    <t xml:space="preserve">Save the file (.xlsx), open the dashboard, go to 'Update the figures' and click 'Upload Excel'.</t>
  </si>
  <si>
    <t xml:space="preserve">How the market figures are built</t>
  </si>
  <si>
    <t xml:space="preserve">End markets</t>
  </si>
  <si>
    <t xml:space="preserve">Residential = Oxford Economics 'Residential - Total' minus 'Multi Family'. Commercial = 'Non-Residential Building - Commercial' plus healthcare (if set in Settings) plus 'Multi Family'. Each is built for New and Renovation; total = both.</t>
  </si>
  <si>
    <t xml:space="preserve">Market levels</t>
  </si>
  <si>
    <t xml:space="preserve">Shows the resulting construction work done per country, end market and year (US$ m, 2023 prices).</t>
  </si>
  <si>
    <t xml:space="preserve">Growth rates</t>
  </si>
  <si>
    <t xml:space="preserve">CAGR last 5 years = (base year / base year - 5)^(1/5) - 1. Growth this year = current year / base year - 1. CAGR next 5 years = (current year + 5 / current year)^(1/5) - 1.</t>
  </si>
  <si>
    <t xml:space="preserve">History</t>
  </si>
  <si>
    <t xml:space="preserve">The 5-year history needs the export to start 6 years before the current year (e.g. 2020 for 2026). With a shorter export it stays empty.</t>
  </si>
  <si>
    <t xml:space="preserve">Series names</t>
  </si>
  <si>
    <t xml:space="preserve">If Oxford Economics renames a series, update its name in Settings; everything else follows.</t>
  </si>
  <si>
    <t xml:space="preserve">Addressable market</t>
  </si>
  <si>
    <t xml:space="preserve">Your estimate of the HFC addressable market in EUR m (not total construction output). Used for market size and market share.</t>
  </si>
  <si>
    <t xml:space="preserve">Renovation / new build</t>
  </si>
  <si>
    <t xml:space="preserve">Calculated from the New and Renovation series: renovation share of the base year and the same three growth rates for each.</t>
  </si>
  <si>
    <t xml:space="preserve">Qualitative scores</t>
  </si>
  <si>
    <t xml:space="preserve">Profitability, competitive intensity, channel access and product fit: type a whole score from 1 to 5 (5 = most favourable for HFC).</t>
  </si>
  <si>
    <t xml:space="preserve">Conventions</t>
  </si>
  <si>
    <t xml:space="preserve">Blue cells</t>
  </si>
  <si>
    <t xml:space="preserve">Inputs: type or paste your figures here.</t>
  </si>
  <si>
    <t xml:space="preserve">Green cells</t>
  </si>
  <si>
    <t xml:space="preserve">Formulas: do not overwrite.</t>
  </si>
  <si>
    <t xml:space="preserve">Percentages</t>
  </si>
  <si>
    <t xml:space="preserve">Type them as percentages (3.2%) or decimals (0.032). Growth rates can be negative.</t>
  </si>
  <si>
    <t xml:space="preserve">Rows</t>
  </si>
  <si>
    <t xml:space="preserve">Room for 60 rows in Raw data (for example 30 countries x 2 end markets). Empty rows are ignored.</t>
  </si>
  <si>
    <t xml:space="preserve">Market growth is real Oxford Economics data. Addressable market, HFC figures and qualitative scores in the sample rows are illustrative, not HFC data.</t>
  </si>
  <si>
    <t xml:space="preserve">Settings</t>
  </si>
  <si>
    <t xml:space="preserve">Company, year and Oxford Economics series. Matrix weights and zone lines are set in the dashboard.</t>
  </si>
  <si>
    <t xml:space="preserve">Setting</t>
  </si>
  <si>
    <t xml:space="preserve">Value</t>
  </si>
  <si>
    <t xml:space="preserve">Key (used by the dashboard, do not edit)</t>
  </si>
  <si>
    <t xml:space="preserve">Notes</t>
  </si>
  <si>
    <t xml:space="preserve">General</t>
  </si>
  <si>
    <t xml:space="preserve">Company name</t>
  </si>
  <si>
    <t xml:space="preserve">HFC</t>
  </si>
  <si>
    <t xml:space="preserve">company</t>
  </si>
  <si>
    <t xml:space="preserve">Shown in column headers and labels</t>
  </si>
  <si>
    <t xml:space="preserve">Current year</t>
  </si>
  <si>
    <t xml:space="preserve">currentYear</t>
  </si>
  <si>
    <t xml:space="preserve">Base year = current year - 1 (sizes and sales); history = 5 years to the base year; outlook = current year + 5</t>
  </si>
  <si>
    <t xml:space="preserve">Currency label</t>
  </si>
  <si>
    <t xml:space="preserve">EUR m</t>
  </si>
  <si>
    <t xml:space="preserve">currency</t>
  </si>
  <si>
    <t xml:space="preserve">Unit of addressable market size and HFC sales</t>
  </si>
  <si>
    <t xml:space="preserve">Oxford Economics series (Indicator column of the export)</t>
  </si>
  <si>
    <t xml:space="preserve">Residential total - new</t>
  </si>
  <si>
    <t xml:space="preserve">Work Done - Residential - Total - New</t>
  </si>
  <si>
    <t xml:space="preserve">oe.res_total_new</t>
  </si>
  <si>
    <t xml:space="preserve">Residential = Residential total - Multi family (new and renovation separately)</t>
  </si>
  <si>
    <t xml:space="preserve">Residential total - renovation</t>
  </si>
  <si>
    <t xml:space="preserve">Work Done - Residential - Total - Renovation</t>
  </si>
  <si>
    <t xml:space="preserve">oe.res_total_reno</t>
  </si>
  <si>
    <t xml:space="preserve">Multi family - new</t>
  </si>
  <si>
    <t xml:space="preserve">Work Done - Residential - Multi Family - New</t>
  </si>
  <si>
    <t xml:space="preserve">oe.res_mf_new</t>
  </si>
  <si>
    <t xml:space="preserve">Multi family is counted in Commercial</t>
  </si>
  <si>
    <t xml:space="preserve">Multi family - renovation</t>
  </si>
  <si>
    <t xml:space="preserve">Work Done - Residential - Multi Family - Renovation</t>
  </si>
  <si>
    <t xml:space="preserve">oe.res_mf_reno</t>
  </si>
  <si>
    <t xml:space="preserve">Commercial - new</t>
  </si>
  <si>
    <t xml:space="preserve">Work Done - Non-Residential Building - Commercial - New</t>
  </si>
  <si>
    <t xml:space="preserve">oe.com_new</t>
  </si>
  <si>
    <t xml:space="preserve">Commercial end market = Commercial + Healthcare + Multi family (commercial already includes offices, retail and hotels)</t>
  </si>
  <si>
    <t xml:space="preserve">Commercial - renovation</t>
  </si>
  <si>
    <t xml:space="preserve">Work Done - Non-Residential Building - Commercial - Renovation</t>
  </si>
  <si>
    <t xml:space="preserve">oe.com_reno</t>
  </si>
  <si>
    <t xml:space="preserve">Healthcare - new (optional)</t>
  </si>
  <si>
    <t xml:space="preserve">oe.health_new</t>
  </si>
  <si>
    <t xml:space="preserve">Optional: type the exact Indicator name from the export; it is added to Commercial. Empty = not included</t>
  </si>
  <si>
    <t xml:space="preserve">Healthcare - renovation (optional)</t>
  </si>
  <si>
    <t xml:space="preserve">oe.health_reno</t>
  </si>
  <si>
    <t xml:space="preserve">Oxford Economics</t>
  </si>
  <si>
    <t xml:space="preserve">Paste the full Oxford Economics download here, header row in row 6 (cell A6). Level values, any years.</t>
  </si>
  <si>
    <t xml:space="preserve">To update: select A6, paste the new export (all columns, header row included) over the old one, and delete any leftover rows below. Columns needed: Location, Indicator and one column per year. Nothing else to change.</t>
  </si>
  <si>
    <t xml:space="preserve">Current data: Oxecon_download_-_9_October_2026_split.xlsx</t>
  </si>
  <si>
    <t xml:space="preserve">Location</t>
  </si>
  <si>
    <t xml:space="preserve">Indicator</t>
  </si>
  <si>
    <t xml:space="preserve">Units</t>
  </si>
  <si>
    <t xml:space="preserve">Scale</t>
  </si>
  <si>
    <t xml:space="preserve">Measurement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</si>
  <si>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</si>
  <si>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</si>
  <si>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</si>
  <si>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</si>
  <si>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</si>
  <si>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</si>
  <si>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</si>
  <si>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</si>
  <si>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</si>
  <si>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</si>
  <si>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</si>
  <si>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</si>
  <si>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</si>
  <si>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</si>
  <si>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</si>
  <si>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Source</t>
  </si>
  <si>
    <t xml:space="preserve">Seasonally adjusted</t>
  </si>
  <si>
    <t xml:space="preserve">Base year price</t>
  </si>
  <si>
    <t xml:space="preserve">Base year index</t>
  </si>
  <si>
    <t xml:space="preserve">Historical end</t>
  </si>
  <si>
    <t xml:space="preserve">Date of last update</t>
  </si>
  <si>
    <t xml:space="preserve">Source details</t>
  </si>
  <si>
    <t xml:space="preserve">Additional source details</t>
  </si>
  <si>
    <t xml:space="preserve">Contact email</t>
  </si>
  <si>
    <t xml:space="preserve">Location code</t>
  </si>
  <si>
    <t xml:space="preserve">Indicator code</t>
  </si>
  <si>
    <t xml:space="preserve">Austria</t>
  </si>
  <si>
    <t xml:space="preserve">Work Done - Non-Residential Building - Hotels - Renovation</t>
  </si>
  <si>
    <t xml:space="preserve">US$</t>
  </si>
  <si>
    <t xml:space="preserve">Millions: 2023 prices</t>
  </si>
  <si>
    <t xml:space="preserve">Level values</t>
  </si>
  <si>
    <t xml:space="preserve">No</t>
  </si>
  <si>
    <t xml:space="preserve">08-October-2026</t>
  </si>
  <si>
    <t xml:space="preserve">Euroconstruct / Eurostat / Oxford Economics</t>
  </si>
  <si>
    <t xml:space="preserve">NA</t>
  </si>
  <si>
    <t xml:space="preserve">nfearnley@oxfordeconomics.com</t>
  </si>
  <si>
    <t xml:space="preserve">AUT</t>
  </si>
  <si>
    <t xml:space="preserve">WDNCHO_RT$</t>
  </si>
  <si>
    <t xml:space="preserve">Work Done - Non-Residential Building - Retail - New</t>
  </si>
  <si>
    <t xml:space="preserve">WDNCRE_NT$</t>
  </si>
  <si>
    <t xml:space="preserve">Work Done - Non-Residential Building - Retail - Renovation</t>
  </si>
  <si>
    <t xml:space="preserve">WDNCRE_RT$</t>
  </si>
  <si>
    <t xml:space="preserve">Work Done - Non-Residential Building - Offices - New</t>
  </si>
  <si>
    <t xml:space="preserve">WDNCOF_NT$</t>
  </si>
  <si>
    <t xml:space="preserve">WDRALL_NT$</t>
  </si>
  <si>
    <t xml:space="preserve">Work Done - Non-Residential Building - Offices - Renovation</t>
  </si>
  <si>
    <t xml:space="preserve">WDNCOF_RT$</t>
  </si>
  <si>
    <t xml:space="preserve">WDRMUL_NT$</t>
  </si>
  <si>
    <t xml:space="preserve">WDRALL_RT$</t>
  </si>
  <si>
    <t xml:space="preserve">WDNCTT_NT$</t>
  </si>
  <si>
    <t xml:space="preserve">WDRMUL_RT$</t>
  </si>
  <si>
    <t xml:space="preserve">WDNCTT_RT$</t>
  </si>
  <si>
    <t xml:space="preserve">Work Done - Non-Residential Building - Hotels - New</t>
  </si>
  <si>
    <t xml:space="preserve">WDNCHO_NT$</t>
  </si>
  <si>
    <t xml:space="preserve">Belgium</t>
  </si>
  <si>
    <t xml:space="preserve">BEL</t>
  </si>
  <si>
    <t xml:space="preserve">Switzerland</t>
  </si>
  <si>
    <t xml:space="preserve">CHE</t>
  </si>
  <si>
    <t xml:space="preserve">Czech Republic</t>
  </si>
  <si>
    <t xml:space="preserve">CZE</t>
  </si>
  <si>
    <t xml:space="preserve">Germany</t>
  </si>
  <si>
    <t xml:space="preserve">DEU</t>
  </si>
  <si>
    <t xml:space="preserve">Denmark</t>
  </si>
  <si>
    <t xml:space="preserve">DNK</t>
  </si>
  <si>
    <t xml:space="preserve">Spain</t>
  </si>
  <si>
    <t xml:space="preserve">ESP</t>
  </si>
  <si>
    <t xml:space="preserve">Finland</t>
  </si>
  <si>
    <t xml:space="preserve">FIN</t>
  </si>
  <si>
    <t xml:space="preserve">France</t>
  </si>
  <si>
    <t xml:space="preserve">FRA</t>
  </si>
  <si>
    <t xml:space="preserve">Hungary</t>
  </si>
  <si>
    <t xml:space="preserve">HUN</t>
  </si>
  <si>
    <t xml:space="preserve">Ireland</t>
  </si>
  <si>
    <t xml:space="preserve">IRL</t>
  </si>
  <si>
    <t xml:space="preserve">Italy</t>
  </si>
  <si>
    <t xml:space="preserve">ITA</t>
  </si>
  <si>
    <t xml:space="preserve">Netherlands</t>
  </si>
  <si>
    <t xml:space="preserve">NLD</t>
  </si>
  <si>
    <t xml:space="preserve">Norway</t>
  </si>
  <si>
    <t xml:space="preserve">NOR</t>
  </si>
  <si>
    <t xml:space="preserve">Poland</t>
  </si>
  <si>
    <t xml:space="preserve">POL</t>
  </si>
  <si>
    <t xml:space="preserve">Portugal</t>
  </si>
  <si>
    <t xml:space="preserve">PRT</t>
  </si>
  <si>
    <t xml:space="preserve">Slovak Republic</t>
  </si>
  <si>
    <t xml:space="preserve">SVK</t>
  </si>
  <si>
    <t xml:space="preserve">Sweden</t>
  </si>
  <si>
    <t xml:space="preserve">SWE</t>
  </si>
  <si>
    <t xml:space="preserve">United Kingdom</t>
  </si>
  <si>
    <t xml:space="preserve">GBR</t>
  </si>
  <si>
    <t xml:space="preserve">Raw data</t>
  </si>
  <si>
    <t xml:space="preserve">One row per country and end market. Blue cells are inputs; green cells are calculated from the Oxford Economics sheet.</t>
  </si>
  <si>
    <t xml:space="preserve">Market growth comes from Oxford Economics (green). Addressable market, HFC figures and scores in the sample rows are ILLUSTRATIVE: replace them with your own. Add countries in the empty rows.</t>
  </si>
  <si>
    <t xml:space="preserve">Country / end market</t>
  </si>
  <si>
    <t xml:space="preserve">Market (construction work done, Oxford Economics)</t>
  </si>
  <si>
    <t xml:space="preserve">Renovation / new build split (Oxford Economics)</t>
  </si>
  <si>
    <t xml:space="preserve">Qualitative scores (1-5, 5 = most favourable)</t>
  </si>
  <si>
    <t xml:space="preserve">Country</t>
  </si>
  <si>
    <t xml:space="preserve">Code</t>
  </si>
  <si>
    <t xml:space="preserve">End market</t>
  </si>
  <si>
    <t xml:space="preserve">Oxford Economics
location</t>
  </si>
  <si>
    <t xml:space="preserve">Renovation share
of market</t>
  </si>
  <si>
    <t xml:space="preserve">Profitability</t>
  </si>
  <si>
    <t xml:space="preserve">Competitive
intensity</t>
  </si>
  <si>
    <t xml:space="preserve">Channel
access</t>
  </si>
  <si>
    <t xml:space="preserve">Product
fit</t>
  </si>
  <si>
    <t xml:space="preserve">PL</t>
  </si>
  <si>
    <t xml:space="preserve">Residential</t>
  </si>
  <si>
    <t xml:space="preserve">Commercial</t>
  </si>
  <si>
    <t xml:space="preserve">CZ</t>
  </si>
  <si>
    <t xml:space="preserve">HU</t>
  </si>
  <si>
    <t xml:space="preserve">NL</t>
  </si>
  <si>
    <t xml:space="preserve">SE</t>
  </si>
  <si>
    <t xml:space="preserve">NO</t>
  </si>
  <si>
    <t xml:space="preserve">FI</t>
  </si>
  <si>
    <t xml:space="preserve">DK</t>
  </si>
  <si>
    <t xml:space="preserve">DE</t>
  </si>
  <si>
    <t xml:space="preserve">AT</t>
  </si>
  <si>
    <t xml:space="preserve">CH</t>
  </si>
  <si>
    <t xml:space="preserve">UK</t>
  </si>
  <si>
    <t xml:space="preserve">FR</t>
  </si>
  <si>
    <t xml:space="preserve">IT</t>
  </si>
  <si>
    <t xml:space="preserve">BE</t>
  </si>
  <si>
    <t xml:space="preserve">ES</t>
  </si>
  <si>
    <t xml:space="preserve">PT</t>
  </si>
  <si>
    <t xml:space="preserve">Construction work done per country and end market (US$ m, 2023 prices), calculated from the Oxford Economics sheet. Do not type here.</t>
  </si>
  <si>
    <t xml:space="preserve">Residential = Residential total - Multi family. Commercial = Commercial + Healthcare (if set) + Multi family. Each for renovation and new build; total = both. Empty = year or series not in the export.</t>
  </si>
  <si>
    <t xml:space="preserve">Total (renovation + new build)</t>
  </si>
  <si>
    <t xml:space="preserve">Renovation</t>
  </si>
  <si>
    <t xml:space="preserve">New build</t>
  </si>
  <si>
    <t xml:space="preserve">Oxford Economics location</t>
  </si>
  <si>
    <t xml:space="preserve">Dashboard data</t>
  </si>
  <si>
    <t xml:space="preserve">Calculated from Raw data and Settings. Do not type here: this is the table the dashboard reads.</t>
  </si>
  <si>
    <t xml:space="preserve">Percentages are plain numbers (3.2 = 3.2%). Check column: more than ±0.5 pp means the renovation / new build split does not add up to the total.</t>
  </si>
  <si>
    <t xml:space="preserve">Profitability score</t>
  </si>
  <si>
    <t xml:space="preserve">Competitive intensity score</t>
  </si>
  <si>
    <t xml:space="preserve">Channel access score</t>
  </si>
  <si>
    <t xml:space="preserve">Product fit score</t>
  </si>
  <si>
    <t xml:space="preserve">Renovation share (%)</t>
  </si>
  <si>
    <t xml:space="preserve">Check: renovation + new build vs. total, growth CY (pp)</t>
  </si>
  <si>
    <t xml:space="preserve">country</t>
  </si>
  <si>
    <t xml:space="preserve">code</t>
  </si>
  <si>
    <t xml:space="preserve">segment</t>
  </si>
  <si>
    <t xml:space="preserve">market_size</t>
  </si>
  <si>
    <t xml:space="preserve">hfc_sales</t>
  </si>
  <si>
    <t xml:space="preserve">mkt_cagr_hist</t>
  </si>
  <si>
    <t xml:space="preserve">mkt_growth_cy</t>
  </si>
  <si>
    <t xml:space="preserve">mkt_cagr_fwd</t>
  </si>
  <si>
    <t xml:space="preserve">hfc_cagr_hist</t>
  </si>
  <si>
    <t xml:space="preserve">hfc_growth_cy</t>
  </si>
  <si>
    <t xml:space="preserve">hfc_cagr_bp</t>
  </si>
  <si>
    <t xml:space="preserve">ms_cy</t>
  </si>
  <si>
    <t xml:space="preserve">ms_py</t>
  </si>
  <si>
    <t xml:space="preserve">profitability</t>
  </si>
  <si>
    <t xml:space="preserve">competitive_intensity</t>
  </si>
  <si>
    <t xml:space="preserve">channel_access</t>
  </si>
  <si>
    <t xml:space="preserve">product_fit</t>
  </si>
  <si>
    <t xml:space="preserve">reno_share</t>
  </si>
  <si>
    <t xml:space="preserve">mkt_reno_cagr_hist</t>
  </si>
  <si>
    <t xml:space="preserve">mkt_reno_growth_cy</t>
  </si>
  <si>
    <t xml:space="preserve">mkt_reno_cagr_fwd</t>
  </si>
  <si>
    <t xml:space="preserve">mkt_nb_cagr_hist</t>
  </si>
  <si>
    <t xml:space="preserve">mkt_nb_growth_cy</t>
  </si>
  <si>
    <t xml:space="preserve">mkt_nb_cagr_fwd</t>
  </si>
  <si>
    <t xml:space="preserve">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</si>
</sst>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"/>
    <numFmt numFmtId="167" formatCode="#,##0.0"/>
    <numFmt numFmtId="168" formatCode="#,##0"/>
    <numFmt numFmtId="169" formatCode="0.0%"/>
    <numFmt numFmtId="170" formatCode="0%"/>
    <numFmt numFmtId="171" formatCode="0.0"/>
    <numFmt numFmtId="172" formatCode="\+0.0;\-0.0;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color rgb="FFCE0E2D"/>
      <name val="Arial"/>
      <family val="0"/>
      <charset val="1"/>
    </font>
    <font>
      <b val="true"/>
      <sz val="10"/>
      <color rgb="FFCE0E2D"/>
      <name val="Arial"/>
      <family val="0"/>
      <charset val="1"/>
    </font>
    <font>
      <sz val="10"/>
      <color rgb="FF505050"/>
      <name val="Arial"/>
      <family val="0"/>
      <charset val="1"/>
    </font>
    <font>
      <b val="true"/>
      <sz val="10"/>
      <color rgb="FF19191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CE0E2D"/>
      <name val="Arial"/>
      <family val="0"/>
      <charset val="1"/>
    </font>
    <font>
      <sz val="10"/>
      <color rgb="FF191919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C8C8C"/>
      <name val="Arial"/>
      <family val="0"/>
      <charset val="1"/>
    </font>
    <font>
      <i val="true"/>
      <sz val="9"/>
      <color rgb="FF50505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CE0E2D"/>
      <name val="Arial"/>
      <family val="0"/>
      <charset val="1"/>
    </font>
    <font>
      <b val="true"/>
      <sz val="9"/>
      <color rgb="FF50505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sz val="9"/>
      <color rgb="FF008000"/>
      <name val="Arial"/>
      <family val="0"/>
      <charset val="1"/>
    </font>
    <font>
      <sz val="9"/>
      <color rgb="FF19191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CE0E2D"/>
        <bgColor rgb="FF993300"/>
      </patternFill>
    </fill>
    <fill>
      <patternFill patternType="solid">
        <fgColor rgb="FFFCF1F1"/>
        <bgColor rgb="FFFFFFFF"/>
      </patternFill>
    </fill>
    <fill>
      <patternFill patternType="solid">
        <fgColor rgb="FF505050"/>
        <bgColor rgb="FF666699"/>
      </patternFill>
    </fill>
    <fill>
      <patternFill patternType="solid">
        <fgColor rgb="FF191919"/>
        <bgColor rgb="FF000000"/>
      </patternFill>
    </fill>
    <fill>
      <patternFill patternType="solid">
        <fgColor rgb="FF7A7A7A"/>
        <bgColor rgb="FF8C8C8C"/>
      </patternFill>
    </fill>
    <fill>
      <patternFill patternType="solid">
        <fgColor rgb="FFDD6556"/>
        <bgColor rgb="FFE49587"/>
      </patternFill>
    </fill>
    <fill>
      <patternFill patternType="solid">
        <fgColor rgb="FFE49587"/>
        <bgColor rgb="FFFF99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E0E2D"/>
      </bottom>
      <diagonal/>
    </border>
    <border diagonalUp="false" diagonalDown="false"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 diagonalUp="false" diagonalDown="false">
      <left/>
      <right/>
      <top/>
      <bottom style="thin">
        <color rgb="FFE4E4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E0E2D"/>
      </font>
      <fill>
        <patternFill>
          <bgColor rgb="FFF4E4DC"/>
        </patternFill>
      </fill>
    </dxf>
  </dxfs>
  <colors>
    <indexedColors>
      <rgbColor rgb="FF000000"/>
      <rgbColor rgb="FFFFFFFF"/>
      <rgbColor rgb="FFCE0E2D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CF1F1"/>
      <rgbColor rgb="FFCCFFFF"/>
      <rgbColor rgb="FF660066"/>
      <rgbColor rgb="FFE49587"/>
      <rgbColor rgb="FF0066CC"/>
      <rgbColor rgb="FFE4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E4DC"/>
      <rgbColor rgb="FF3366FF"/>
      <rgbColor rgb="FF33CCCC"/>
      <rgbColor rgb="FF99CC00"/>
      <rgbColor rgb="FFFFCC00"/>
      <rgbColor rgb="FFFF9900"/>
      <rgbColor rgb="FFDD6556"/>
      <rgbColor rgb="FF666699"/>
      <rgbColor rgb="FF8C8C8C"/>
      <rgbColor rgb="FF003366"/>
      <rgbColor rgb="FF339966"/>
      <rgbColor rgb="FF191919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H28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6"/>
  </cols>
  <sheetData>
    <row r="1" customFormat="false" ht="27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8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5" customFormat="false" ht="15" hidden="false" customHeight="false" outlineLevel="0" collapsed="false">
      <c r="B5" s="4" t="s">
        <v>2</v>
      </c>
    </row>
    <row r="6" customFormat="false" ht="31.5" hidden="false" customHeight="true" outlineLevel="0" collapsed="false">
      <c r="B6" s="5" t="s">
        <v>3</v>
      </c>
      <c r="C6" s="6" t="s">
        <v>4</v>
      </c>
      <c r="D6" s="6"/>
      <c r="E6" s="6"/>
      <c r="F6" s="6"/>
      <c r="G6" s="6"/>
      <c r="H6" s="6"/>
    </row>
    <row r="7" customFormat="false" ht="31.5" hidden="false" customHeight="true" outlineLevel="0" collapsed="false">
      <c r="B7" s="5" t="s">
        <v>5</v>
      </c>
      <c r="C7" s="6" t="s">
        <v>6</v>
      </c>
      <c r="D7" s="6"/>
      <c r="E7" s="6"/>
      <c r="F7" s="6"/>
      <c r="G7" s="6"/>
      <c r="H7" s="6"/>
    </row>
    <row r="8" customFormat="false" ht="31.5" hidden="false" customHeight="true" outlineLevel="0" collapsed="false">
      <c r="B8" s="5" t="s">
        <v>7</v>
      </c>
      <c r="C8" s="6" t="s">
        <v>8</v>
      </c>
      <c r="D8" s="6"/>
      <c r="E8" s="6"/>
      <c r="F8" s="6"/>
      <c r="G8" s="6"/>
      <c r="H8" s="6"/>
    </row>
    <row r="9" customFormat="false" ht="31.5" hidden="false" customHeight="true" outlineLevel="0" collapsed="false">
      <c r="B9" s="5" t="s">
        <v>9</v>
      </c>
      <c r="C9" s="6" t="s">
        <v>10</v>
      </c>
      <c r="D9" s="6"/>
      <c r="E9" s="6"/>
      <c r="F9" s="6"/>
      <c r="G9" s="6"/>
      <c r="H9" s="6"/>
    </row>
    <row r="10" customFormat="false" ht="31.5" hidden="false" customHeight="true" outlineLevel="0" collapsed="false">
      <c r="B10" s="5" t="s">
        <v>11</v>
      </c>
      <c r="C10" s="6" t="s">
        <v>12</v>
      </c>
      <c r="D10" s="6"/>
      <c r="E10" s="6"/>
      <c r="F10" s="6"/>
      <c r="G10" s="6"/>
      <c r="H10" s="6"/>
    </row>
    <row r="12" customFormat="false" ht="15" hidden="false" customHeight="false" outlineLevel="0" collapsed="false">
      <c r="B12" s="4" t="s">
        <v>13</v>
      </c>
    </row>
    <row r="13" customFormat="false" ht="31.5" hidden="false" customHeight="true" outlineLevel="0" collapsed="false">
      <c r="B13" s="7" t="s">
        <v>14</v>
      </c>
      <c r="C13" s="6" t="s">
        <v>15</v>
      </c>
      <c r="D13" s="6"/>
      <c r="E13" s="6"/>
      <c r="F13" s="6"/>
      <c r="G13" s="6"/>
      <c r="H13" s="6"/>
    </row>
    <row r="14" customFormat="false" ht="31.5" hidden="false" customHeight="true" outlineLevel="0" collapsed="false">
      <c r="B14" s="7" t="s">
        <v>16</v>
      </c>
      <c r="C14" s="6" t="s">
        <v>17</v>
      </c>
      <c r="D14" s="6"/>
      <c r="E14" s="6"/>
      <c r="F14" s="6"/>
      <c r="G14" s="6"/>
      <c r="H14" s="6"/>
    </row>
    <row r="15" customFormat="false" ht="31.5" hidden="false" customHeight="true" outlineLevel="0" collapsed="false">
      <c r="B15" s="7" t="s">
        <v>18</v>
      </c>
      <c r="C15" s="6" t="s">
        <v>19</v>
      </c>
      <c r="D15" s="6"/>
      <c r="E15" s="6"/>
      <c r="F15" s="6"/>
      <c r="G15" s="6"/>
      <c r="H15" s="6"/>
    </row>
    <row r="16" customFormat="false" ht="31.5" hidden="false" customHeight="true" outlineLevel="0" collapsed="false">
      <c r="B16" s="7" t="s">
        <v>20</v>
      </c>
      <c r="C16" s="6" t="s">
        <v>21</v>
      </c>
      <c r="D16" s="6"/>
      <c r="E16" s="6"/>
      <c r="F16" s="6"/>
      <c r="G16" s="6"/>
      <c r="H16" s="6"/>
    </row>
    <row r="17" customFormat="false" ht="31.5" hidden="false" customHeight="true" outlineLevel="0" collapsed="false">
      <c r="B17" s="7" t="s">
        <v>22</v>
      </c>
      <c r="C17" s="6" t="s">
        <v>23</v>
      </c>
      <c r="D17" s="6"/>
      <c r="E17" s="6"/>
      <c r="F17" s="6"/>
      <c r="G17" s="6"/>
      <c r="H17" s="6"/>
    </row>
    <row r="18" customFormat="false" ht="31.5" hidden="false" customHeight="true" outlineLevel="0" collapsed="false">
      <c r="B18" s="7" t="s">
        <v>24</v>
      </c>
      <c r="C18" s="6" t="s">
        <v>25</v>
      </c>
      <c r="D18" s="6"/>
      <c r="E18" s="6"/>
      <c r="F18" s="6"/>
      <c r="G18" s="6"/>
      <c r="H18" s="6"/>
    </row>
    <row r="19" customFormat="false" ht="31.5" hidden="false" customHeight="true" outlineLevel="0" collapsed="false">
      <c r="B19" s="7" t="s">
        <v>26</v>
      </c>
      <c r="C19" s="6" t="s">
        <v>27</v>
      </c>
      <c r="D19" s="6"/>
      <c r="E19" s="6"/>
      <c r="F19" s="6"/>
      <c r="G19" s="6"/>
      <c r="H19" s="6"/>
    </row>
    <row r="20" customFormat="false" ht="31.5" hidden="false" customHeight="true" outlineLevel="0" collapsed="false">
      <c r="B20" s="7" t="s">
        <v>28</v>
      </c>
      <c r="C20" s="6" t="s">
        <v>29</v>
      </c>
      <c r="D20" s="6"/>
      <c r="E20" s="6"/>
      <c r="F20" s="6"/>
      <c r="G20" s="6"/>
      <c r="H20" s="6"/>
    </row>
    <row r="22" customFormat="false" ht="15" hidden="false" customHeight="false" outlineLevel="0" collapsed="false">
      <c r="B22" s="4" t="s">
        <v>30</v>
      </c>
    </row>
    <row r="23" customFormat="false" ht="31.5" hidden="false" customHeight="true" outlineLevel="0" collapsed="false">
      <c r="B23" s="8" t="s">
        <v>31</v>
      </c>
      <c r="C23" s="6" t="s">
        <v>32</v>
      </c>
      <c r="D23" s="6"/>
      <c r="E23" s="6"/>
      <c r="F23" s="6"/>
      <c r="G23" s="6"/>
      <c r="H23" s="6"/>
    </row>
    <row r="24" customFormat="false" ht="31.5" hidden="false" customHeight="true" outlineLevel="0" collapsed="false">
      <c r="B24" s="9" t="s">
        <v>33</v>
      </c>
      <c r="C24" s="6" t="s">
        <v>34</v>
      </c>
      <c r="D24" s="6"/>
      <c r="E24" s="6"/>
      <c r="F24" s="6"/>
      <c r="G24" s="6"/>
      <c r="H24" s="6"/>
    </row>
    <row r="25" customFormat="false" ht="31.5" hidden="false" customHeight="true" outlineLevel="0" collapsed="false">
      <c r="B25" s="7" t="s">
        <v>35</v>
      </c>
      <c r="C25" s="6" t="s">
        <v>36</v>
      </c>
      <c r="D25" s="6"/>
      <c r="E25" s="6"/>
      <c r="F25" s="6"/>
      <c r="G25" s="6"/>
      <c r="H25" s="6"/>
    </row>
    <row r="26" customFormat="false" ht="31.5" hidden="false" customHeight="true" outlineLevel="0" collapsed="false">
      <c r="B26" s="7" t="s">
        <v>37</v>
      </c>
      <c r="C26" s="6" t="s">
        <v>38</v>
      </c>
      <c r="D26" s="6"/>
      <c r="E26" s="6"/>
      <c r="F26" s="6"/>
      <c r="G26" s="6"/>
      <c r="H26" s="6"/>
    </row>
    <row r="28" customFormat="false" ht="15" hidden="false" customHeight="false" outlineLevel="0" collapsed="false">
      <c r="B28" s="10" t="s">
        <v>39</v>
      </c>
    </row>
  </sheetData>
  <mergeCells count="17">
    <mergeCell ref="C6:H6"/>
    <mergeCell ref="C7:H7"/>
    <mergeCell ref="C8:H8"/>
    <mergeCell ref="C9:H9"/>
    <mergeCell ref="C10:H10"/>
    <mergeCell ref="C13:H13"/>
    <mergeCell ref="C14:H14"/>
    <mergeCell ref="C15:H15"/>
    <mergeCell ref="C16:H16"/>
    <mergeCell ref="C17:H17"/>
    <mergeCell ref="C18:H18"/>
    <mergeCell ref="C19:H19"/>
    <mergeCell ref="C20:H20"/>
    <mergeCell ref="C23:H23"/>
    <mergeCell ref="C24:H24"/>
    <mergeCell ref="C25:H25"/>
    <mergeCell ref="C26:H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05050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40</v>
      </c>
      <c r="B1" s="2"/>
      <c r="C1" s="2"/>
      <c r="D1" s="2"/>
    </row>
    <row r="2" customFormat="false" ht="18" hidden="false" customHeight="true" outlineLevel="0" collapsed="false">
      <c r="A2" s="3" t="s">
        <v>41</v>
      </c>
      <c r="B2" s="2"/>
      <c r="C2" s="2"/>
      <c r="D2" s="2"/>
    </row>
    <row r="4" customFormat="false" ht="15" hidden="false" customHeight="false" outlineLevel="0" collapsed="false">
      <c r="A4" s="11" t="s">
        <v>42</v>
      </c>
      <c r="B4" s="11" t="s">
        <v>43</v>
      </c>
      <c r="C4" s="11" t="s">
        <v>44</v>
      </c>
      <c r="D4" s="11" t="s">
        <v>45</v>
      </c>
    </row>
    <row r="5" customFormat="false" ht="15" hidden="false" customHeight="false" outlineLevel="0" collapsed="false">
      <c r="A5" s="12" t="s">
        <v>46</v>
      </c>
    </row>
    <row r="6" customFormat="false" ht="15" hidden="false" customHeight="false" outlineLevel="0" collapsed="false">
      <c r="A6" s="13" t="s">
        <v>47</v>
      </c>
      <c r="B6" s="14" t="s">
        <v>48</v>
      </c>
      <c r="C6" s="15" t="s">
        <v>49</v>
      </c>
      <c r="D6" s="16" t="s">
        <v>50</v>
      </c>
    </row>
    <row r="7" customFormat="false" ht="22.35" hidden="false" customHeight="false" outlineLevel="0" collapsed="false">
      <c r="A7" s="13" t="s">
        <v>51</v>
      </c>
      <c r="B7" s="17" t="n">
        <v>2026</v>
      </c>
      <c r="C7" s="15" t="s">
        <v>52</v>
      </c>
      <c r="D7" s="16" t="s">
        <v>53</v>
      </c>
    </row>
    <row r="8" customFormat="false" ht="15" hidden="false" customHeight="false" outlineLevel="0" collapsed="false">
      <c r="A8" s="13" t="s">
        <v>54</v>
      </c>
      <c r="B8" s="14" t="s">
        <v>55</v>
      </c>
      <c r="C8" s="15" t="s">
        <v>56</v>
      </c>
      <c r="D8" s="16" t="s">
        <v>57</v>
      </c>
    </row>
    <row r="10" customFormat="false" ht="15" hidden="false" customHeight="false" outlineLevel="0" collapsed="false">
      <c r="A10" s="12" t="s">
        <v>58</v>
      </c>
    </row>
    <row r="11" customFormat="false" ht="15" hidden="false" customHeight="false" outlineLevel="0" collapsed="false">
      <c r="A11" s="13" t="s">
        <v>59</v>
      </c>
      <c r="B11" s="14" t="s">
        <v>60</v>
      </c>
      <c r="C11" s="15" t="s">
        <v>61</v>
      </c>
      <c r="D11" s="16" t="s">
        <v>62</v>
      </c>
    </row>
    <row r="12" customFormat="false" ht="15" hidden="false" customHeight="false" outlineLevel="0" collapsed="false">
      <c r="A12" s="13" t="s">
        <v>63</v>
      </c>
      <c r="B12" s="14" t="s">
        <v>64</v>
      </c>
      <c r="C12" s="15" t="s">
        <v>65</v>
      </c>
      <c r="D12" s="16"/>
    </row>
    <row r="13" customFormat="false" ht="15" hidden="false" customHeight="false" outlineLevel="0" collapsed="false">
      <c r="A13" s="13" t="s">
        <v>66</v>
      </c>
      <c r="B13" s="14" t="s">
        <v>67</v>
      </c>
      <c r="C13" s="15" t="s">
        <v>68</v>
      </c>
      <c r="D13" s="16" t="s">
        <v>69</v>
      </c>
    </row>
    <row r="14" customFormat="false" ht="15" hidden="false" customHeight="false" outlineLevel="0" collapsed="false">
      <c r="A14" s="13" t="s">
        <v>70</v>
      </c>
      <c r="B14" s="14" t="s">
        <v>71</v>
      </c>
      <c r="C14" s="15" t="s">
        <v>72</v>
      </c>
      <c r="D14" s="16"/>
    </row>
    <row r="15" customFormat="false" ht="22.35" hidden="false" customHeight="false" outlineLevel="0" collapsed="false">
      <c r="A15" s="13" t="s">
        <v>73</v>
      </c>
      <c r="B15" s="14" t="s">
        <v>74</v>
      </c>
      <c r="C15" s="15" t="s">
        <v>75</v>
      </c>
      <c r="D15" s="16" t="s">
        <v>76</v>
      </c>
    </row>
    <row r="16" customFormat="false" ht="15" hidden="false" customHeight="false" outlineLevel="0" collapsed="false">
      <c r="A16" s="13" t="s">
        <v>77</v>
      </c>
      <c r="B16" s="14" t="s">
        <v>78</v>
      </c>
      <c r="C16" s="15" t="s">
        <v>79</v>
      </c>
      <c r="D16" s="16"/>
    </row>
    <row r="17" customFormat="false" ht="22.35" hidden="false" customHeight="false" outlineLevel="0" collapsed="false">
      <c r="A17" s="13" t="s">
        <v>80</v>
      </c>
      <c r="B17" s="14"/>
      <c r="C17" s="15" t="s">
        <v>81</v>
      </c>
      <c r="D17" s="16" t="s">
        <v>82</v>
      </c>
    </row>
    <row r="18" customFormat="false" ht="15" hidden="false" customHeight="false" outlineLevel="0" collapsed="false">
      <c r="A18" s="13" t="s">
        <v>83</v>
      </c>
      <c r="B18" s="14"/>
      <c r="C18" s="15" t="s">
        <v>84</v>
      </c>
      <c r="D18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E2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6"/>
    <col collapsed="false" customWidth="true" hidden="false" outlineLevel="0" max="31" min="3" style="0" width="11"/>
  </cols>
  <sheetData>
    <row r="1" customFormat="false" ht="27.75" hidden="false" customHeight="true" outlineLevel="0" collapsed="false">
      <c r="A1" s="1" t="s">
        <v>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3" t="s">
        <v>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10" t="s">
        <v>87</v>
      </c>
    </row>
    <row r="4" customFormat="false" ht="15" hidden="false" customHeight="false" outlineLevel="0" collapsed="false">
      <c r="A4" s="18" t="s">
        <v>88</v>
      </c>
    </row>
    <row r="6" customFormat="false" ht="32.8" hidden="false" customHeight="false" outlineLevel="0" collapsed="false">
      <c r="A6" s="19" t="s">
        <v>89</v>
      </c>
      <c r="B6" s="19" t="s">
        <v>90</v>
      </c>
      <c r="C6" s="19" t="s">
        <v>91</v>
      </c>
      <c r="D6" s="19" t="s">
        <v>92</v>
      </c>
      <c r="E6" s="19" t="s">
        <v>93</v>
      </c>
      <c r="F6" s="19" t="s">
        <v>94</v>
      </c>
      <c r="G6" s="19" t="s">
        <v>95</v>
      </c>
      <c r="H6" s="19" t="s">
        <v>96</v>
      </c>
      <c r="I6" s="19" t="s">
        <v>97</v>
      </c>
      <c r="J6" s="19" t="s">
        <v>98</v>
      </c>
      <c r="K6" s="19" t="s">
        <v>99</v>
      </c>
      <c r="L6" s="19" t="s">
        <v>100</v>
      </c>
      <c r="M6" s="19" t="s">
        <v>101</v>
      </c>
      <c r="N6" s="19" t="s">
        <v>102</v>
      </c>
      <c r="O6" s="19" t="s">
        <v>103</v>
      </c>
      <c r="P6" s="19" t="s">
        <v>104</v>
      </c>
      <c r="Q6" s="19" t="s">
        <v>105</v>
      </c>
      <c r="R6" s="19" t="s">
        <v>106</v>
      </c>
      <c r="S6" s="19" t="s">
        <v>107</v>
      </c>
      <c r="T6" s="19" t="s">
        <v>108</v>
      </c>
      <c r="U6" s="19" t="s">
        <v>109</v>
      </c>
      <c r="V6" s="19" t="s">
        <v>110</v>
      </c>
      <c r="W6" s="19" t="s">
        <v>111</v>
      </c>
      <c r="X6" s="19" t="s">
        <v>112</v>
      </c>
      <c r="Y6" s="19" t="s">
        <v>113</v>
      </c>
      <c r="Z6" s="19" t="s">
        <v>114</v>
      </c>
      <c r="AA6" s="19" t="s">
        <v>115</v>
      </c>
      <c r="AB6" s="19" t="s">
        <v>116</v>
      </c>
      <c r="AC6" s="19" t="s">
        <v>117</v>
      </c>
      <c r="AD6" s="19" t="s">
        <v>118</v>
      </c>
      <c r="AE6" s="19" t="s">
        <v>119</v>
      </c>
    </row>
    <row r="7" customFormat="false" ht="15" hidden="false" customHeight="false" outlineLevel="0" collapsed="false">
      <c r="A7" s="20" t="s">
        <v>120</v>
      </c>
      <c r="B7" s="20" t="s">
        <v>121</v>
      </c>
      <c r="C7" s="20" t="s">
        <v>122</v>
      </c>
      <c r="D7" s="20" t="s">
        <v>123</v>
      </c>
      <c r="E7" s="20" t="s">
        <v>124</v>
      </c>
      <c r="F7" s="21" t="n">
        <v>446.55</v>
      </c>
      <c r="G7" s="21" t="n">
        <v>412.2</v>
      </c>
      <c r="H7" s="21" t="n">
        <v>393.98</v>
      </c>
      <c r="I7" s="21" t="n">
        <v>365.17</v>
      </c>
      <c r="J7" s="21" t="n">
        <v>358.09</v>
      </c>
      <c r="K7" s="21" t="n">
        <v>336.75</v>
      </c>
      <c r="L7" s="21" t="n">
        <v>356.15</v>
      </c>
      <c r="M7" s="21" t="n">
        <v>377.49</v>
      </c>
      <c r="N7" s="21" t="n">
        <v>398.9</v>
      </c>
      <c r="O7" s="21" t="n">
        <v>414.23</v>
      </c>
      <c r="P7" s="21" t="n">
        <v>432.07</v>
      </c>
      <c r="Q7" s="21" t="n">
        <v>447.11</v>
      </c>
      <c r="R7" s="21" t="n">
        <v>460.82</v>
      </c>
      <c r="S7" s="21" t="n">
        <v>472.35</v>
      </c>
      <c r="T7" s="21" t="n">
        <v>484.17</v>
      </c>
      <c r="U7" s="20"/>
      <c r="V7" s="20" t="s">
        <v>125</v>
      </c>
      <c r="W7" s="20" t="s">
        <v>97</v>
      </c>
      <c r="X7" s="20"/>
      <c r="Y7" s="20" t="s">
        <v>98</v>
      </c>
      <c r="Z7" s="20" t="s">
        <v>126</v>
      </c>
      <c r="AA7" s="20" t="s">
        <v>127</v>
      </c>
      <c r="AB7" s="20" t="s">
        <v>128</v>
      </c>
      <c r="AC7" s="20" t="s">
        <v>129</v>
      </c>
      <c r="AD7" s="20" t="s">
        <v>130</v>
      </c>
      <c r="AE7" s="20" t="s">
        <v>131</v>
      </c>
    </row>
    <row r="8" customFormat="false" ht="15" hidden="false" customHeight="false" outlineLevel="0" collapsed="false">
      <c r="A8" s="20" t="s">
        <v>120</v>
      </c>
      <c r="B8" s="20" t="s">
        <v>132</v>
      </c>
      <c r="C8" s="20" t="s">
        <v>122</v>
      </c>
      <c r="D8" s="20" t="s">
        <v>123</v>
      </c>
      <c r="E8" s="20" t="s">
        <v>124</v>
      </c>
      <c r="F8" s="21" t="n">
        <v>3175.33</v>
      </c>
      <c r="G8" s="21" t="n">
        <v>3364.6</v>
      </c>
      <c r="H8" s="21" t="n">
        <v>2806.75</v>
      </c>
      <c r="I8" s="21" t="n">
        <v>2541.79</v>
      </c>
      <c r="J8" s="21" t="n">
        <v>2477.22</v>
      </c>
      <c r="K8" s="21" t="n">
        <v>2310.94</v>
      </c>
      <c r="L8" s="21" t="n">
        <v>2435.73</v>
      </c>
      <c r="M8" s="21" t="n">
        <v>2534.43</v>
      </c>
      <c r="N8" s="21" t="n">
        <v>2656.74</v>
      </c>
      <c r="O8" s="21" t="n">
        <v>2746.79</v>
      </c>
      <c r="P8" s="21" t="n">
        <v>2820.76</v>
      </c>
      <c r="Q8" s="21" t="n">
        <v>2882.71</v>
      </c>
      <c r="R8" s="21" t="n">
        <v>2939.6</v>
      </c>
      <c r="S8" s="21" t="n">
        <v>2990.58</v>
      </c>
      <c r="T8" s="21" t="n">
        <v>3041.43</v>
      </c>
      <c r="U8" s="20"/>
      <c r="V8" s="20" t="s">
        <v>125</v>
      </c>
      <c r="W8" s="20" t="s">
        <v>97</v>
      </c>
      <c r="X8" s="20"/>
      <c r="Y8" s="20" t="s">
        <v>98</v>
      </c>
      <c r="Z8" s="20" t="s">
        <v>126</v>
      </c>
      <c r="AA8" s="20" t="s">
        <v>127</v>
      </c>
      <c r="AB8" s="20" t="s">
        <v>128</v>
      </c>
      <c r="AC8" s="20" t="s">
        <v>129</v>
      </c>
      <c r="AD8" s="20" t="s">
        <v>130</v>
      </c>
      <c r="AE8" s="20" t="s">
        <v>133</v>
      </c>
    </row>
    <row r="9" customFormat="false" ht="15" hidden="false" customHeight="false" outlineLevel="0" collapsed="false">
      <c r="A9" s="20" t="s">
        <v>120</v>
      </c>
      <c r="B9" s="20" t="s">
        <v>134</v>
      </c>
      <c r="C9" s="20" t="s">
        <v>122</v>
      </c>
      <c r="D9" s="20" t="s">
        <v>123</v>
      </c>
      <c r="E9" s="20" t="s">
        <v>124</v>
      </c>
      <c r="F9" s="21" t="n">
        <v>1372.81</v>
      </c>
      <c r="G9" s="21" t="n">
        <v>1309.04</v>
      </c>
      <c r="H9" s="21" t="n">
        <v>1263.96</v>
      </c>
      <c r="I9" s="21" t="n">
        <v>1177.88</v>
      </c>
      <c r="J9" s="21" t="n">
        <v>1162.3</v>
      </c>
      <c r="K9" s="21" t="n">
        <v>1088.32</v>
      </c>
      <c r="L9" s="21" t="n">
        <v>1149.84</v>
      </c>
      <c r="M9" s="21" t="n">
        <v>1199.51</v>
      </c>
      <c r="N9" s="21" t="n">
        <v>1255.19</v>
      </c>
      <c r="O9" s="21" t="n">
        <v>1292.26</v>
      </c>
      <c r="P9" s="21" t="n">
        <v>1320.48</v>
      </c>
      <c r="Q9" s="21" t="n">
        <v>1342.76</v>
      </c>
      <c r="R9" s="21" t="n">
        <v>1362.61</v>
      </c>
      <c r="S9" s="21" t="n">
        <v>1379.99</v>
      </c>
      <c r="T9" s="21" t="n">
        <v>1397.76</v>
      </c>
      <c r="U9" s="20"/>
      <c r="V9" s="20" t="s">
        <v>125</v>
      </c>
      <c r="W9" s="20" t="s">
        <v>97</v>
      </c>
      <c r="X9" s="20"/>
      <c r="Y9" s="20" t="s">
        <v>98</v>
      </c>
      <c r="Z9" s="20" t="s">
        <v>126</v>
      </c>
      <c r="AA9" s="20" t="s">
        <v>127</v>
      </c>
      <c r="AB9" s="20" t="s">
        <v>128</v>
      </c>
      <c r="AC9" s="20" t="s">
        <v>129</v>
      </c>
      <c r="AD9" s="20" t="s">
        <v>130</v>
      </c>
      <c r="AE9" s="20" t="s">
        <v>135</v>
      </c>
    </row>
    <row r="10" customFormat="false" ht="15" hidden="false" customHeight="false" outlineLevel="0" collapsed="false">
      <c r="A10" s="20" t="s">
        <v>120</v>
      </c>
      <c r="B10" s="20" t="s">
        <v>136</v>
      </c>
      <c r="C10" s="20" t="s">
        <v>122</v>
      </c>
      <c r="D10" s="20" t="s">
        <v>123</v>
      </c>
      <c r="E10" s="20" t="s">
        <v>124</v>
      </c>
      <c r="F10" s="21" t="n">
        <v>2929.16</v>
      </c>
      <c r="G10" s="21" t="n">
        <v>2899.22</v>
      </c>
      <c r="H10" s="21" t="n">
        <v>2685.23</v>
      </c>
      <c r="I10" s="21" t="n">
        <v>2503.46</v>
      </c>
      <c r="J10" s="21" t="n">
        <v>2408.19</v>
      </c>
      <c r="K10" s="21" t="n">
        <v>2246.4</v>
      </c>
      <c r="L10" s="21" t="n">
        <v>2392.59</v>
      </c>
      <c r="M10" s="21" t="n">
        <v>2487.62</v>
      </c>
      <c r="N10" s="21" t="n">
        <v>2567.07</v>
      </c>
      <c r="O10" s="21" t="n">
        <v>2632.63</v>
      </c>
      <c r="P10" s="21" t="n">
        <v>2679.86</v>
      </c>
      <c r="Q10" s="21" t="n">
        <v>2714.48</v>
      </c>
      <c r="R10" s="21" t="n">
        <v>2742.96</v>
      </c>
      <c r="S10" s="21" t="n">
        <v>2766.29</v>
      </c>
      <c r="T10" s="21" t="n">
        <v>2794.5</v>
      </c>
      <c r="U10" s="20"/>
      <c r="V10" s="20" t="s">
        <v>125</v>
      </c>
      <c r="W10" s="20" t="s">
        <v>97</v>
      </c>
      <c r="X10" s="20"/>
      <c r="Y10" s="20" t="s">
        <v>98</v>
      </c>
      <c r="Z10" s="20" t="s">
        <v>126</v>
      </c>
      <c r="AA10" s="20" t="s">
        <v>127</v>
      </c>
      <c r="AB10" s="20" t="s">
        <v>128</v>
      </c>
      <c r="AC10" s="20" t="s">
        <v>129</v>
      </c>
      <c r="AD10" s="20" t="s">
        <v>130</v>
      </c>
      <c r="AE10" s="20" t="s">
        <v>137</v>
      </c>
    </row>
    <row r="11" customFormat="false" ht="15" hidden="false" customHeight="false" outlineLevel="0" collapsed="false">
      <c r="A11" s="20" t="s">
        <v>120</v>
      </c>
      <c r="B11" s="20" t="s">
        <v>60</v>
      </c>
      <c r="C11" s="20" t="s">
        <v>122</v>
      </c>
      <c r="D11" s="20" t="s">
        <v>123</v>
      </c>
      <c r="E11" s="20" t="s">
        <v>124</v>
      </c>
      <c r="F11" s="21" t="n">
        <v>19467.85</v>
      </c>
      <c r="G11" s="21" t="n">
        <v>19073.22</v>
      </c>
      <c r="H11" s="21" t="n">
        <v>18746.98</v>
      </c>
      <c r="I11" s="21" t="n">
        <v>15840.27</v>
      </c>
      <c r="J11" s="21" t="n">
        <v>13922.12</v>
      </c>
      <c r="K11" s="21" t="n">
        <v>13237.68</v>
      </c>
      <c r="L11" s="21" t="n">
        <v>12875.72</v>
      </c>
      <c r="M11" s="21" t="n">
        <v>13044.5</v>
      </c>
      <c r="N11" s="21" t="n">
        <v>13569.31</v>
      </c>
      <c r="O11" s="21" t="n">
        <v>14089.78</v>
      </c>
      <c r="P11" s="21" t="n">
        <v>14537.82</v>
      </c>
      <c r="Q11" s="21" t="n">
        <v>15001.4</v>
      </c>
      <c r="R11" s="21" t="n">
        <v>15333.69</v>
      </c>
      <c r="S11" s="21" t="n">
        <v>15600.15</v>
      </c>
      <c r="T11" s="21" t="n">
        <v>15838.75</v>
      </c>
      <c r="U11" s="20"/>
      <c r="V11" s="20" t="s">
        <v>125</v>
      </c>
      <c r="W11" s="20" t="s">
        <v>97</v>
      </c>
      <c r="X11" s="20"/>
      <c r="Y11" s="20" t="s">
        <v>98</v>
      </c>
      <c r="Z11" s="20" t="s">
        <v>126</v>
      </c>
      <c r="AA11" s="20" t="s">
        <v>127</v>
      </c>
      <c r="AB11" s="20" t="s">
        <v>128</v>
      </c>
      <c r="AC11" s="20" t="s">
        <v>129</v>
      </c>
      <c r="AD11" s="20" t="s">
        <v>130</v>
      </c>
      <c r="AE11" s="20" t="s">
        <v>138</v>
      </c>
    </row>
    <row r="12" customFormat="false" ht="15" hidden="false" customHeight="false" outlineLevel="0" collapsed="false">
      <c r="A12" s="20" t="s">
        <v>120</v>
      </c>
      <c r="B12" s="20" t="s">
        <v>139</v>
      </c>
      <c r="C12" s="20" t="s">
        <v>122</v>
      </c>
      <c r="D12" s="20" t="s">
        <v>123</v>
      </c>
      <c r="E12" s="20" t="s">
        <v>124</v>
      </c>
      <c r="F12" s="21" t="n">
        <v>1258.54</v>
      </c>
      <c r="G12" s="21" t="n">
        <v>1196.28</v>
      </c>
      <c r="H12" s="21" t="n">
        <v>1157.25</v>
      </c>
      <c r="I12" s="21" t="n">
        <v>1081.48</v>
      </c>
      <c r="J12" s="21" t="n">
        <v>1069.3</v>
      </c>
      <c r="K12" s="21" t="n">
        <v>996.93</v>
      </c>
      <c r="L12" s="21" t="n">
        <v>1053.64</v>
      </c>
      <c r="M12" s="21" t="n">
        <v>1104.75</v>
      </c>
      <c r="N12" s="21" t="n">
        <v>1160.28</v>
      </c>
      <c r="O12" s="21" t="n">
        <v>1207.03</v>
      </c>
      <c r="P12" s="21" t="n">
        <v>1245.33</v>
      </c>
      <c r="Q12" s="21" t="n">
        <v>1277.89</v>
      </c>
      <c r="R12" s="21" t="n">
        <v>1306.54</v>
      </c>
      <c r="S12" s="21" t="n">
        <v>1332.73</v>
      </c>
      <c r="T12" s="21" t="n">
        <v>1361.68</v>
      </c>
      <c r="U12" s="20"/>
      <c r="V12" s="20" t="s">
        <v>125</v>
      </c>
      <c r="W12" s="20" t="s">
        <v>97</v>
      </c>
      <c r="X12" s="20"/>
      <c r="Y12" s="20" t="s">
        <v>98</v>
      </c>
      <c r="Z12" s="20" t="s">
        <v>126</v>
      </c>
      <c r="AA12" s="20" t="s">
        <v>127</v>
      </c>
      <c r="AB12" s="20" t="s">
        <v>128</v>
      </c>
      <c r="AC12" s="20" t="s">
        <v>129</v>
      </c>
      <c r="AD12" s="20" t="s">
        <v>130</v>
      </c>
      <c r="AE12" s="20" t="s">
        <v>140</v>
      </c>
    </row>
    <row r="13" customFormat="false" ht="15" hidden="false" customHeight="false" outlineLevel="0" collapsed="false">
      <c r="A13" s="20" t="s">
        <v>120</v>
      </c>
      <c r="B13" s="20" t="s">
        <v>67</v>
      </c>
      <c r="C13" s="20" t="s">
        <v>122</v>
      </c>
      <c r="D13" s="20" t="s">
        <v>123</v>
      </c>
      <c r="E13" s="20" t="s">
        <v>124</v>
      </c>
      <c r="F13" s="21" t="n">
        <v>13443.4</v>
      </c>
      <c r="G13" s="21" t="n">
        <v>12641.85</v>
      </c>
      <c r="H13" s="21" t="n">
        <v>12111.45</v>
      </c>
      <c r="I13" s="21" t="n">
        <v>10463.36</v>
      </c>
      <c r="J13" s="21" t="n">
        <v>9361.11</v>
      </c>
      <c r="K13" s="21" t="n">
        <v>8775.75</v>
      </c>
      <c r="L13" s="21" t="n">
        <v>8245.32</v>
      </c>
      <c r="M13" s="21" t="n">
        <v>8128.5</v>
      </c>
      <c r="N13" s="21" t="n">
        <v>8411.93</v>
      </c>
      <c r="O13" s="21" t="n">
        <v>8747.29</v>
      </c>
      <c r="P13" s="21" t="n">
        <v>9075.62</v>
      </c>
      <c r="Q13" s="21" t="n">
        <v>9418.56</v>
      </c>
      <c r="R13" s="21" t="n">
        <v>9709.49</v>
      </c>
      <c r="S13" s="21" t="n">
        <v>9939.84</v>
      </c>
      <c r="T13" s="21" t="n">
        <v>10139.95</v>
      </c>
      <c r="U13" s="20"/>
      <c r="V13" s="20" t="s">
        <v>125</v>
      </c>
      <c r="W13" s="20" t="s">
        <v>97</v>
      </c>
      <c r="X13" s="20"/>
      <c r="Y13" s="20" t="s">
        <v>98</v>
      </c>
      <c r="Z13" s="20" t="s">
        <v>126</v>
      </c>
      <c r="AA13" s="20" t="s">
        <v>127</v>
      </c>
      <c r="AB13" s="20" t="s">
        <v>128</v>
      </c>
      <c r="AC13" s="20" t="s">
        <v>129</v>
      </c>
      <c r="AD13" s="20" t="s">
        <v>130</v>
      </c>
      <c r="AE13" s="20" t="s">
        <v>141</v>
      </c>
    </row>
    <row r="14" customFormat="false" ht="15" hidden="false" customHeight="false" outlineLevel="0" collapsed="false">
      <c r="A14" s="20" t="s">
        <v>120</v>
      </c>
      <c r="B14" s="20" t="s">
        <v>64</v>
      </c>
      <c r="C14" s="20" t="s">
        <v>122</v>
      </c>
      <c r="D14" s="20" t="s">
        <v>123</v>
      </c>
      <c r="E14" s="20" t="s">
        <v>124</v>
      </c>
      <c r="F14" s="21" t="n">
        <v>8652.69</v>
      </c>
      <c r="G14" s="21" t="n">
        <v>8390.41</v>
      </c>
      <c r="H14" s="21" t="n">
        <v>8512.93</v>
      </c>
      <c r="I14" s="21" t="n">
        <v>8594.05</v>
      </c>
      <c r="J14" s="21" t="n">
        <v>8906.58</v>
      </c>
      <c r="K14" s="21" t="n">
        <v>8875.05</v>
      </c>
      <c r="L14" s="21" t="n">
        <v>9672.79</v>
      </c>
      <c r="M14" s="21" t="n">
        <v>10196.48</v>
      </c>
      <c r="N14" s="21" t="n">
        <v>10457.62</v>
      </c>
      <c r="O14" s="21" t="n">
        <v>10632.24</v>
      </c>
      <c r="P14" s="21" t="n">
        <v>10765.78</v>
      </c>
      <c r="Q14" s="21" t="n">
        <v>10788.73</v>
      </c>
      <c r="R14" s="21" t="n">
        <v>10858.44</v>
      </c>
      <c r="S14" s="21" t="n">
        <v>10955.43</v>
      </c>
      <c r="T14" s="21" t="n">
        <v>11101.78</v>
      </c>
      <c r="U14" s="20"/>
      <c r="V14" s="20" t="s">
        <v>125</v>
      </c>
      <c r="W14" s="20" t="s">
        <v>97</v>
      </c>
      <c r="X14" s="20"/>
      <c r="Y14" s="20" t="s">
        <v>98</v>
      </c>
      <c r="Z14" s="20" t="s">
        <v>126</v>
      </c>
      <c r="AA14" s="20" t="s">
        <v>127</v>
      </c>
      <c r="AB14" s="20" t="s">
        <v>128</v>
      </c>
      <c r="AC14" s="20" t="s">
        <v>129</v>
      </c>
      <c r="AD14" s="20" t="s">
        <v>130</v>
      </c>
      <c r="AE14" s="20" t="s">
        <v>142</v>
      </c>
    </row>
    <row r="15" customFormat="false" ht="15" hidden="false" customHeight="false" outlineLevel="0" collapsed="false">
      <c r="A15" s="20" t="s">
        <v>120</v>
      </c>
      <c r="B15" s="20" t="s">
        <v>74</v>
      </c>
      <c r="C15" s="20" t="s">
        <v>122</v>
      </c>
      <c r="D15" s="20" t="s">
        <v>123</v>
      </c>
      <c r="E15" s="20" t="s">
        <v>124</v>
      </c>
      <c r="F15" s="21" t="n">
        <v>6656.74</v>
      </c>
      <c r="G15" s="21" t="n">
        <v>6719.45</v>
      </c>
      <c r="H15" s="21" t="n">
        <v>6165.92</v>
      </c>
      <c r="I15" s="21" t="n">
        <v>5727.03</v>
      </c>
      <c r="J15" s="21" t="n">
        <v>5512.36</v>
      </c>
      <c r="K15" s="21" t="n">
        <v>5148.52</v>
      </c>
      <c r="L15" s="21" t="n">
        <v>5468.66</v>
      </c>
      <c r="M15" s="21" t="n">
        <v>5687.15</v>
      </c>
      <c r="N15" s="21" t="n">
        <v>5931.12</v>
      </c>
      <c r="O15" s="21" t="n">
        <v>6121.09</v>
      </c>
      <c r="P15" s="21" t="n">
        <v>6261.99</v>
      </c>
      <c r="Q15" s="21" t="n">
        <v>6382.53</v>
      </c>
      <c r="R15" s="21" t="n">
        <v>6490.75</v>
      </c>
      <c r="S15" s="21" t="n">
        <v>6584.58</v>
      </c>
      <c r="T15" s="21" t="n">
        <v>6683.55</v>
      </c>
      <c r="U15" s="20"/>
      <c r="V15" s="20" t="s">
        <v>125</v>
      </c>
      <c r="W15" s="20" t="s">
        <v>97</v>
      </c>
      <c r="X15" s="20"/>
      <c r="Y15" s="20" t="s">
        <v>98</v>
      </c>
      <c r="Z15" s="20" t="s">
        <v>126</v>
      </c>
      <c r="AA15" s="20" t="s">
        <v>127</v>
      </c>
      <c r="AB15" s="20" t="s">
        <v>128</v>
      </c>
      <c r="AC15" s="20" t="s">
        <v>129</v>
      </c>
      <c r="AD15" s="20" t="s">
        <v>130</v>
      </c>
      <c r="AE15" s="20" t="s">
        <v>143</v>
      </c>
    </row>
    <row r="16" customFormat="false" ht="15" hidden="false" customHeight="false" outlineLevel="0" collapsed="false">
      <c r="A16" s="20" t="s">
        <v>120</v>
      </c>
      <c r="B16" s="20" t="s">
        <v>71</v>
      </c>
      <c r="C16" s="20" t="s">
        <v>122</v>
      </c>
      <c r="D16" s="20" t="s">
        <v>123</v>
      </c>
      <c r="E16" s="20" t="s">
        <v>124</v>
      </c>
      <c r="F16" s="21" t="n">
        <v>5186.26</v>
      </c>
      <c r="G16" s="21" t="n">
        <v>5142.76</v>
      </c>
      <c r="H16" s="21" t="n">
        <v>5270.72</v>
      </c>
      <c r="I16" s="21" t="n">
        <v>5307.07</v>
      </c>
      <c r="J16" s="21" t="n">
        <v>5504.38</v>
      </c>
      <c r="K16" s="21" t="n">
        <v>5612.39</v>
      </c>
      <c r="L16" s="21" t="n">
        <v>6385.62</v>
      </c>
      <c r="M16" s="21" t="n">
        <v>6769.77</v>
      </c>
      <c r="N16" s="21" t="n">
        <v>6831.45</v>
      </c>
      <c r="O16" s="21" t="n">
        <v>6859</v>
      </c>
      <c r="P16" s="21" t="n">
        <v>6880.54</v>
      </c>
      <c r="Q16" s="21" t="n">
        <v>6859.57</v>
      </c>
      <c r="R16" s="21" t="n">
        <v>6851.74</v>
      </c>
      <c r="S16" s="21" t="n">
        <v>6887.68</v>
      </c>
      <c r="T16" s="21" t="n">
        <v>6971.33</v>
      </c>
      <c r="U16" s="20"/>
      <c r="V16" s="20" t="s">
        <v>125</v>
      </c>
      <c r="W16" s="20" t="s">
        <v>97</v>
      </c>
      <c r="X16" s="20"/>
      <c r="Y16" s="20" t="s">
        <v>98</v>
      </c>
      <c r="Z16" s="20" t="s">
        <v>126</v>
      </c>
      <c r="AA16" s="20" t="s">
        <v>127</v>
      </c>
      <c r="AB16" s="20" t="s">
        <v>128</v>
      </c>
      <c r="AC16" s="20" t="s">
        <v>129</v>
      </c>
      <c r="AD16" s="20" t="s">
        <v>130</v>
      </c>
      <c r="AE16" s="20" t="s">
        <v>144</v>
      </c>
    </row>
    <row r="17" customFormat="false" ht="15" hidden="false" customHeight="false" outlineLevel="0" collapsed="false">
      <c r="A17" s="20" t="s">
        <v>120</v>
      </c>
      <c r="B17" s="20" t="s">
        <v>78</v>
      </c>
      <c r="C17" s="20" t="s">
        <v>122</v>
      </c>
      <c r="D17" s="20" t="s">
        <v>123</v>
      </c>
      <c r="E17" s="20" t="s">
        <v>124</v>
      </c>
      <c r="F17" s="21" t="n">
        <v>3077.89</v>
      </c>
      <c r="G17" s="21" t="n">
        <v>2917.53</v>
      </c>
      <c r="H17" s="21" t="n">
        <v>2815.19</v>
      </c>
      <c r="I17" s="21" t="n">
        <v>2624.53</v>
      </c>
      <c r="J17" s="21" t="n">
        <v>2589.7</v>
      </c>
      <c r="K17" s="21" t="n">
        <v>2421.99</v>
      </c>
      <c r="L17" s="21" t="n">
        <v>2559.63</v>
      </c>
      <c r="M17" s="21" t="n">
        <v>2681.75</v>
      </c>
      <c r="N17" s="21" t="n">
        <v>2814.37</v>
      </c>
      <c r="O17" s="21" t="n">
        <v>2913.52</v>
      </c>
      <c r="P17" s="21" t="n">
        <v>2997.87</v>
      </c>
      <c r="Q17" s="21" t="n">
        <v>3067.76</v>
      </c>
      <c r="R17" s="21" t="n">
        <v>3129.97</v>
      </c>
      <c r="S17" s="21" t="n">
        <v>3185.06</v>
      </c>
      <c r="T17" s="21" t="n">
        <v>3243.6</v>
      </c>
      <c r="U17" s="20"/>
      <c r="V17" s="20" t="s">
        <v>125</v>
      </c>
      <c r="W17" s="20" t="s">
        <v>97</v>
      </c>
      <c r="X17" s="20"/>
      <c r="Y17" s="20" t="s">
        <v>98</v>
      </c>
      <c r="Z17" s="20" t="s">
        <v>126</v>
      </c>
      <c r="AA17" s="20" t="s">
        <v>127</v>
      </c>
      <c r="AB17" s="20" t="s">
        <v>128</v>
      </c>
      <c r="AC17" s="20" t="s">
        <v>129</v>
      </c>
      <c r="AD17" s="20" t="s">
        <v>130</v>
      </c>
      <c r="AE17" s="20" t="s">
        <v>145</v>
      </c>
    </row>
    <row r="18" customFormat="false" ht="15" hidden="false" customHeight="false" outlineLevel="0" collapsed="false">
      <c r="A18" s="20" t="s">
        <v>120</v>
      </c>
      <c r="B18" s="20" t="s">
        <v>146</v>
      </c>
      <c r="C18" s="20" t="s">
        <v>122</v>
      </c>
      <c r="D18" s="20" t="s">
        <v>123</v>
      </c>
      <c r="E18" s="20" t="s">
        <v>124</v>
      </c>
      <c r="F18" s="21" t="n">
        <v>552.24</v>
      </c>
      <c r="G18" s="21" t="n">
        <v>455.63</v>
      </c>
      <c r="H18" s="21" t="n">
        <v>673.94</v>
      </c>
      <c r="I18" s="21" t="n">
        <v>681.78</v>
      </c>
      <c r="J18" s="21" t="n">
        <v>626.95</v>
      </c>
      <c r="K18" s="21" t="n">
        <v>591.18</v>
      </c>
      <c r="L18" s="21" t="n">
        <v>640.35</v>
      </c>
      <c r="M18" s="21" t="n">
        <v>665.1</v>
      </c>
      <c r="N18" s="21" t="n">
        <v>707.3</v>
      </c>
      <c r="O18" s="21" t="n">
        <v>741.67</v>
      </c>
      <c r="P18" s="21" t="n">
        <v>761.37</v>
      </c>
      <c r="Q18" s="21" t="n">
        <v>785.34</v>
      </c>
      <c r="R18" s="21" t="n">
        <v>808.19</v>
      </c>
      <c r="S18" s="21" t="n">
        <v>827.72</v>
      </c>
      <c r="T18" s="21" t="n">
        <v>847.62</v>
      </c>
      <c r="U18" s="20"/>
      <c r="V18" s="20" t="s">
        <v>125</v>
      </c>
      <c r="W18" s="20" t="s">
        <v>97</v>
      </c>
      <c r="X18" s="20"/>
      <c r="Y18" s="20" t="s">
        <v>98</v>
      </c>
      <c r="Z18" s="20" t="s">
        <v>126</v>
      </c>
      <c r="AA18" s="20" t="s">
        <v>127</v>
      </c>
      <c r="AB18" s="20" t="s">
        <v>128</v>
      </c>
      <c r="AC18" s="20" t="s">
        <v>129</v>
      </c>
      <c r="AD18" s="20" t="s">
        <v>130</v>
      </c>
      <c r="AE18" s="20" t="s">
        <v>147</v>
      </c>
    </row>
    <row r="19" customFormat="false" ht="15" hidden="false" customHeight="false" outlineLevel="0" collapsed="false">
      <c r="A19" s="20" t="s">
        <v>148</v>
      </c>
      <c r="B19" s="20" t="s">
        <v>121</v>
      </c>
      <c r="C19" s="20" t="s">
        <v>122</v>
      </c>
      <c r="D19" s="20" t="s">
        <v>123</v>
      </c>
      <c r="E19" s="20" t="s">
        <v>124</v>
      </c>
      <c r="F19" s="21" t="n">
        <v>330.32</v>
      </c>
      <c r="G19" s="21" t="n">
        <v>364.12</v>
      </c>
      <c r="H19" s="21" t="n">
        <v>373.16</v>
      </c>
      <c r="I19" s="21" t="n">
        <v>381.38</v>
      </c>
      <c r="J19" s="21" t="n">
        <v>373.45</v>
      </c>
      <c r="K19" s="21" t="n">
        <v>372.79</v>
      </c>
      <c r="L19" s="21" t="n">
        <v>393.51</v>
      </c>
      <c r="M19" s="21" t="n">
        <v>403.49</v>
      </c>
      <c r="N19" s="21" t="n">
        <v>410.97</v>
      </c>
      <c r="O19" s="21" t="n">
        <v>423.92</v>
      </c>
      <c r="P19" s="21" t="n">
        <v>436.98</v>
      </c>
      <c r="Q19" s="21" t="n">
        <v>447.73</v>
      </c>
      <c r="R19" s="21" t="n">
        <v>457.95</v>
      </c>
      <c r="S19" s="21" t="n">
        <v>474.8</v>
      </c>
      <c r="T19" s="21" t="n">
        <v>481.91</v>
      </c>
      <c r="U19" s="20"/>
      <c r="V19" s="20" t="s">
        <v>125</v>
      </c>
      <c r="W19" s="20" t="s">
        <v>97</v>
      </c>
      <c r="X19" s="20"/>
      <c r="Y19" s="20" t="s">
        <v>98</v>
      </c>
      <c r="Z19" s="20" t="s">
        <v>126</v>
      </c>
      <c r="AA19" s="20" t="s">
        <v>127</v>
      </c>
      <c r="AB19" s="20" t="s">
        <v>128</v>
      </c>
      <c r="AC19" s="20" t="s">
        <v>129</v>
      </c>
      <c r="AD19" s="20" t="s">
        <v>149</v>
      </c>
      <c r="AE19" s="20" t="s">
        <v>131</v>
      </c>
    </row>
    <row r="20" customFormat="false" ht="15" hidden="false" customHeight="false" outlineLevel="0" collapsed="false">
      <c r="A20" s="20" t="s">
        <v>148</v>
      </c>
      <c r="B20" s="20" t="s">
        <v>132</v>
      </c>
      <c r="C20" s="20" t="s">
        <v>122</v>
      </c>
      <c r="D20" s="20" t="s">
        <v>123</v>
      </c>
      <c r="E20" s="20" t="s">
        <v>124</v>
      </c>
      <c r="F20" s="21" t="n">
        <v>2542.43</v>
      </c>
      <c r="G20" s="21" t="n">
        <v>2560.5</v>
      </c>
      <c r="H20" s="21" t="n">
        <v>2468.34</v>
      </c>
      <c r="I20" s="21" t="n">
        <v>2301.4</v>
      </c>
      <c r="J20" s="21" t="n">
        <v>2302.47</v>
      </c>
      <c r="K20" s="21" t="n">
        <v>2373.7</v>
      </c>
      <c r="L20" s="21" t="n">
        <v>2487.57</v>
      </c>
      <c r="M20" s="21" t="n">
        <v>2598.87</v>
      </c>
      <c r="N20" s="21" t="n">
        <v>2636.42</v>
      </c>
      <c r="O20" s="21" t="n">
        <v>2656.75</v>
      </c>
      <c r="P20" s="21" t="n">
        <v>2675.73</v>
      </c>
      <c r="Q20" s="21" t="n">
        <v>2746.67</v>
      </c>
      <c r="R20" s="21" t="n">
        <v>2832.98</v>
      </c>
      <c r="S20" s="21" t="n">
        <v>2905.68</v>
      </c>
      <c r="T20" s="21" t="n">
        <v>2970.19</v>
      </c>
      <c r="U20" s="20"/>
      <c r="V20" s="20" t="s">
        <v>125</v>
      </c>
      <c r="W20" s="20" t="s">
        <v>97</v>
      </c>
      <c r="X20" s="20"/>
      <c r="Y20" s="20" t="s">
        <v>98</v>
      </c>
      <c r="Z20" s="20" t="s">
        <v>126</v>
      </c>
      <c r="AA20" s="20" t="s">
        <v>127</v>
      </c>
      <c r="AB20" s="20" t="s">
        <v>128</v>
      </c>
      <c r="AC20" s="20" t="s">
        <v>129</v>
      </c>
      <c r="AD20" s="20" t="s">
        <v>149</v>
      </c>
      <c r="AE20" s="20" t="s">
        <v>133</v>
      </c>
    </row>
    <row r="21" customFormat="false" ht="15" hidden="false" customHeight="false" outlineLevel="0" collapsed="false">
      <c r="A21" s="20" t="s">
        <v>148</v>
      </c>
      <c r="B21" s="20" t="s">
        <v>134</v>
      </c>
      <c r="C21" s="20" t="s">
        <v>122</v>
      </c>
      <c r="D21" s="20" t="s">
        <v>123</v>
      </c>
      <c r="E21" s="20" t="s">
        <v>124</v>
      </c>
      <c r="F21" s="21" t="n">
        <v>2216.45</v>
      </c>
      <c r="G21" s="21" t="n">
        <v>2471.31</v>
      </c>
      <c r="H21" s="21" t="n">
        <v>2538</v>
      </c>
      <c r="I21" s="21" t="n">
        <v>2588.31</v>
      </c>
      <c r="J21" s="21" t="n">
        <v>2525.32</v>
      </c>
      <c r="K21" s="21" t="n">
        <v>2651</v>
      </c>
      <c r="L21" s="21" t="n">
        <v>2774.95</v>
      </c>
      <c r="M21" s="21" t="n">
        <v>2930.34</v>
      </c>
      <c r="N21" s="21" t="n">
        <v>2954.53</v>
      </c>
      <c r="O21" s="21" t="n">
        <v>3031.39</v>
      </c>
      <c r="P21" s="21" t="n">
        <v>3119.89</v>
      </c>
      <c r="Q21" s="21" t="n">
        <v>3195</v>
      </c>
      <c r="R21" s="21" t="n">
        <v>3261.73</v>
      </c>
      <c r="S21" s="21" t="n">
        <v>3374.2</v>
      </c>
      <c r="T21" s="21" t="n">
        <v>3419.44</v>
      </c>
      <c r="U21" s="20"/>
      <c r="V21" s="20" t="s">
        <v>125</v>
      </c>
      <c r="W21" s="20" t="s">
        <v>97</v>
      </c>
      <c r="X21" s="20"/>
      <c r="Y21" s="20" t="s">
        <v>98</v>
      </c>
      <c r="Z21" s="20" t="s">
        <v>126</v>
      </c>
      <c r="AA21" s="20" t="s">
        <v>127</v>
      </c>
      <c r="AB21" s="20" t="s">
        <v>128</v>
      </c>
      <c r="AC21" s="20" t="s">
        <v>129</v>
      </c>
      <c r="AD21" s="20" t="s">
        <v>149</v>
      </c>
      <c r="AE21" s="20" t="s">
        <v>135</v>
      </c>
    </row>
    <row r="22" customFormat="false" ht="15" hidden="false" customHeight="false" outlineLevel="0" collapsed="false">
      <c r="A22" s="20" t="s">
        <v>148</v>
      </c>
      <c r="B22" s="20" t="s">
        <v>136</v>
      </c>
      <c r="C22" s="20" t="s">
        <v>122</v>
      </c>
      <c r="D22" s="20" t="s">
        <v>123</v>
      </c>
      <c r="E22" s="20" t="s">
        <v>124</v>
      </c>
      <c r="F22" s="21" t="n">
        <v>1178.19</v>
      </c>
      <c r="G22" s="21" t="n">
        <v>1361.09</v>
      </c>
      <c r="H22" s="21" t="n">
        <v>1304.03</v>
      </c>
      <c r="I22" s="21" t="n">
        <v>1423.44</v>
      </c>
      <c r="J22" s="21" t="n">
        <v>1518.38</v>
      </c>
      <c r="K22" s="21" t="n">
        <v>1569.44</v>
      </c>
      <c r="L22" s="21" t="n">
        <v>1652.75</v>
      </c>
      <c r="M22" s="21" t="n">
        <v>1685.98</v>
      </c>
      <c r="N22" s="21" t="n">
        <v>1702.94</v>
      </c>
      <c r="O22" s="21" t="n">
        <v>1729.68</v>
      </c>
      <c r="P22" s="21" t="n">
        <v>1758.95</v>
      </c>
      <c r="Q22" s="21" t="n">
        <v>1823.09</v>
      </c>
      <c r="R22" s="21" t="n">
        <v>1894.44</v>
      </c>
      <c r="S22" s="21" t="n">
        <v>1957.58</v>
      </c>
      <c r="T22" s="21" t="n">
        <v>2015.64</v>
      </c>
      <c r="U22" s="20"/>
      <c r="V22" s="20" t="s">
        <v>125</v>
      </c>
      <c r="W22" s="20" t="s">
        <v>97</v>
      </c>
      <c r="X22" s="20"/>
      <c r="Y22" s="20" t="s">
        <v>98</v>
      </c>
      <c r="Z22" s="20" t="s">
        <v>126</v>
      </c>
      <c r="AA22" s="20" t="s">
        <v>127</v>
      </c>
      <c r="AB22" s="20" t="s">
        <v>128</v>
      </c>
      <c r="AC22" s="20" t="s">
        <v>129</v>
      </c>
      <c r="AD22" s="20" t="s">
        <v>149</v>
      </c>
      <c r="AE22" s="20" t="s">
        <v>137</v>
      </c>
    </row>
    <row r="23" customFormat="false" ht="15" hidden="false" customHeight="false" outlineLevel="0" collapsed="false">
      <c r="A23" s="20" t="s">
        <v>148</v>
      </c>
      <c r="B23" s="20" t="s">
        <v>60</v>
      </c>
      <c r="C23" s="20" t="s">
        <v>122</v>
      </c>
      <c r="D23" s="20" t="s">
        <v>123</v>
      </c>
      <c r="E23" s="20" t="s">
        <v>124</v>
      </c>
      <c r="F23" s="21" t="n">
        <v>7409.55</v>
      </c>
      <c r="G23" s="21" t="n">
        <v>7848.43</v>
      </c>
      <c r="H23" s="21" t="n">
        <v>7552.35</v>
      </c>
      <c r="I23" s="21" t="n">
        <v>7170.64</v>
      </c>
      <c r="J23" s="21" t="n">
        <v>6917.61</v>
      </c>
      <c r="K23" s="21" t="n">
        <v>6629.28</v>
      </c>
      <c r="L23" s="21" t="n">
        <v>6346.15</v>
      </c>
      <c r="M23" s="21" t="n">
        <v>6321.61</v>
      </c>
      <c r="N23" s="21" t="n">
        <v>6409.47</v>
      </c>
      <c r="O23" s="21" t="n">
        <v>6523.82</v>
      </c>
      <c r="P23" s="21" t="n">
        <v>6731.22</v>
      </c>
      <c r="Q23" s="21" t="n">
        <v>7062.85</v>
      </c>
      <c r="R23" s="21" t="n">
        <v>7407.74</v>
      </c>
      <c r="S23" s="21" t="n">
        <v>7690.76</v>
      </c>
      <c r="T23" s="21" t="n">
        <v>7915.76</v>
      </c>
      <c r="U23" s="20"/>
      <c r="V23" s="20" t="s">
        <v>125</v>
      </c>
      <c r="W23" s="20" t="s">
        <v>97</v>
      </c>
      <c r="X23" s="20"/>
      <c r="Y23" s="20" t="s">
        <v>98</v>
      </c>
      <c r="Z23" s="20" t="s">
        <v>126</v>
      </c>
      <c r="AA23" s="20" t="s">
        <v>127</v>
      </c>
      <c r="AB23" s="20" t="s">
        <v>128</v>
      </c>
      <c r="AC23" s="20" t="s">
        <v>129</v>
      </c>
      <c r="AD23" s="20" t="s">
        <v>149</v>
      </c>
      <c r="AE23" s="20" t="s">
        <v>138</v>
      </c>
    </row>
    <row r="24" customFormat="false" ht="15" hidden="false" customHeight="false" outlineLevel="0" collapsed="false">
      <c r="A24" s="20" t="s">
        <v>148</v>
      </c>
      <c r="B24" s="20" t="s">
        <v>139</v>
      </c>
      <c r="C24" s="20" t="s">
        <v>122</v>
      </c>
      <c r="D24" s="20" t="s">
        <v>123</v>
      </c>
      <c r="E24" s="20" t="s">
        <v>124</v>
      </c>
      <c r="F24" s="21" t="n">
        <v>1333.51</v>
      </c>
      <c r="G24" s="21" t="n">
        <v>1481.69</v>
      </c>
      <c r="H24" s="21" t="n">
        <v>1512.38</v>
      </c>
      <c r="I24" s="21" t="n">
        <v>1547.82</v>
      </c>
      <c r="J24" s="21" t="n">
        <v>1517.35</v>
      </c>
      <c r="K24" s="21" t="n">
        <v>1599.65</v>
      </c>
      <c r="L24" s="21" t="n">
        <v>1689.25</v>
      </c>
      <c r="M24" s="21" t="n">
        <v>1731.97</v>
      </c>
      <c r="N24" s="21" t="n">
        <v>1758.15</v>
      </c>
      <c r="O24" s="21" t="n">
        <v>1827.02</v>
      </c>
      <c r="P24" s="21" t="n">
        <v>1888.15</v>
      </c>
      <c r="Q24" s="21" t="n">
        <v>1919.75</v>
      </c>
      <c r="R24" s="21" t="n">
        <v>1967.55</v>
      </c>
      <c r="S24" s="21" t="n">
        <v>2053.94</v>
      </c>
      <c r="T24" s="21" t="n">
        <v>2105.43</v>
      </c>
      <c r="U24" s="20"/>
      <c r="V24" s="20" t="s">
        <v>125</v>
      </c>
      <c r="W24" s="20" t="s">
        <v>97</v>
      </c>
      <c r="X24" s="20"/>
      <c r="Y24" s="20" t="s">
        <v>98</v>
      </c>
      <c r="Z24" s="20" t="s">
        <v>126</v>
      </c>
      <c r="AA24" s="20" t="s">
        <v>127</v>
      </c>
      <c r="AB24" s="20" t="s">
        <v>128</v>
      </c>
      <c r="AC24" s="20" t="s">
        <v>129</v>
      </c>
      <c r="AD24" s="20" t="s">
        <v>149</v>
      </c>
      <c r="AE24" s="20" t="s">
        <v>140</v>
      </c>
    </row>
    <row r="25" customFormat="false" ht="15" hidden="false" customHeight="false" outlineLevel="0" collapsed="false">
      <c r="A25" s="20" t="s">
        <v>148</v>
      </c>
      <c r="B25" s="20" t="s">
        <v>67</v>
      </c>
      <c r="C25" s="20" t="s">
        <v>122</v>
      </c>
      <c r="D25" s="20" t="s">
        <v>123</v>
      </c>
      <c r="E25" s="20" t="s">
        <v>124</v>
      </c>
      <c r="F25" s="21" t="n">
        <v>3794.23</v>
      </c>
      <c r="G25" s="21" t="n">
        <v>4161.34</v>
      </c>
      <c r="H25" s="21" t="n">
        <v>4053.26</v>
      </c>
      <c r="I25" s="21" t="n">
        <v>3876.71</v>
      </c>
      <c r="J25" s="21" t="n">
        <v>3870.07</v>
      </c>
      <c r="K25" s="21" t="n">
        <v>3818.83</v>
      </c>
      <c r="L25" s="21" t="n">
        <v>3767.33</v>
      </c>
      <c r="M25" s="21" t="n">
        <v>3731.43</v>
      </c>
      <c r="N25" s="21" t="n">
        <v>3762.76</v>
      </c>
      <c r="O25" s="21" t="n">
        <v>3824.4</v>
      </c>
      <c r="P25" s="21" t="n">
        <v>3945.55</v>
      </c>
      <c r="Q25" s="21" t="n">
        <v>4147.73</v>
      </c>
      <c r="R25" s="21" t="n">
        <v>4380.75</v>
      </c>
      <c r="S25" s="21" t="n">
        <v>4594.3</v>
      </c>
      <c r="T25" s="21" t="n">
        <v>4780.44</v>
      </c>
      <c r="U25" s="20"/>
      <c r="V25" s="20" t="s">
        <v>125</v>
      </c>
      <c r="W25" s="20" t="s">
        <v>97</v>
      </c>
      <c r="X25" s="20"/>
      <c r="Y25" s="20" t="s">
        <v>98</v>
      </c>
      <c r="Z25" s="20" t="s">
        <v>126</v>
      </c>
      <c r="AA25" s="20" t="s">
        <v>127</v>
      </c>
      <c r="AB25" s="20" t="s">
        <v>128</v>
      </c>
      <c r="AC25" s="20" t="s">
        <v>129</v>
      </c>
      <c r="AD25" s="20" t="s">
        <v>149</v>
      </c>
      <c r="AE25" s="20" t="s">
        <v>141</v>
      </c>
    </row>
    <row r="26" customFormat="false" ht="15" hidden="false" customHeight="false" outlineLevel="0" collapsed="false">
      <c r="A26" s="20" t="s">
        <v>148</v>
      </c>
      <c r="B26" s="20" t="s">
        <v>64</v>
      </c>
      <c r="C26" s="20" t="s">
        <v>122</v>
      </c>
      <c r="D26" s="20" t="s">
        <v>123</v>
      </c>
      <c r="E26" s="20" t="s">
        <v>124</v>
      </c>
      <c r="F26" s="21" t="n">
        <v>12358.9</v>
      </c>
      <c r="G26" s="21" t="n">
        <v>13944.75</v>
      </c>
      <c r="H26" s="21" t="n">
        <v>14304.67</v>
      </c>
      <c r="I26" s="21" t="n">
        <v>14242.54</v>
      </c>
      <c r="J26" s="21" t="n">
        <v>14832.31</v>
      </c>
      <c r="K26" s="21" t="n">
        <v>14708.7</v>
      </c>
      <c r="L26" s="21" t="n">
        <v>14603.21</v>
      </c>
      <c r="M26" s="21" t="n">
        <v>14925.29</v>
      </c>
      <c r="N26" s="21" t="n">
        <v>15624.56</v>
      </c>
      <c r="O26" s="21" t="n">
        <v>16247.82</v>
      </c>
      <c r="P26" s="21" t="n">
        <v>16847.72</v>
      </c>
      <c r="Q26" s="21" t="n">
        <v>17186.45</v>
      </c>
      <c r="R26" s="21" t="n">
        <v>17559.75</v>
      </c>
      <c r="S26" s="21" t="n">
        <v>17917.69</v>
      </c>
      <c r="T26" s="21" t="n">
        <v>18272.47</v>
      </c>
      <c r="U26" s="20"/>
      <c r="V26" s="20" t="s">
        <v>125</v>
      </c>
      <c r="W26" s="20" t="s">
        <v>97</v>
      </c>
      <c r="X26" s="20"/>
      <c r="Y26" s="20" t="s">
        <v>98</v>
      </c>
      <c r="Z26" s="20" t="s">
        <v>126</v>
      </c>
      <c r="AA26" s="20" t="s">
        <v>127</v>
      </c>
      <c r="AB26" s="20" t="s">
        <v>128</v>
      </c>
      <c r="AC26" s="20" t="s">
        <v>129</v>
      </c>
      <c r="AD26" s="20" t="s">
        <v>149</v>
      </c>
      <c r="AE26" s="20" t="s">
        <v>142</v>
      </c>
    </row>
    <row r="27" customFormat="false" ht="15" hidden="false" customHeight="false" outlineLevel="0" collapsed="false">
      <c r="A27" s="20" t="s">
        <v>148</v>
      </c>
      <c r="B27" s="20" t="s">
        <v>74</v>
      </c>
      <c r="C27" s="20" t="s">
        <v>122</v>
      </c>
      <c r="D27" s="20" t="s">
        <v>123</v>
      </c>
      <c r="E27" s="20" t="s">
        <v>124</v>
      </c>
      <c r="F27" s="21" t="n">
        <v>3961.49</v>
      </c>
      <c r="G27" s="21" t="n">
        <v>4199.98</v>
      </c>
      <c r="H27" s="21" t="n">
        <v>4103.04</v>
      </c>
      <c r="I27" s="21" t="n">
        <v>4069.66</v>
      </c>
      <c r="J27" s="21" t="n">
        <v>4186.19</v>
      </c>
      <c r="K27" s="21" t="n">
        <v>4304.56</v>
      </c>
      <c r="L27" s="21" t="n">
        <v>4496.49</v>
      </c>
      <c r="M27" s="21" t="n">
        <v>4652.84</v>
      </c>
      <c r="N27" s="21" t="n">
        <v>4717.78</v>
      </c>
      <c r="O27" s="21" t="n">
        <v>4775.32</v>
      </c>
      <c r="P27" s="21" t="n">
        <v>4832.25</v>
      </c>
      <c r="Q27" s="21" t="n">
        <v>4982.67</v>
      </c>
      <c r="R27" s="21" t="n">
        <v>5158.79</v>
      </c>
      <c r="S27" s="21" t="n">
        <v>5312.55</v>
      </c>
      <c r="T27" s="21" t="n">
        <v>5452.21</v>
      </c>
      <c r="U27" s="20"/>
      <c r="V27" s="20" t="s">
        <v>125</v>
      </c>
      <c r="W27" s="20" t="s">
        <v>97</v>
      </c>
      <c r="X27" s="20"/>
      <c r="Y27" s="20" t="s">
        <v>98</v>
      </c>
      <c r="Z27" s="20" t="s">
        <v>126</v>
      </c>
      <c r="AA27" s="20" t="s">
        <v>127</v>
      </c>
      <c r="AB27" s="20" t="s">
        <v>128</v>
      </c>
      <c r="AC27" s="20" t="s">
        <v>129</v>
      </c>
      <c r="AD27" s="20" t="s">
        <v>149</v>
      </c>
      <c r="AE27" s="20" t="s">
        <v>143</v>
      </c>
    </row>
    <row r="28" customFormat="false" ht="15" hidden="false" customHeight="false" outlineLevel="0" collapsed="false">
      <c r="A28" s="20" t="s">
        <v>148</v>
      </c>
      <c r="B28" s="20" t="s">
        <v>71</v>
      </c>
      <c r="C28" s="20" t="s">
        <v>122</v>
      </c>
      <c r="D28" s="20" t="s">
        <v>123</v>
      </c>
      <c r="E28" s="20" t="s">
        <v>124</v>
      </c>
      <c r="F28" s="21" t="n">
        <v>5664.38</v>
      </c>
      <c r="G28" s="21" t="n">
        <v>6409.8</v>
      </c>
      <c r="H28" s="21" t="n">
        <v>6588.63</v>
      </c>
      <c r="I28" s="21" t="n">
        <v>6590.1</v>
      </c>
      <c r="J28" s="21" t="n">
        <v>6896.76</v>
      </c>
      <c r="K28" s="21" t="n">
        <v>6915.85</v>
      </c>
      <c r="L28" s="21" t="n">
        <v>6897.52</v>
      </c>
      <c r="M28" s="21" t="n">
        <v>7153.94</v>
      </c>
      <c r="N28" s="21" t="n">
        <v>7596.75</v>
      </c>
      <c r="O28" s="21" t="n">
        <v>8004.55</v>
      </c>
      <c r="P28" s="21" t="n">
        <v>8369.25</v>
      </c>
      <c r="Q28" s="21" t="n">
        <v>8586.95</v>
      </c>
      <c r="R28" s="21" t="n">
        <v>8848.47</v>
      </c>
      <c r="S28" s="21" t="n">
        <v>9118.04</v>
      </c>
      <c r="T28" s="21" t="n">
        <v>9375.69</v>
      </c>
      <c r="U28" s="20"/>
      <c r="V28" s="20" t="s">
        <v>125</v>
      </c>
      <c r="W28" s="20" t="s">
        <v>97</v>
      </c>
      <c r="X28" s="20"/>
      <c r="Y28" s="20" t="s">
        <v>98</v>
      </c>
      <c r="Z28" s="20" t="s">
        <v>126</v>
      </c>
      <c r="AA28" s="20" t="s">
        <v>127</v>
      </c>
      <c r="AB28" s="20" t="s">
        <v>128</v>
      </c>
      <c r="AC28" s="20" t="s">
        <v>129</v>
      </c>
      <c r="AD28" s="20" t="s">
        <v>149</v>
      </c>
      <c r="AE28" s="20" t="s">
        <v>144</v>
      </c>
    </row>
    <row r="29" customFormat="false" ht="15" hidden="false" customHeight="false" outlineLevel="0" collapsed="false">
      <c r="A29" s="20" t="s">
        <v>148</v>
      </c>
      <c r="B29" s="20" t="s">
        <v>78</v>
      </c>
      <c r="C29" s="20" t="s">
        <v>122</v>
      </c>
      <c r="D29" s="20" t="s">
        <v>123</v>
      </c>
      <c r="E29" s="20" t="s">
        <v>124</v>
      </c>
      <c r="F29" s="21" t="n">
        <v>3880.28</v>
      </c>
      <c r="G29" s="21" t="n">
        <v>4317.12</v>
      </c>
      <c r="H29" s="21" t="n">
        <v>4423.54</v>
      </c>
      <c r="I29" s="21" t="n">
        <v>4517.51</v>
      </c>
      <c r="J29" s="21" t="n">
        <v>4416.13</v>
      </c>
      <c r="K29" s="21" t="n">
        <v>4623.45</v>
      </c>
      <c r="L29" s="21" t="n">
        <v>4857.71</v>
      </c>
      <c r="M29" s="21" t="n">
        <v>5065.8</v>
      </c>
      <c r="N29" s="21" t="n">
        <v>5123.64</v>
      </c>
      <c r="O29" s="21" t="n">
        <v>5282.33</v>
      </c>
      <c r="P29" s="21" t="n">
        <v>5445.02</v>
      </c>
      <c r="Q29" s="21" t="n">
        <v>5562.49</v>
      </c>
      <c r="R29" s="21" t="n">
        <v>5687.23</v>
      </c>
      <c r="S29" s="21" t="n">
        <v>5902.93</v>
      </c>
      <c r="T29" s="21" t="n">
        <v>6006.77</v>
      </c>
      <c r="U29" s="20"/>
      <c r="V29" s="20" t="s">
        <v>125</v>
      </c>
      <c r="W29" s="20" t="s">
        <v>97</v>
      </c>
      <c r="X29" s="20"/>
      <c r="Y29" s="20" t="s">
        <v>98</v>
      </c>
      <c r="Z29" s="20" t="s">
        <v>126</v>
      </c>
      <c r="AA29" s="20" t="s">
        <v>127</v>
      </c>
      <c r="AB29" s="20" t="s">
        <v>128</v>
      </c>
      <c r="AC29" s="20" t="s">
        <v>129</v>
      </c>
      <c r="AD29" s="20" t="s">
        <v>149</v>
      </c>
      <c r="AE29" s="20" t="s">
        <v>145</v>
      </c>
    </row>
    <row r="30" customFormat="false" ht="15" hidden="false" customHeight="false" outlineLevel="0" collapsed="false">
      <c r="A30" s="20" t="s">
        <v>148</v>
      </c>
      <c r="B30" s="20" t="s">
        <v>146</v>
      </c>
      <c r="C30" s="20" t="s">
        <v>122</v>
      </c>
      <c r="D30" s="20" t="s">
        <v>123</v>
      </c>
      <c r="E30" s="20" t="s">
        <v>124</v>
      </c>
      <c r="F30" s="21" t="n">
        <v>240.88</v>
      </c>
      <c r="G30" s="21" t="n">
        <v>278.39</v>
      </c>
      <c r="H30" s="21" t="n">
        <v>330.67</v>
      </c>
      <c r="I30" s="21" t="n">
        <v>344.82</v>
      </c>
      <c r="J30" s="21" t="n">
        <v>365.34</v>
      </c>
      <c r="K30" s="21" t="n">
        <v>361.42</v>
      </c>
      <c r="L30" s="21" t="n">
        <v>356.16</v>
      </c>
      <c r="M30" s="21" t="n">
        <v>368</v>
      </c>
      <c r="N30" s="21" t="n">
        <v>378.42</v>
      </c>
      <c r="O30" s="21" t="n">
        <v>388.89</v>
      </c>
      <c r="P30" s="21" t="n">
        <v>397.58</v>
      </c>
      <c r="Q30" s="21" t="n">
        <v>412.9</v>
      </c>
      <c r="R30" s="21" t="n">
        <v>431.37</v>
      </c>
      <c r="S30" s="21" t="n">
        <v>449.3</v>
      </c>
      <c r="T30" s="21" t="n">
        <v>466.38</v>
      </c>
      <c r="U30" s="20"/>
      <c r="V30" s="20" t="s">
        <v>125</v>
      </c>
      <c r="W30" s="20" t="s">
        <v>97</v>
      </c>
      <c r="X30" s="20"/>
      <c r="Y30" s="20" t="s">
        <v>98</v>
      </c>
      <c r="Z30" s="20" t="s">
        <v>126</v>
      </c>
      <c r="AA30" s="20" t="s">
        <v>127</v>
      </c>
      <c r="AB30" s="20" t="s">
        <v>128</v>
      </c>
      <c r="AC30" s="20" t="s">
        <v>129</v>
      </c>
      <c r="AD30" s="20" t="s">
        <v>149</v>
      </c>
      <c r="AE30" s="20" t="s">
        <v>147</v>
      </c>
    </row>
    <row r="31" customFormat="false" ht="15" hidden="false" customHeight="false" outlineLevel="0" collapsed="false">
      <c r="A31" s="20" t="s">
        <v>150</v>
      </c>
      <c r="B31" s="20" t="s">
        <v>121</v>
      </c>
      <c r="C31" s="20" t="s">
        <v>122</v>
      </c>
      <c r="D31" s="20" t="s">
        <v>123</v>
      </c>
      <c r="E31" s="20" t="s">
        <v>124</v>
      </c>
      <c r="F31" s="21" t="n">
        <v>192.55</v>
      </c>
      <c r="G31" s="21" t="n">
        <v>197.48</v>
      </c>
      <c r="H31" s="21" t="n">
        <v>200.01</v>
      </c>
      <c r="I31" s="21" t="n">
        <v>199.32</v>
      </c>
      <c r="J31" s="21" t="n">
        <v>198.78</v>
      </c>
      <c r="K31" s="21" t="n">
        <v>179.58</v>
      </c>
      <c r="L31" s="21" t="n">
        <v>163.15</v>
      </c>
      <c r="M31" s="21" t="n">
        <v>159.36</v>
      </c>
      <c r="N31" s="21" t="n">
        <v>160.42</v>
      </c>
      <c r="O31" s="21" t="n">
        <v>161.82</v>
      </c>
      <c r="P31" s="21" t="n">
        <v>161.35</v>
      </c>
      <c r="Q31" s="21" t="n">
        <v>160.79</v>
      </c>
      <c r="R31" s="21" t="n">
        <v>160.54</v>
      </c>
      <c r="S31" s="21" t="n">
        <v>160.6</v>
      </c>
      <c r="T31" s="21" t="n">
        <v>160.81</v>
      </c>
      <c r="U31" s="20"/>
      <c r="V31" s="20" t="s">
        <v>125</v>
      </c>
      <c r="W31" s="20" t="s">
        <v>97</v>
      </c>
      <c r="X31" s="20"/>
      <c r="Y31" s="20" t="s">
        <v>98</v>
      </c>
      <c r="Z31" s="20" t="s">
        <v>126</v>
      </c>
      <c r="AA31" s="20" t="s">
        <v>127</v>
      </c>
      <c r="AB31" s="20" t="s">
        <v>128</v>
      </c>
      <c r="AC31" s="20" t="s">
        <v>129</v>
      </c>
      <c r="AD31" s="20" t="s">
        <v>151</v>
      </c>
      <c r="AE31" s="20" t="s">
        <v>131</v>
      </c>
    </row>
    <row r="32" customFormat="false" ht="15" hidden="false" customHeight="false" outlineLevel="0" collapsed="false">
      <c r="A32" s="20" t="s">
        <v>150</v>
      </c>
      <c r="B32" s="20" t="s">
        <v>132</v>
      </c>
      <c r="C32" s="20" t="s">
        <v>122</v>
      </c>
      <c r="D32" s="20" t="s">
        <v>123</v>
      </c>
      <c r="E32" s="20" t="s">
        <v>124</v>
      </c>
      <c r="F32" s="21" t="n">
        <v>1275.56</v>
      </c>
      <c r="G32" s="21" t="n">
        <v>1151.15</v>
      </c>
      <c r="H32" s="21" t="n">
        <v>940.2</v>
      </c>
      <c r="I32" s="21" t="n">
        <v>889.35</v>
      </c>
      <c r="J32" s="21" t="n">
        <v>870.73</v>
      </c>
      <c r="K32" s="21" t="n">
        <v>889.47</v>
      </c>
      <c r="L32" s="21" t="n">
        <v>925.05</v>
      </c>
      <c r="M32" s="21" t="n">
        <v>953.01</v>
      </c>
      <c r="N32" s="21" t="n">
        <v>966.25</v>
      </c>
      <c r="O32" s="21" t="n">
        <v>985.66</v>
      </c>
      <c r="P32" s="21" t="n">
        <v>1000.35</v>
      </c>
      <c r="Q32" s="21" t="n">
        <v>1014.54</v>
      </c>
      <c r="R32" s="21" t="n">
        <v>1027.45</v>
      </c>
      <c r="S32" s="21" t="n">
        <v>1040.26</v>
      </c>
      <c r="T32" s="21" t="n">
        <v>1053.65</v>
      </c>
      <c r="U32" s="20"/>
      <c r="V32" s="20" t="s">
        <v>125</v>
      </c>
      <c r="W32" s="20" t="s">
        <v>97</v>
      </c>
      <c r="X32" s="20"/>
      <c r="Y32" s="20" t="s">
        <v>98</v>
      </c>
      <c r="Z32" s="20" t="s">
        <v>126</v>
      </c>
      <c r="AA32" s="20" t="s">
        <v>127</v>
      </c>
      <c r="AB32" s="20" t="s">
        <v>128</v>
      </c>
      <c r="AC32" s="20" t="s">
        <v>129</v>
      </c>
      <c r="AD32" s="20" t="s">
        <v>151</v>
      </c>
      <c r="AE32" s="20" t="s">
        <v>133</v>
      </c>
    </row>
    <row r="33" customFormat="false" ht="15" hidden="false" customHeight="false" outlineLevel="0" collapsed="false">
      <c r="A33" s="20" t="s">
        <v>150</v>
      </c>
      <c r="B33" s="20" t="s">
        <v>134</v>
      </c>
      <c r="C33" s="20" t="s">
        <v>122</v>
      </c>
      <c r="D33" s="20" t="s">
        <v>123</v>
      </c>
      <c r="E33" s="20" t="s">
        <v>124</v>
      </c>
      <c r="F33" s="21" t="n">
        <v>1200.03</v>
      </c>
      <c r="G33" s="21" t="n">
        <v>1264.43</v>
      </c>
      <c r="H33" s="21" t="n">
        <v>1290.19</v>
      </c>
      <c r="I33" s="21" t="n">
        <v>1290.32</v>
      </c>
      <c r="J33" s="21" t="n">
        <v>1290.4</v>
      </c>
      <c r="K33" s="21" t="n">
        <v>1279.89</v>
      </c>
      <c r="L33" s="21" t="n">
        <v>1262.54</v>
      </c>
      <c r="M33" s="21" t="n">
        <v>1294.11</v>
      </c>
      <c r="N33" s="21" t="n">
        <v>1342.79</v>
      </c>
      <c r="O33" s="21" t="n">
        <v>1390.04</v>
      </c>
      <c r="P33" s="21" t="n">
        <v>1425.57</v>
      </c>
      <c r="Q33" s="21" t="n">
        <v>1456.74</v>
      </c>
      <c r="R33" s="21" t="n">
        <v>1486.55</v>
      </c>
      <c r="S33" s="21" t="n">
        <v>1515.93</v>
      </c>
      <c r="T33" s="21" t="n">
        <v>1544.93</v>
      </c>
      <c r="U33" s="20"/>
      <c r="V33" s="20" t="s">
        <v>125</v>
      </c>
      <c r="W33" s="20" t="s">
        <v>97</v>
      </c>
      <c r="X33" s="20"/>
      <c r="Y33" s="20" t="s">
        <v>98</v>
      </c>
      <c r="Z33" s="20" t="s">
        <v>126</v>
      </c>
      <c r="AA33" s="20" t="s">
        <v>127</v>
      </c>
      <c r="AB33" s="20" t="s">
        <v>128</v>
      </c>
      <c r="AC33" s="20" t="s">
        <v>129</v>
      </c>
      <c r="AD33" s="20" t="s">
        <v>151</v>
      </c>
      <c r="AE33" s="20" t="s">
        <v>135</v>
      </c>
    </row>
    <row r="34" customFormat="false" ht="15" hidden="false" customHeight="false" outlineLevel="0" collapsed="false">
      <c r="A34" s="20" t="s">
        <v>150</v>
      </c>
      <c r="B34" s="20" t="s">
        <v>136</v>
      </c>
      <c r="C34" s="20" t="s">
        <v>122</v>
      </c>
      <c r="D34" s="20" t="s">
        <v>123</v>
      </c>
      <c r="E34" s="20" t="s">
        <v>124</v>
      </c>
      <c r="F34" s="21" t="n">
        <v>2051.44</v>
      </c>
      <c r="G34" s="21" t="n">
        <v>1847.82</v>
      </c>
      <c r="H34" s="21" t="n">
        <v>1543.67</v>
      </c>
      <c r="I34" s="21" t="n">
        <v>1490.12</v>
      </c>
      <c r="J34" s="21" t="n">
        <v>1460.53</v>
      </c>
      <c r="K34" s="21" t="n">
        <v>1504.96</v>
      </c>
      <c r="L34" s="21" t="n">
        <v>1578.51</v>
      </c>
      <c r="M34" s="21" t="n">
        <v>1632.39</v>
      </c>
      <c r="N34" s="21" t="n">
        <v>1653.1</v>
      </c>
      <c r="O34" s="21" t="n">
        <v>1682.14</v>
      </c>
      <c r="P34" s="21" t="n">
        <v>1706.52</v>
      </c>
      <c r="Q34" s="21" t="n">
        <v>1731.89</v>
      </c>
      <c r="R34" s="21" t="n">
        <v>1756.41</v>
      </c>
      <c r="S34" s="21" t="n">
        <v>1778.26</v>
      </c>
      <c r="T34" s="21" t="n">
        <v>1799.97</v>
      </c>
      <c r="U34" s="20"/>
      <c r="V34" s="20" t="s">
        <v>125</v>
      </c>
      <c r="W34" s="20" t="s">
        <v>97</v>
      </c>
      <c r="X34" s="20"/>
      <c r="Y34" s="20" t="s">
        <v>98</v>
      </c>
      <c r="Z34" s="20" t="s">
        <v>126</v>
      </c>
      <c r="AA34" s="20" t="s">
        <v>127</v>
      </c>
      <c r="AB34" s="20" t="s">
        <v>128</v>
      </c>
      <c r="AC34" s="20" t="s">
        <v>129</v>
      </c>
      <c r="AD34" s="20" t="s">
        <v>151</v>
      </c>
      <c r="AE34" s="20" t="s">
        <v>137</v>
      </c>
    </row>
    <row r="35" customFormat="false" ht="15" hidden="false" customHeight="false" outlineLevel="0" collapsed="false">
      <c r="A35" s="20" t="s">
        <v>150</v>
      </c>
      <c r="B35" s="20" t="s">
        <v>60</v>
      </c>
      <c r="C35" s="20" t="s">
        <v>122</v>
      </c>
      <c r="D35" s="20" t="s">
        <v>123</v>
      </c>
      <c r="E35" s="20" t="s">
        <v>124</v>
      </c>
      <c r="F35" s="21" t="n">
        <v>23368.08</v>
      </c>
      <c r="G35" s="21" t="n">
        <v>23863.24</v>
      </c>
      <c r="H35" s="21" t="n">
        <v>23310.52</v>
      </c>
      <c r="I35" s="21" t="n">
        <v>22701.32</v>
      </c>
      <c r="J35" s="21" t="n">
        <v>22459.99</v>
      </c>
      <c r="K35" s="21" t="n">
        <v>23276.19</v>
      </c>
      <c r="L35" s="21" t="n">
        <v>24035.43</v>
      </c>
      <c r="M35" s="21" t="n">
        <v>25154.79</v>
      </c>
      <c r="N35" s="21" t="n">
        <v>26556.4</v>
      </c>
      <c r="O35" s="21" t="n">
        <v>27111.44</v>
      </c>
      <c r="P35" s="21" t="n">
        <v>27583.29</v>
      </c>
      <c r="Q35" s="21" t="n">
        <v>28372.63</v>
      </c>
      <c r="R35" s="21" t="n">
        <v>29115.21</v>
      </c>
      <c r="S35" s="21" t="n">
        <v>29855.55</v>
      </c>
      <c r="T35" s="21" t="n">
        <v>30561.11</v>
      </c>
      <c r="U35" s="20"/>
      <c r="V35" s="20" t="s">
        <v>125</v>
      </c>
      <c r="W35" s="20" t="s">
        <v>97</v>
      </c>
      <c r="X35" s="20"/>
      <c r="Y35" s="20" t="s">
        <v>98</v>
      </c>
      <c r="Z35" s="20" t="s">
        <v>126</v>
      </c>
      <c r="AA35" s="20" t="s">
        <v>127</v>
      </c>
      <c r="AB35" s="20" t="s">
        <v>128</v>
      </c>
      <c r="AC35" s="20" t="s">
        <v>129</v>
      </c>
      <c r="AD35" s="20" t="s">
        <v>151</v>
      </c>
      <c r="AE35" s="20" t="s">
        <v>138</v>
      </c>
    </row>
    <row r="36" customFormat="false" ht="15" hidden="false" customHeight="false" outlineLevel="0" collapsed="false">
      <c r="A36" s="20" t="s">
        <v>150</v>
      </c>
      <c r="B36" s="20" t="s">
        <v>139</v>
      </c>
      <c r="C36" s="20" t="s">
        <v>122</v>
      </c>
      <c r="D36" s="20" t="s">
        <v>123</v>
      </c>
      <c r="E36" s="20" t="s">
        <v>124</v>
      </c>
      <c r="F36" s="21" t="n">
        <v>2274.55</v>
      </c>
      <c r="G36" s="21" t="n">
        <v>2378.12</v>
      </c>
      <c r="H36" s="21" t="n">
        <v>2417.85</v>
      </c>
      <c r="I36" s="21" t="n">
        <v>2410.15</v>
      </c>
      <c r="J36" s="21" t="n">
        <v>2402.25</v>
      </c>
      <c r="K36" s="21" t="n">
        <v>2387.37</v>
      </c>
      <c r="L36" s="21" t="n">
        <v>2354.02</v>
      </c>
      <c r="M36" s="21" t="n">
        <v>2413.45</v>
      </c>
      <c r="N36" s="21" t="n">
        <v>2504.69</v>
      </c>
      <c r="O36" s="21" t="n">
        <v>2591.87</v>
      </c>
      <c r="P36" s="21" t="n">
        <v>2657.61</v>
      </c>
      <c r="Q36" s="21" t="n">
        <v>2715.91</v>
      </c>
      <c r="R36" s="21" t="n">
        <v>2772.34</v>
      </c>
      <c r="S36" s="21" t="n">
        <v>2826.84</v>
      </c>
      <c r="T36" s="21" t="n">
        <v>2880.16</v>
      </c>
      <c r="U36" s="20"/>
      <c r="V36" s="20" t="s">
        <v>125</v>
      </c>
      <c r="W36" s="20" t="s">
        <v>97</v>
      </c>
      <c r="X36" s="20"/>
      <c r="Y36" s="20" t="s">
        <v>98</v>
      </c>
      <c r="Z36" s="20" t="s">
        <v>126</v>
      </c>
      <c r="AA36" s="20" t="s">
        <v>127</v>
      </c>
      <c r="AB36" s="20" t="s">
        <v>128</v>
      </c>
      <c r="AC36" s="20" t="s">
        <v>129</v>
      </c>
      <c r="AD36" s="20" t="s">
        <v>151</v>
      </c>
      <c r="AE36" s="20" t="s">
        <v>140</v>
      </c>
    </row>
    <row r="37" customFormat="false" ht="15" hidden="false" customHeight="false" outlineLevel="0" collapsed="false">
      <c r="A37" s="20" t="s">
        <v>150</v>
      </c>
      <c r="B37" s="20" t="s">
        <v>67</v>
      </c>
      <c r="C37" s="20" t="s">
        <v>122</v>
      </c>
      <c r="D37" s="20" t="s">
        <v>123</v>
      </c>
      <c r="E37" s="20" t="s">
        <v>124</v>
      </c>
      <c r="F37" s="21" t="n">
        <v>19616.55</v>
      </c>
      <c r="G37" s="21" t="n">
        <v>19811.42</v>
      </c>
      <c r="H37" s="21" t="n">
        <v>19306.3</v>
      </c>
      <c r="I37" s="21" t="n">
        <v>18767.03</v>
      </c>
      <c r="J37" s="21" t="n">
        <v>18560.3</v>
      </c>
      <c r="K37" s="21" t="n">
        <v>19432.37</v>
      </c>
      <c r="L37" s="21" t="n">
        <v>20323.56</v>
      </c>
      <c r="M37" s="21" t="n">
        <v>21398.35</v>
      </c>
      <c r="N37" s="21" t="n">
        <v>22713.09</v>
      </c>
      <c r="O37" s="21" t="n">
        <v>23386.64</v>
      </c>
      <c r="P37" s="21" t="n">
        <v>23932.34</v>
      </c>
      <c r="Q37" s="21" t="n">
        <v>24752.19</v>
      </c>
      <c r="R37" s="21" t="n">
        <v>25497.34</v>
      </c>
      <c r="S37" s="21" t="n">
        <v>26239.13</v>
      </c>
      <c r="T37" s="21" t="n">
        <v>26957.28</v>
      </c>
      <c r="U37" s="20"/>
      <c r="V37" s="20" t="s">
        <v>125</v>
      </c>
      <c r="W37" s="20" t="s">
        <v>97</v>
      </c>
      <c r="X37" s="20"/>
      <c r="Y37" s="20" t="s">
        <v>98</v>
      </c>
      <c r="Z37" s="20" t="s">
        <v>126</v>
      </c>
      <c r="AA37" s="20" t="s">
        <v>127</v>
      </c>
      <c r="AB37" s="20" t="s">
        <v>128</v>
      </c>
      <c r="AC37" s="20" t="s">
        <v>129</v>
      </c>
      <c r="AD37" s="20" t="s">
        <v>151</v>
      </c>
      <c r="AE37" s="20" t="s">
        <v>141</v>
      </c>
    </row>
    <row r="38" customFormat="false" ht="15" hidden="false" customHeight="false" outlineLevel="0" collapsed="false">
      <c r="A38" s="20" t="s">
        <v>150</v>
      </c>
      <c r="B38" s="20" t="s">
        <v>64</v>
      </c>
      <c r="C38" s="20" t="s">
        <v>122</v>
      </c>
      <c r="D38" s="20" t="s">
        <v>123</v>
      </c>
      <c r="E38" s="20" t="s">
        <v>124</v>
      </c>
      <c r="F38" s="21" t="n">
        <v>10260.57</v>
      </c>
      <c r="G38" s="21" t="n">
        <v>10955.66</v>
      </c>
      <c r="H38" s="21" t="n">
        <v>11035.96</v>
      </c>
      <c r="I38" s="21" t="n">
        <v>10855.95</v>
      </c>
      <c r="J38" s="21" t="n">
        <v>10834.16</v>
      </c>
      <c r="K38" s="21" t="n">
        <v>10763.89</v>
      </c>
      <c r="L38" s="21" t="n">
        <v>10653.05</v>
      </c>
      <c r="M38" s="21" t="n">
        <v>10708.05</v>
      </c>
      <c r="N38" s="21" t="n">
        <v>10937.04</v>
      </c>
      <c r="O38" s="21" t="n">
        <v>10907.28</v>
      </c>
      <c r="P38" s="21" t="n">
        <v>10963.25</v>
      </c>
      <c r="Q38" s="21" t="n">
        <v>11223.78</v>
      </c>
      <c r="R38" s="21" t="n">
        <v>11339.64</v>
      </c>
      <c r="S38" s="21" t="n">
        <v>11430.52</v>
      </c>
      <c r="T38" s="21" t="n">
        <v>11505.11</v>
      </c>
      <c r="U38" s="20"/>
      <c r="V38" s="20" t="s">
        <v>125</v>
      </c>
      <c r="W38" s="20" t="s">
        <v>97</v>
      </c>
      <c r="X38" s="20"/>
      <c r="Y38" s="20" t="s">
        <v>98</v>
      </c>
      <c r="Z38" s="20" t="s">
        <v>126</v>
      </c>
      <c r="AA38" s="20" t="s">
        <v>127</v>
      </c>
      <c r="AB38" s="20" t="s">
        <v>128</v>
      </c>
      <c r="AC38" s="20" t="s">
        <v>129</v>
      </c>
      <c r="AD38" s="20" t="s">
        <v>151</v>
      </c>
      <c r="AE38" s="20" t="s">
        <v>142</v>
      </c>
    </row>
    <row r="39" customFormat="false" ht="15" hidden="false" customHeight="false" outlineLevel="0" collapsed="false">
      <c r="A39" s="20" t="s">
        <v>150</v>
      </c>
      <c r="B39" s="20" t="s">
        <v>74</v>
      </c>
      <c r="C39" s="20" t="s">
        <v>122</v>
      </c>
      <c r="D39" s="20" t="s">
        <v>123</v>
      </c>
      <c r="E39" s="20" t="s">
        <v>124</v>
      </c>
      <c r="F39" s="21" t="n">
        <v>3429.76</v>
      </c>
      <c r="G39" s="21" t="n">
        <v>3087.07</v>
      </c>
      <c r="H39" s="21" t="n">
        <v>2584.17</v>
      </c>
      <c r="I39" s="21" t="n">
        <v>2498.72</v>
      </c>
      <c r="J39" s="21" t="n">
        <v>2454.09</v>
      </c>
      <c r="K39" s="21" t="n">
        <v>2505.52</v>
      </c>
      <c r="L39" s="21" t="n">
        <v>2623.43</v>
      </c>
      <c r="M39" s="21" t="n">
        <v>2712.32</v>
      </c>
      <c r="N39" s="21" t="n">
        <v>2748.47</v>
      </c>
      <c r="O39" s="21" t="n">
        <v>2799.36</v>
      </c>
      <c r="P39" s="21" t="n">
        <v>2839.99</v>
      </c>
      <c r="Q39" s="21" t="n">
        <v>2881.33</v>
      </c>
      <c r="R39" s="21" t="n">
        <v>2920.72</v>
      </c>
      <c r="S39" s="21" t="n">
        <v>2957.41</v>
      </c>
      <c r="T39" s="21" t="n">
        <v>2994.46</v>
      </c>
      <c r="U39" s="20"/>
      <c r="V39" s="20" t="s">
        <v>125</v>
      </c>
      <c r="W39" s="20" t="s">
        <v>97</v>
      </c>
      <c r="X39" s="20"/>
      <c r="Y39" s="20" t="s">
        <v>98</v>
      </c>
      <c r="Z39" s="20" t="s">
        <v>126</v>
      </c>
      <c r="AA39" s="20" t="s">
        <v>127</v>
      </c>
      <c r="AB39" s="20" t="s">
        <v>128</v>
      </c>
      <c r="AC39" s="20" t="s">
        <v>129</v>
      </c>
      <c r="AD39" s="20" t="s">
        <v>151</v>
      </c>
      <c r="AE39" s="20" t="s">
        <v>143</v>
      </c>
    </row>
    <row r="40" customFormat="false" ht="15" hidden="false" customHeight="false" outlineLevel="0" collapsed="false">
      <c r="A40" s="20" t="s">
        <v>150</v>
      </c>
      <c r="B40" s="20" t="s">
        <v>71</v>
      </c>
      <c r="C40" s="20" t="s">
        <v>122</v>
      </c>
      <c r="D40" s="20" t="s">
        <v>123</v>
      </c>
      <c r="E40" s="20" t="s">
        <v>124</v>
      </c>
      <c r="F40" s="21" t="n">
        <v>7231.86</v>
      </c>
      <c r="G40" s="21" t="n">
        <v>7840.39</v>
      </c>
      <c r="H40" s="21" t="n">
        <v>8020.03</v>
      </c>
      <c r="I40" s="21" t="n">
        <v>7924.51</v>
      </c>
      <c r="J40" s="21" t="n">
        <v>7921.19</v>
      </c>
      <c r="K40" s="21" t="n">
        <v>7817.49</v>
      </c>
      <c r="L40" s="21" t="n">
        <v>7628</v>
      </c>
      <c r="M40" s="21" t="n">
        <v>7585.85</v>
      </c>
      <c r="N40" s="21" t="n">
        <v>7641.09</v>
      </c>
      <c r="O40" s="21" t="n">
        <v>7591.04</v>
      </c>
      <c r="P40" s="21" t="n">
        <v>7547.94</v>
      </c>
      <c r="Q40" s="21" t="n">
        <v>7609.19</v>
      </c>
      <c r="R40" s="21" t="n">
        <v>7649.7</v>
      </c>
      <c r="S40" s="21" t="n">
        <v>7676.45</v>
      </c>
      <c r="T40" s="21" t="n">
        <v>7703.78</v>
      </c>
      <c r="U40" s="20"/>
      <c r="V40" s="20" t="s">
        <v>125</v>
      </c>
      <c r="W40" s="20" t="s">
        <v>97</v>
      </c>
      <c r="X40" s="20"/>
      <c r="Y40" s="20" t="s">
        <v>98</v>
      </c>
      <c r="Z40" s="20" t="s">
        <v>126</v>
      </c>
      <c r="AA40" s="20" t="s">
        <v>127</v>
      </c>
      <c r="AB40" s="20" t="s">
        <v>128</v>
      </c>
      <c r="AC40" s="20" t="s">
        <v>129</v>
      </c>
      <c r="AD40" s="20" t="s">
        <v>151</v>
      </c>
      <c r="AE40" s="20" t="s">
        <v>144</v>
      </c>
    </row>
    <row r="41" customFormat="false" ht="15" hidden="false" customHeight="false" outlineLevel="0" collapsed="false">
      <c r="A41" s="20" t="s">
        <v>150</v>
      </c>
      <c r="B41" s="20" t="s">
        <v>78</v>
      </c>
      <c r="C41" s="20" t="s">
        <v>122</v>
      </c>
      <c r="D41" s="20" t="s">
        <v>123</v>
      </c>
      <c r="E41" s="20" t="s">
        <v>124</v>
      </c>
      <c r="F41" s="21" t="n">
        <v>3667.13</v>
      </c>
      <c r="G41" s="21" t="n">
        <v>3840.03</v>
      </c>
      <c r="H41" s="21" t="n">
        <v>3908.05</v>
      </c>
      <c r="I41" s="21" t="n">
        <v>3899.79</v>
      </c>
      <c r="J41" s="21" t="n">
        <v>3891.43</v>
      </c>
      <c r="K41" s="21" t="n">
        <v>3846.84</v>
      </c>
      <c r="L41" s="21" t="n">
        <v>3779.7</v>
      </c>
      <c r="M41" s="21" t="n">
        <v>3866.92</v>
      </c>
      <c r="N41" s="21" t="n">
        <v>4007.9</v>
      </c>
      <c r="O41" s="21" t="n">
        <v>4143.74</v>
      </c>
      <c r="P41" s="21" t="n">
        <v>4244.54</v>
      </c>
      <c r="Q41" s="21" t="n">
        <v>4333.43</v>
      </c>
      <c r="R41" s="21" t="n">
        <v>4419.43</v>
      </c>
      <c r="S41" s="21" t="n">
        <v>4503.37</v>
      </c>
      <c r="T41" s="21" t="n">
        <v>4585.89</v>
      </c>
      <c r="U41" s="20"/>
      <c r="V41" s="20" t="s">
        <v>125</v>
      </c>
      <c r="W41" s="20" t="s">
        <v>97</v>
      </c>
      <c r="X41" s="20"/>
      <c r="Y41" s="20" t="s">
        <v>98</v>
      </c>
      <c r="Z41" s="20" t="s">
        <v>126</v>
      </c>
      <c r="AA41" s="20" t="s">
        <v>127</v>
      </c>
      <c r="AB41" s="20" t="s">
        <v>128</v>
      </c>
      <c r="AC41" s="20" t="s">
        <v>129</v>
      </c>
      <c r="AD41" s="20" t="s">
        <v>151</v>
      </c>
      <c r="AE41" s="20" t="s">
        <v>145</v>
      </c>
    </row>
    <row r="42" customFormat="false" ht="15" hidden="false" customHeight="false" outlineLevel="0" collapsed="false">
      <c r="A42" s="20" t="s">
        <v>150</v>
      </c>
      <c r="B42" s="20" t="s">
        <v>146</v>
      </c>
      <c r="C42" s="20" t="s">
        <v>122</v>
      </c>
      <c r="D42" s="20" t="s">
        <v>123</v>
      </c>
      <c r="E42" s="20" t="s">
        <v>124</v>
      </c>
      <c r="F42" s="21" t="n">
        <v>102.76</v>
      </c>
      <c r="G42" s="21" t="n">
        <v>88.1</v>
      </c>
      <c r="H42" s="21" t="n">
        <v>100.31</v>
      </c>
      <c r="I42" s="21" t="n">
        <v>119.25</v>
      </c>
      <c r="J42" s="21" t="n">
        <v>122.84</v>
      </c>
      <c r="K42" s="21" t="n">
        <v>111.1</v>
      </c>
      <c r="L42" s="21" t="n">
        <v>119.87</v>
      </c>
      <c r="M42" s="21" t="n">
        <v>126.92</v>
      </c>
      <c r="N42" s="21" t="n">
        <v>129.13</v>
      </c>
      <c r="O42" s="21" t="n">
        <v>131.55</v>
      </c>
      <c r="P42" s="21" t="n">
        <v>133.12</v>
      </c>
      <c r="Q42" s="21" t="n">
        <v>134.91</v>
      </c>
      <c r="R42" s="21" t="n">
        <v>136.86</v>
      </c>
      <c r="S42" s="21" t="n">
        <v>138.89</v>
      </c>
      <c r="T42" s="21" t="n">
        <v>140.85</v>
      </c>
      <c r="U42" s="20"/>
      <c r="V42" s="20" t="s">
        <v>125</v>
      </c>
      <c r="W42" s="20" t="s">
        <v>97</v>
      </c>
      <c r="X42" s="20"/>
      <c r="Y42" s="20" t="s">
        <v>98</v>
      </c>
      <c r="Z42" s="20" t="s">
        <v>126</v>
      </c>
      <c r="AA42" s="20" t="s">
        <v>127</v>
      </c>
      <c r="AB42" s="20" t="s">
        <v>128</v>
      </c>
      <c r="AC42" s="20" t="s">
        <v>129</v>
      </c>
      <c r="AD42" s="20" t="s">
        <v>151</v>
      </c>
      <c r="AE42" s="20" t="s">
        <v>147</v>
      </c>
    </row>
    <row r="43" customFormat="false" ht="15" hidden="false" customHeight="false" outlineLevel="0" collapsed="false">
      <c r="A43" s="20" t="s">
        <v>152</v>
      </c>
      <c r="B43" s="20" t="s">
        <v>121</v>
      </c>
      <c r="C43" s="20" t="s">
        <v>122</v>
      </c>
      <c r="D43" s="20" t="s">
        <v>123</v>
      </c>
      <c r="E43" s="20" t="s">
        <v>124</v>
      </c>
      <c r="F43" s="21" t="n">
        <v>197.92</v>
      </c>
      <c r="G43" s="21" t="n">
        <v>217.38</v>
      </c>
      <c r="H43" s="21" t="n">
        <v>201.12</v>
      </c>
      <c r="I43" s="21" t="n">
        <v>199.1</v>
      </c>
      <c r="J43" s="21" t="n">
        <v>200.18</v>
      </c>
      <c r="K43" s="21" t="n">
        <v>191.57</v>
      </c>
      <c r="L43" s="21" t="n">
        <v>202.13</v>
      </c>
      <c r="M43" s="21" t="n">
        <v>212.52</v>
      </c>
      <c r="N43" s="21" t="n">
        <v>229.5</v>
      </c>
      <c r="O43" s="21" t="n">
        <v>249.69</v>
      </c>
      <c r="P43" s="21" t="n">
        <v>266.22</v>
      </c>
      <c r="Q43" s="21" t="n">
        <v>274.98</v>
      </c>
      <c r="R43" s="21" t="n">
        <v>282.81</v>
      </c>
      <c r="S43" s="21" t="n">
        <v>293.94</v>
      </c>
      <c r="T43" s="21" t="n">
        <v>302.7</v>
      </c>
      <c r="U43" s="20"/>
      <c r="V43" s="20" t="s">
        <v>125</v>
      </c>
      <c r="W43" s="20" t="s">
        <v>97</v>
      </c>
      <c r="X43" s="20"/>
      <c r="Y43" s="20" t="s">
        <v>98</v>
      </c>
      <c r="Z43" s="20" t="s">
        <v>126</v>
      </c>
      <c r="AA43" s="20" t="s">
        <v>127</v>
      </c>
      <c r="AB43" s="20" t="s">
        <v>128</v>
      </c>
      <c r="AC43" s="20" t="s">
        <v>129</v>
      </c>
      <c r="AD43" s="20" t="s">
        <v>153</v>
      </c>
      <c r="AE43" s="20" t="s">
        <v>131</v>
      </c>
    </row>
    <row r="44" customFormat="false" ht="15" hidden="false" customHeight="false" outlineLevel="0" collapsed="false">
      <c r="A44" s="20" t="s">
        <v>152</v>
      </c>
      <c r="B44" s="20" t="s">
        <v>132</v>
      </c>
      <c r="C44" s="20" t="s">
        <v>122</v>
      </c>
      <c r="D44" s="20" t="s">
        <v>123</v>
      </c>
      <c r="E44" s="20" t="s">
        <v>124</v>
      </c>
      <c r="F44" s="21" t="n">
        <v>966.78</v>
      </c>
      <c r="G44" s="21" t="n">
        <v>880.1</v>
      </c>
      <c r="H44" s="21" t="n">
        <v>881.3</v>
      </c>
      <c r="I44" s="21" t="n">
        <v>826.19</v>
      </c>
      <c r="J44" s="21" t="n">
        <v>868.73</v>
      </c>
      <c r="K44" s="21" t="n">
        <v>857.24</v>
      </c>
      <c r="L44" s="21" t="n">
        <v>891.27</v>
      </c>
      <c r="M44" s="21" t="n">
        <v>922.25</v>
      </c>
      <c r="N44" s="21" t="n">
        <v>980.02</v>
      </c>
      <c r="O44" s="21" t="n">
        <v>1048.32</v>
      </c>
      <c r="P44" s="21" t="n">
        <v>1098.12</v>
      </c>
      <c r="Q44" s="21" t="n">
        <v>1115.36</v>
      </c>
      <c r="R44" s="21" t="n">
        <v>1128.35</v>
      </c>
      <c r="S44" s="21" t="n">
        <v>1151.27</v>
      </c>
      <c r="T44" s="21" t="n">
        <v>1173.07</v>
      </c>
      <c r="U44" s="20"/>
      <c r="V44" s="20" t="s">
        <v>125</v>
      </c>
      <c r="W44" s="20" t="s">
        <v>97</v>
      </c>
      <c r="X44" s="20"/>
      <c r="Y44" s="20" t="s">
        <v>98</v>
      </c>
      <c r="Z44" s="20" t="s">
        <v>126</v>
      </c>
      <c r="AA44" s="20" t="s">
        <v>127</v>
      </c>
      <c r="AB44" s="20" t="s">
        <v>128</v>
      </c>
      <c r="AC44" s="20" t="s">
        <v>129</v>
      </c>
      <c r="AD44" s="20" t="s">
        <v>153</v>
      </c>
      <c r="AE44" s="20" t="s">
        <v>133</v>
      </c>
    </row>
    <row r="45" customFormat="false" ht="15" hidden="false" customHeight="false" outlineLevel="0" collapsed="false">
      <c r="A45" s="20" t="s">
        <v>152</v>
      </c>
      <c r="B45" s="20" t="s">
        <v>134</v>
      </c>
      <c r="C45" s="20" t="s">
        <v>122</v>
      </c>
      <c r="D45" s="20" t="s">
        <v>123</v>
      </c>
      <c r="E45" s="20" t="s">
        <v>124</v>
      </c>
      <c r="F45" s="21" t="n">
        <v>639.5</v>
      </c>
      <c r="G45" s="21" t="n">
        <v>718.63</v>
      </c>
      <c r="H45" s="21" t="n">
        <v>677.05</v>
      </c>
      <c r="I45" s="21" t="n">
        <v>692.02</v>
      </c>
      <c r="J45" s="21" t="n">
        <v>713.33</v>
      </c>
      <c r="K45" s="21" t="n">
        <v>707.05</v>
      </c>
      <c r="L45" s="21" t="n">
        <v>739.37</v>
      </c>
      <c r="M45" s="21" t="n">
        <v>768.49</v>
      </c>
      <c r="N45" s="21" t="n">
        <v>820.67</v>
      </c>
      <c r="O45" s="21" t="n">
        <v>882.28</v>
      </c>
      <c r="P45" s="21" t="n">
        <v>929.02</v>
      </c>
      <c r="Q45" s="21" t="n">
        <v>948.12</v>
      </c>
      <c r="R45" s="21" t="n">
        <v>963.67</v>
      </c>
      <c r="S45" s="21" t="n">
        <v>988.03</v>
      </c>
      <c r="T45" s="21" t="n">
        <v>1011.76</v>
      </c>
      <c r="U45" s="20"/>
      <c r="V45" s="20" t="s">
        <v>125</v>
      </c>
      <c r="W45" s="20" t="s">
        <v>97</v>
      </c>
      <c r="X45" s="20"/>
      <c r="Y45" s="20" t="s">
        <v>98</v>
      </c>
      <c r="Z45" s="20" t="s">
        <v>126</v>
      </c>
      <c r="AA45" s="20" t="s">
        <v>127</v>
      </c>
      <c r="AB45" s="20" t="s">
        <v>128</v>
      </c>
      <c r="AC45" s="20" t="s">
        <v>129</v>
      </c>
      <c r="AD45" s="20" t="s">
        <v>153</v>
      </c>
      <c r="AE45" s="20" t="s">
        <v>135</v>
      </c>
    </row>
    <row r="46" customFormat="false" ht="15" hidden="false" customHeight="false" outlineLevel="0" collapsed="false">
      <c r="A46" s="20" t="s">
        <v>152</v>
      </c>
      <c r="B46" s="20" t="s">
        <v>136</v>
      </c>
      <c r="C46" s="20" t="s">
        <v>122</v>
      </c>
      <c r="D46" s="20" t="s">
        <v>123</v>
      </c>
      <c r="E46" s="20" t="s">
        <v>124</v>
      </c>
      <c r="F46" s="21" t="n">
        <v>941.11</v>
      </c>
      <c r="G46" s="21" t="n">
        <v>878.11</v>
      </c>
      <c r="H46" s="21" t="n">
        <v>816.48</v>
      </c>
      <c r="I46" s="21" t="n">
        <v>764.49</v>
      </c>
      <c r="J46" s="21" t="n">
        <v>731.93</v>
      </c>
      <c r="K46" s="21" t="n">
        <v>683.48</v>
      </c>
      <c r="L46" s="21" t="n">
        <v>732.56</v>
      </c>
      <c r="M46" s="21" t="n">
        <v>798.4</v>
      </c>
      <c r="N46" s="21" t="n">
        <v>825.21</v>
      </c>
      <c r="O46" s="21" t="n">
        <v>868.28</v>
      </c>
      <c r="P46" s="21" t="n">
        <v>911.87</v>
      </c>
      <c r="Q46" s="21" t="n">
        <v>932.95</v>
      </c>
      <c r="R46" s="21" t="n">
        <v>951.31</v>
      </c>
      <c r="S46" s="21" t="n">
        <v>976.61</v>
      </c>
      <c r="T46" s="21" t="n">
        <v>997.64</v>
      </c>
      <c r="U46" s="20"/>
      <c r="V46" s="20" t="s">
        <v>125</v>
      </c>
      <c r="W46" s="20" t="s">
        <v>97</v>
      </c>
      <c r="X46" s="20"/>
      <c r="Y46" s="20" t="s">
        <v>98</v>
      </c>
      <c r="Z46" s="20" t="s">
        <v>126</v>
      </c>
      <c r="AA46" s="20" t="s">
        <v>127</v>
      </c>
      <c r="AB46" s="20" t="s">
        <v>128</v>
      </c>
      <c r="AC46" s="20" t="s">
        <v>129</v>
      </c>
      <c r="AD46" s="20" t="s">
        <v>153</v>
      </c>
      <c r="AE46" s="20" t="s">
        <v>137</v>
      </c>
    </row>
    <row r="47" customFormat="false" ht="15" hidden="false" customHeight="false" outlineLevel="0" collapsed="false">
      <c r="A47" s="20" t="s">
        <v>152</v>
      </c>
      <c r="B47" s="20" t="s">
        <v>60</v>
      </c>
      <c r="C47" s="20" t="s">
        <v>122</v>
      </c>
      <c r="D47" s="20" t="s">
        <v>123</v>
      </c>
      <c r="E47" s="20" t="s">
        <v>124</v>
      </c>
      <c r="F47" s="21" t="n">
        <v>8408.85</v>
      </c>
      <c r="G47" s="21" t="n">
        <v>8487.92</v>
      </c>
      <c r="H47" s="21" t="n">
        <v>8640.24</v>
      </c>
      <c r="I47" s="21" t="n">
        <v>7871.33</v>
      </c>
      <c r="J47" s="21" t="n">
        <v>7550.1</v>
      </c>
      <c r="K47" s="21" t="n">
        <v>7645.95</v>
      </c>
      <c r="L47" s="21" t="n">
        <v>7947.28</v>
      </c>
      <c r="M47" s="21" t="n">
        <v>8207.32</v>
      </c>
      <c r="N47" s="21" t="n">
        <v>8336.28</v>
      </c>
      <c r="O47" s="21" t="n">
        <v>8473.59</v>
      </c>
      <c r="P47" s="21" t="n">
        <v>8656.78</v>
      </c>
      <c r="Q47" s="21" t="n">
        <v>8859.53</v>
      </c>
      <c r="R47" s="21" t="n">
        <v>9064.23</v>
      </c>
      <c r="S47" s="21" t="n">
        <v>9221.6</v>
      </c>
      <c r="T47" s="21" t="n">
        <v>9353.21</v>
      </c>
      <c r="U47" s="20"/>
      <c r="V47" s="20" t="s">
        <v>125</v>
      </c>
      <c r="W47" s="20" t="s">
        <v>97</v>
      </c>
      <c r="X47" s="20"/>
      <c r="Y47" s="20" t="s">
        <v>98</v>
      </c>
      <c r="Z47" s="20" t="s">
        <v>126</v>
      </c>
      <c r="AA47" s="20" t="s">
        <v>127</v>
      </c>
      <c r="AB47" s="20" t="s">
        <v>128</v>
      </c>
      <c r="AC47" s="20" t="s">
        <v>129</v>
      </c>
      <c r="AD47" s="20" t="s">
        <v>153</v>
      </c>
      <c r="AE47" s="20" t="s">
        <v>138</v>
      </c>
    </row>
    <row r="48" customFormat="false" ht="15" hidden="false" customHeight="false" outlineLevel="0" collapsed="false">
      <c r="A48" s="20" t="s">
        <v>152</v>
      </c>
      <c r="B48" s="20" t="s">
        <v>139</v>
      </c>
      <c r="C48" s="20" t="s">
        <v>122</v>
      </c>
      <c r="D48" s="20" t="s">
        <v>123</v>
      </c>
      <c r="E48" s="20" t="s">
        <v>124</v>
      </c>
      <c r="F48" s="21" t="n">
        <v>533.52</v>
      </c>
      <c r="G48" s="21" t="n">
        <v>602.16</v>
      </c>
      <c r="H48" s="21" t="n">
        <v>572.27</v>
      </c>
      <c r="I48" s="21" t="n">
        <v>587.93</v>
      </c>
      <c r="J48" s="21" t="n">
        <v>610.43</v>
      </c>
      <c r="K48" s="21" t="n">
        <v>594.51</v>
      </c>
      <c r="L48" s="21" t="n">
        <v>616.55</v>
      </c>
      <c r="M48" s="21" t="n">
        <v>648.84</v>
      </c>
      <c r="N48" s="21" t="n">
        <v>684.5</v>
      </c>
      <c r="O48" s="21" t="n">
        <v>727.71</v>
      </c>
      <c r="P48" s="21" t="n">
        <v>761.91</v>
      </c>
      <c r="Q48" s="21" t="n">
        <v>774.47</v>
      </c>
      <c r="R48" s="21" t="n">
        <v>784.09</v>
      </c>
      <c r="S48" s="21" t="n">
        <v>800.6</v>
      </c>
      <c r="T48" s="21" t="n">
        <v>814.91</v>
      </c>
      <c r="U48" s="20"/>
      <c r="V48" s="20" t="s">
        <v>125</v>
      </c>
      <c r="W48" s="20" t="s">
        <v>97</v>
      </c>
      <c r="X48" s="20"/>
      <c r="Y48" s="20" t="s">
        <v>98</v>
      </c>
      <c r="Z48" s="20" t="s">
        <v>126</v>
      </c>
      <c r="AA48" s="20" t="s">
        <v>127</v>
      </c>
      <c r="AB48" s="20" t="s">
        <v>128</v>
      </c>
      <c r="AC48" s="20" t="s">
        <v>129</v>
      </c>
      <c r="AD48" s="20" t="s">
        <v>153</v>
      </c>
      <c r="AE48" s="20" t="s">
        <v>140</v>
      </c>
    </row>
    <row r="49" customFormat="false" ht="15" hidden="false" customHeight="false" outlineLevel="0" collapsed="false">
      <c r="A49" s="20" t="s">
        <v>152</v>
      </c>
      <c r="B49" s="20" t="s">
        <v>67</v>
      </c>
      <c r="C49" s="20" t="s">
        <v>122</v>
      </c>
      <c r="D49" s="20" t="s">
        <v>123</v>
      </c>
      <c r="E49" s="20" t="s">
        <v>124</v>
      </c>
      <c r="F49" s="21" t="n">
        <v>3428.54</v>
      </c>
      <c r="G49" s="21" t="n">
        <v>3492.19</v>
      </c>
      <c r="H49" s="21" t="n">
        <v>3693.76</v>
      </c>
      <c r="I49" s="21" t="n">
        <v>3465.06</v>
      </c>
      <c r="J49" s="21" t="n">
        <v>3512.72</v>
      </c>
      <c r="K49" s="21" t="n">
        <v>3696.75</v>
      </c>
      <c r="L49" s="21" t="n">
        <v>3918.28</v>
      </c>
      <c r="M49" s="21" t="n">
        <v>4099.32</v>
      </c>
      <c r="N49" s="21" t="n">
        <v>4183.14</v>
      </c>
      <c r="O49" s="21" t="n">
        <v>4282.56</v>
      </c>
      <c r="P49" s="21" t="n">
        <v>4369.55</v>
      </c>
      <c r="Q49" s="21" t="n">
        <v>4456.47</v>
      </c>
      <c r="R49" s="21" t="n">
        <v>4543.04</v>
      </c>
      <c r="S49" s="21" t="n">
        <v>4624.43</v>
      </c>
      <c r="T49" s="21" t="n">
        <v>4702.52</v>
      </c>
      <c r="U49" s="20"/>
      <c r="V49" s="20" t="s">
        <v>125</v>
      </c>
      <c r="W49" s="20" t="s">
        <v>97</v>
      </c>
      <c r="X49" s="20"/>
      <c r="Y49" s="20" t="s">
        <v>98</v>
      </c>
      <c r="Z49" s="20" t="s">
        <v>126</v>
      </c>
      <c r="AA49" s="20" t="s">
        <v>127</v>
      </c>
      <c r="AB49" s="20" t="s">
        <v>128</v>
      </c>
      <c r="AC49" s="20" t="s">
        <v>129</v>
      </c>
      <c r="AD49" s="20" t="s">
        <v>153</v>
      </c>
      <c r="AE49" s="20" t="s">
        <v>141</v>
      </c>
    </row>
    <row r="50" customFormat="false" ht="15" hidden="false" customHeight="false" outlineLevel="0" collapsed="false">
      <c r="A50" s="20" t="s">
        <v>152</v>
      </c>
      <c r="B50" s="20" t="s">
        <v>64</v>
      </c>
      <c r="C50" s="20" t="s">
        <v>122</v>
      </c>
      <c r="D50" s="20" t="s">
        <v>123</v>
      </c>
      <c r="E50" s="20" t="s">
        <v>124</v>
      </c>
      <c r="F50" s="21" t="n">
        <v>2714.22</v>
      </c>
      <c r="G50" s="21" t="n">
        <v>2741.14</v>
      </c>
      <c r="H50" s="21" t="n">
        <v>2456.64</v>
      </c>
      <c r="I50" s="21" t="n">
        <v>2814.13</v>
      </c>
      <c r="J50" s="21" t="n">
        <v>2914.1</v>
      </c>
      <c r="K50" s="21" t="n">
        <v>2864.36</v>
      </c>
      <c r="L50" s="21" t="n">
        <v>2709.7</v>
      </c>
      <c r="M50" s="21" t="n">
        <v>2804.14</v>
      </c>
      <c r="N50" s="21" t="n">
        <v>2968.39</v>
      </c>
      <c r="O50" s="21" t="n">
        <v>3124.29</v>
      </c>
      <c r="P50" s="21" t="n">
        <v>3234.3</v>
      </c>
      <c r="Q50" s="21" t="n">
        <v>3324.76</v>
      </c>
      <c r="R50" s="21" t="n">
        <v>3413.27</v>
      </c>
      <c r="S50" s="21" t="n">
        <v>3486.05</v>
      </c>
      <c r="T50" s="21" t="n">
        <v>3545.57</v>
      </c>
      <c r="U50" s="20"/>
      <c r="V50" s="20" t="s">
        <v>125</v>
      </c>
      <c r="W50" s="20" t="s">
        <v>97</v>
      </c>
      <c r="X50" s="20"/>
      <c r="Y50" s="20" t="s">
        <v>98</v>
      </c>
      <c r="Z50" s="20" t="s">
        <v>126</v>
      </c>
      <c r="AA50" s="20" t="s">
        <v>127</v>
      </c>
      <c r="AB50" s="20" t="s">
        <v>128</v>
      </c>
      <c r="AC50" s="20" t="s">
        <v>129</v>
      </c>
      <c r="AD50" s="20" t="s">
        <v>153</v>
      </c>
      <c r="AE50" s="20" t="s">
        <v>142</v>
      </c>
    </row>
    <row r="51" customFormat="false" ht="15" hidden="false" customHeight="false" outlineLevel="0" collapsed="false">
      <c r="A51" s="20" t="s">
        <v>152</v>
      </c>
      <c r="B51" s="20" t="s">
        <v>74</v>
      </c>
      <c r="C51" s="20" t="s">
        <v>122</v>
      </c>
      <c r="D51" s="20" t="s">
        <v>123</v>
      </c>
      <c r="E51" s="20" t="s">
        <v>124</v>
      </c>
      <c r="F51" s="21" t="n">
        <v>1995.32</v>
      </c>
      <c r="G51" s="21" t="n">
        <v>1836.47</v>
      </c>
      <c r="H51" s="21" t="n">
        <v>1792.86</v>
      </c>
      <c r="I51" s="21" t="n">
        <v>1662.61</v>
      </c>
      <c r="J51" s="21" t="n">
        <v>1665.63</v>
      </c>
      <c r="K51" s="21" t="n">
        <v>1597.07</v>
      </c>
      <c r="L51" s="21" t="n">
        <v>1684.47</v>
      </c>
      <c r="M51" s="21" t="n">
        <v>1786.05</v>
      </c>
      <c r="N51" s="21" t="n">
        <v>1877.68</v>
      </c>
      <c r="O51" s="21" t="n">
        <v>1997.7</v>
      </c>
      <c r="P51" s="21" t="n">
        <v>2098.88</v>
      </c>
      <c r="Q51" s="21" t="n">
        <v>2142.56</v>
      </c>
      <c r="R51" s="21" t="n">
        <v>2179.23</v>
      </c>
      <c r="S51" s="21" t="n">
        <v>2233.99</v>
      </c>
      <c r="T51" s="21" t="n">
        <v>2282.38</v>
      </c>
      <c r="U51" s="20"/>
      <c r="V51" s="20" t="s">
        <v>125</v>
      </c>
      <c r="W51" s="20" t="s">
        <v>97</v>
      </c>
      <c r="X51" s="20"/>
      <c r="Y51" s="20" t="s">
        <v>98</v>
      </c>
      <c r="Z51" s="20" t="s">
        <v>126</v>
      </c>
      <c r="AA51" s="20" t="s">
        <v>127</v>
      </c>
      <c r="AB51" s="20" t="s">
        <v>128</v>
      </c>
      <c r="AC51" s="20" t="s">
        <v>129</v>
      </c>
      <c r="AD51" s="20" t="s">
        <v>153</v>
      </c>
      <c r="AE51" s="20" t="s">
        <v>143</v>
      </c>
    </row>
    <row r="52" customFormat="false" ht="15" hidden="false" customHeight="false" outlineLevel="0" collapsed="false">
      <c r="A52" s="20" t="s">
        <v>152</v>
      </c>
      <c r="B52" s="20" t="s">
        <v>71</v>
      </c>
      <c r="C52" s="20" t="s">
        <v>122</v>
      </c>
      <c r="D52" s="20" t="s">
        <v>123</v>
      </c>
      <c r="E52" s="20" t="s">
        <v>124</v>
      </c>
      <c r="F52" s="21" t="n">
        <v>1101.36</v>
      </c>
      <c r="G52" s="21" t="n">
        <v>1097.43</v>
      </c>
      <c r="H52" s="21" t="n">
        <v>888.62</v>
      </c>
      <c r="I52" s="21" t="n">
        <v>959.91</v>
      </c>
      <c r="J52" s="21" t="n">
        <v>909.17</v>
      </c>
      <c r="K52" s="21" t="n">
        <v>977.04</v>
      </c>
      <c r="L52" s="21" t="n">
        <v>1000.32</v>
      </c>
      <c r="M52" s="21" t="n">
        <v>1068.19</v>
      </c>
      <c r="N52" s="21" t="n">
        <v>1159.65</v>
      </c>
      <c r="O52" s="21" t="n">
        <v>1255.36</v>
      </c>
      <c r="P52" s="21" t="n">
        <v>1304.01</v>
      </c>
      <c r="Q52" s="21" t="n">
        <v>1332.82</v>
      </c>
      <c r="R52" s="21" t="n">
        <v>1362.32</v>
      </c>
      <c r="S52" s="21" t="n">
        <v>1401.4</v>
      </c>
      <c r="T52" s="21" t="n">
        <v>1443.19</v>
      </c>
      <c r="U52" s="20"/>
      <c r="V52" s="20" t="s">
        <v>125</v>
      </c>
      <c r="W52" s="20" t="s">
        <v>97</v>
      </c>
      <c r="X52" s="20"/>
      <c r="Y52" s="20" t="s">
        <v>98</v>
      </c>
      <c r="Z52" s="20" t="s">
        <v>126</v>
      </c>
      <c r="AA52" s="20" t="s">
        <v>127</v>
      </c>
      <c r="AB52" s="20" t="s">
        <v>128</v>
      </c>
      <c r="AC52" s="20" t="s">
        <v>129</v>
      </c>
      <c r="AD52" s="20" t="s">
        <v>153</v>
      </c>
      <c r="AE52" s="20" t="s">
        <v>144</v>
      </c>
    </row>
    <row r="53" customFormat="false" ht="15" hidden="false" customHeight="false" outlineLevel="0" collapsed="false">
      <c r="A53" s="20" t="s">
        <v>152</v>
      </c>
      <c r="B53" s="20" t="s">
        <v>78</v>
      </c>
      <c r="C53" s="20" t="s">
        <v>122</v>
      </c>
      <c r="D53" s="20" t="s">
        <v>123</v>
      </c>
      <c r="E53" s="20" t="s">
        <v>124</v>
      </c>
      <c r="F53" s="21" t="n">
        <v>1370.94</v>
      </c>
      <c r="G53" s="21" t="n">
        <v>1538.17</v>
      </c>
      <c r="H53" s="21" t="n">
        <v>1450.44</v>
      </c>
      <c r="I53" s="21" t="n">
        <v>1479.06</v>
      </c>
      <c r="J53" s="21" t="n">
        <v>1523.94</v>
      </c>
      <c r="K53" s="21" t="n">
        <v>1493.13</v>
      </c>
      <c r="L53" s="21" t="n">
        <v>1558.05</v>
      </c>
      <c r="M53" s="21" t="n">
        <v>1629.85</v>
      </c>
      <c r="N53" s="21" t="n">
        <v>1734.67</v>
      </c>
      <c r="O53" s="21" t="n">
        <v>1859.69</v>
      </c>
      <c r="P53" s="21" t="n">
        <v>1957.15</v>
      </c>
      <c r="Q53" s="21" t="n">
        <v>1997.57</v>
      </c>
      <c r="R53" s="21" t="n">
        <v>2030.57</v>
      </c>
      <c r="S53" s="21" t="n">
        <v>2082.57</v>
      </c>
      <c r="T53" s="21" t="n">
        <v>2129.37</v>
      </c>
      <c r="U53" s="20"/>
      <c r="V53" s="20" t="s">
        <v>125</v>
      </c>
      <c r="W53" s="20" t="s">
        <v>97</v>
      </c>
      <c r="X53" s="20"/>
      <c r="Y53" s="20" t="s">
        <v>98</v>
      </c>
      <c r="Z53" s="20" t="s">
        <v>126</v>
      </c>
      <c r="AA53" s="20" t="s">
        <v>127</v>
      </c>
      <c r="AB53" s="20" t="s">
        <v>128</v>
      </c>
      <c r="AC53" s="20" t="s">
        <v>129</v>
      </c>
      <c r="AD53" s="20" t="s">
        <v>153</v>
      </c>
      <c r="AE53" s="20" t="s">
        <v>145</v>
      </c>
    </row>
    <row r="54" customFormat="false" ht="15" hidden="false" customHeight="false" outlineLevel="0" collapsed="false">
      <c r="A54" s="20" t="s">
        <v>152</v>
      </c>
      <c r="B54" s="20" t="s">
        <v>146</v>
      </c>
      <c r="C54" s="20" t="s">
        <v>122</v>
      </c>
      <c r="D54" s="20" t="s">
        <v>123</v>
      </c>
      <c r="E54" s="20" t="s">
        <v>124</v>
      </c>
      <c r="F54" s="21" t="n">
        <v>87.43</v>
      </c>
      <c r="G54" s="21" t="n">
        <v>78.26</v>
      </c>
      <c r="H54" s="21" t="n">
        <v>95.08</v>
      </c>
      <c r="I54" s="21" t="n">
        <v>71.92</v>
      </c>
      <c r="J54" s="21" t="n">
        <v>64.98</v>
      </c>
      <c r="K54" s="21" t="n">
        <v>56.35</v>
      </c>
      <c r="L54" s="21" t="n">
        <v>60.64</v>
      </c>
      <c r="M54" s="21" t="n">
        <v>65.4</v>
      </c>
      <c r="N54" s="21" t="n">
        <v>72.45</v>
      </c>
      <c r="O54" s="21" t="n">
        <v>81.09</v>
      </c>
      <c r="P54" s="21" t="n">
        <v>88.88</v>
      </c>
      <c r="Q54" s="21" t="n">
        <v>94.26</v>
      </c>
      <c r="R54" s="21" t="n">
        <v>99.57</v>
      </c>
      <c r="S54" s="21" t="n">
        <v>106.11</v>
      </c>
      <c r="T54" s="21" t="n">
        <v>111.67</v>
      </c>
      <c r="U54" s="20"/>
      <c r="V54" s="20" t="s">
        <v>125</v>
      </c>
      <c r="W54" s="20" t="s">
        <v>97</v>
      </c>
      <c r="X54" s="20"/>
      <c r="Y54" s="20" t="s">
        <v>98</v>
      </c>
      <c r="Z54" s="20" t="s">
        <v>126</v>
      </c>
      <c r="AA54" s="20" t="s">
        <v>127</v>
      </c>
      <c r="AB54" s="20" t="s">
        <v>128</v>
      </c>
      <c r="AC54" s="20" t="s">
        <v>129</v>
      </c>
      <c r="AD54" s="20" t="s">
        <v>153</v>
      </c>
      <c r="AE54" s="20" t="s">
        <v>147</v>
      </c>
    </row>
    <row r="55" customFormat="false" ht="15" hidden="false" customHeight="false" outlineLevel="0" collapsed="false">
      <c r="A55" s="20" t="s">
        <v>154</v>
      </c>
      <c r="B55" s="20" t="s">
        <v>121</v>
      </c>
      <c r="C55" s="20" t="s">
        <v>122</v>
      </c>
      <c r="D55" s="20" t="s">
        <v>123</v>
      </c>
      <c r="E55" s="20" t="s">
        <v>124</v>
      </c>
      <c r="F55" s="21" t="n">
        <v>644.14</v>
      </c>
      <c r="G55" s="21" t="n">
        <v>620.53</v>
      </c>
      <c r="H55" s="21" t="n">
        <v>518.66</v>
      </c>
      <c r="I55" s="21" t="n">
        <v>460.01</v>
      </c>
      <c r="J55" s="21" t="n">
        <v>449.73</v>
      </c>
      <c r="K55" s="21" t="n">
        <v>442.4</v>
      </c>
      <c r="L55" s="21" t="n">
        <v>441.12</v>
      </c>
      <c r="M55" s="21" t="n">
        <v>453.7</v>
      </c>
      <c r="N55" s="21" t="n">
        <v>468.57</v>
      </c>
      <c r="O55" s="21" t="n">
        <v>489.75</v>
      </c>
      <c r="P55" s="21" t="n">
        <v>526.96</v>
      </c>
      <c r="Q55" s="21" t="n">
        <v>543.24</v>
      </c>
      <c r="R55" s="21" t="n">
        <v>552.04</v>
      </c>
      <c r="S55" s="21" t="n">
        <v>566.73</v>
      </c>
      <c r="T55" s="21" t="n">
        <v>570.65</v>
      </c>
      <c r="U55" s="20"/>
      <c r="V55" s="20" t="s">
        <v>125</v>
      </c>
      <c r="W55" s="20" t="s">
        <v>97</v>
      </c>
      <c r="X55" s="20"/>
      <c r="Y55" s="20" t="s">
        <v>98</v>
      </c>
      <c r="Z55" s="20" t="s">
        <v>126</v>
      </c>
      <c r="AA55" s="20" t="s">
        <v>127</v>
      </c>
      <c r="AB55" s="20" t="s">
        <v>128</v>
      </c>
      <c r="AC55" s="20" t="s">
        <v>129</v>
      </c>
      <c r="AD55" s="20" t="s">
        <v>155</v>
      </c>
      <c r="AE55" s="20" t="s">
        <v>131</v>
      </c>
    </row>
    <row r="56" customFormat="false" ht="15" hidden="false" customHeight="false" outlineLevel="0" collapsed="false">
      <c r="A56" s="20" t="s">
        <v>154</v>
      </c>
      <c r="B56" s="20" t="s">
        <v>132</v>
      </c>
      <c r="C56" s="20" t="s">
        <v>122</v>
      </c>
      <c r="D56" s="20" t="s">
        <v>123</v>
      </c>
      <c r="E56" s="20" t="s">
        <v>124</v>
      </c>
      <c r="F56" s="21" t="n">
        <v>3656.15</v>
      </c>
      <c r="G56" s="21" t="n">
        <v>3228.88</v>
      </c>
      <c r="H56" s="21" t="n">
        <v>2748.58</v>
      </c>
      <c r="I56" s="21" t="n">
        <v>2548.23</v>
      </c>
      <c r="J56" s="21" t="n">
        <v>2787.49</v>
      </c>
      <c r="K56" s="21" t="n">
        <v>2730.12</v>
      </c>
      <c r="L56" s="21" t="n">
        <v>2772.47</v>
      </c>
      <c r="M56" s="21" t="n">
        <v>2930.43</v>
      </c>
      <c r="N56" s="21" t="n">
        <v>3097.79</v>
      </c>
      <c r="O56" s="21" t="n">
        <v>3159.87</v>
      </c>
      <c r="P56" s="21" t="n">
        <v>3210.39</v>
      </c>
      <c r="Q56" s="21" t="n">
        <v>3289.71</v>
      </c>
      <c r="R56" s="21" t="n">
        <v>3325.41</v>
      </c>
      <c r="S56" s="21" t="n">
        <v>3332.08</v>
      </c>
      <c r="T56" s="21" t="n">
        <v>3361.88</v>
      </c>
      <c r="U56" s="20"/>
      <c r="V56" s="20" t="s">
        <v>125</v>
      </c>
      <c r="W56" s="20" t="s">
        <v>97</v>
      </c>
      <c r="X56" s="20"/>
      <c r="Y56" s="20" t="s">
        <v>98</v>
      </c>
      <c r="Z56" s="20" t="s">
        <v>126</v>
      </c>
      <c r="AA56" s="20" t="s">
        <v>127</v>
      </c>
      <c r="AB56" s="20" t="s">
        <v>128</v>
      </c>
      <c r="AC56" s="20" t="s">
        <v>129</v>
      </c>
      <c r="AD56" s="20" t="s">
        <v>155</v>
      </c>
      <c r="AE56" s="20" t="s">
        <v>133</v>
      </c>
    </row>
    <row r="57" customFormat="false" ht="15" hidden="false" customHeight="false" outlineLevel="0" collapsed="false">
      <c r="A57" s="20" t="s">
        <v>154</v>
      </c>
      <c r="B57" s="20" t="s">
        <v>134</v>
      </c>
      <c r="C57" s="20" t="s">
        <v>122</v>
      </c>
      <c r="D57" s="20" t="s">
        <v>123</v>
      </c>
      <c r="E57" s="20" t="s">
        <v>124</v>
      </c>
      <c r="F57" s="21" t="n">
        <v>4655.99</v>
      </c>
      <c r="G57" s="21" t="n">
        <v>4348.82</v>
      </c>
      <c r="H57" s="21" t="n">
        <v>3806.96</v>
      </c>
      <c r="I57" s="21" t="n">
        <v>3559.16</v>
      </c>
      <c r="J57" s="21" t="n">
        <v>3923.99</v>
      </c>
      <c r="K57" s="21" t="n">
        <v>3806.25</v>
      </c>
      <c r="L57" s="21" t="n">
        <v>3922.42</v>
      </c>
      <c r="M57" s="21" t="n">
        <v>4012.96</v>
      </c>
      <c r="N57" s="21" t="n">
        <v>4090.01</v>
      </c>
      <c r="O57" s="21" t="n">
        <v>4238.23</v>
      </c>
      <c r="P57" s="21" t="n">
        <v>4462.9</v>
      </c>
      <c r="Q57" s="21" t="n">
        <v>4635.36</v>
      </c>
      <c r="R57" s="21" t="n">
        <v>4753.3</v>
      </c>
      <c r="S57" s="21" t="n">
        <v>4869.17</v>
      </c>
      <c r="T57" s="21" t="n">
        <v>4922.69</v>
      </c>
      <c r="U57" s="20"/>
      <c r="V57" s="20" t="s">
        <v>125</v>
      </c>
      <c r="W57" s="20" t="s">
        <v>97</v>
      </c>
      <c r="X57" s="20"/>
      <c r="Y57" s="20" t="s">
        <v>98</v>
      </c>
      <c r="Z57" s="20" t="s">
        <v>126</v>
      </c>
      <c r="AA57" s="20" t="s">
        <v>127</v>
      </c>
      <c r="AB57" s="20" t="s">
        <v>128</v>
      </c>
      <c r="AC57" s="20" t="s">
        <v>129</v>
      </c>
      <c r="AD57" s="20" t="s">
        <v>155</v>
      </c>
      <c r="AE57" s="20" t="s">
        <v>135</v>
      </c>
    </row>
    <row r="58" customFormat="false" ht="15" hidden="false" customHeight="false" outlineLevel="0" collapsed="false">
      <c r="A58" s="20" t="s">
        <v>154</v>
      </c>
      <c r="B58" s="20" t="s">
        <v>136</v>
      </c>
      <c r="C58" s="20" t="s">
        <v>122</v>
      </c>
      <c r="D58" s="20" t="s">
        <v>123</v>
      </c>
      <c r="E58" s="20" t="s">
        <v>124</v>
      </c>
      <c r="F58" s="21" t="n">
        <v>8683.23</v>
      </c>
      <c r="G58" s="21" t="n">
        <v>8612.93</v>
      </c>
      <c r="H58" s="21" t="n">
        <v>7423.7</v>
      </c>
      <c r="I58" s="21" t="n">
        <v>7268.94</v>
      </c>
      <c r="J58" s="21" t="n">
        <v>6977.69</v>
      </c>
      <c r="K58" s="21" t="n">
        <v>6753.78</v>
      </c>
      <c r="L58" s="21" t="n">
        <v>6775.89</v>
      </c>
      <c r="M58" s="21" t="n">
        <v>7041.7</v>
      </c>
      <c r="N58" s="21" t="n">
        <v>7498.87</v>
      </c>
      <c r="O58" s="21" t="n">
        <v>7735.65</v>
      </c>
      <c r="P58" s="21" t="n">
        <v>7818.89</v>
      </c>
      <c r="Q58" s="21" t="n">
        <v>7890.75</v>
      </c>
      <c r="R58" s="21" t="n">
        <v>7851.4</v>
      </c>
      <c r="S58" s="21" t="n">
        <v>7784.8</v>
      </c>
      <c r="T58" s="21" t="n">
        <v>7734.97</v>
      </c>
      <c r="U58" s="20"/>
      <c r="V58" s="20" t="s">
        <v>125</v>
      </c>
      <c r="W58" s="20" t="s">
        <v>97</v>
      </c>
      <c r="X58" s="20"/>
      <c r="Y58" s="20" t="s">
        <v>98</v>
      </c>
      <c r="Z58" s="20" t="s">
        <v>126</v>
      </c>
      <c r="AA58" s="20" t="s">
        <v>127</v>
      </c>
      <c r="AB58" s="20" t="s">
        <v>128</v>
      </c>
      <c r="AC58" s="20" t="s">
        <v>129</v>
      </c>
      <c r="AD58" s="20" t="s">
        <v>155</v>
      </c>
      <c r="AE58" s="20" t="s">
        <v>137</v>
      </c>
    </row>
    <row r="59" customFormat="false" ht="15" hidden="false" customHeight="false" outlineLevel="0" collapsed="false">
      <c r="A59" s="20" t="s">
        <v>154</v>
      </c>
      <c r="B59" s="20" t="s">
        <v>60</v>
      </c>
      <c r="C59" s="20" t="s">
        <v>122</v>
      </c>
      <c r="D59" s="20" t="s">
        <v>123</v>
      </c>
      <c r="E59" s="20" t="s">
        <v>124</v>
      </c>
      <c r="F59" s="21" t="n">
        <v>76497.2</v>
      </c>
      <c r="G59" s="21" t="n">
        <v>74114.8</v>
      </c>
      <c r="H59" s="21" t="n">
        <v>62184.84</v>
      </c>
      <c r="I59" s="21" t="n">
        <v>58189.5</v>
      </c>
      <c r="J59" s="21" t="n">
        <v>49122.81</v>
      </c>
      <c r="K59" s="21" t="n">
        <v>46714.3</v>
      </c>
      <c r="L59" s="21" t="n">
        <v>49105.52</v>
      </c>
      <c r="M59" s="21" t="n">
        <v>51270.75</v>
      </c>
      <c r="N59" s="21" t="n">
        <v>52751.93</v>
      </c>
      <c r="O59" s="21" t="n">
        <v>54121.71</v>
      </c>
      <c r="P59" s="21" t="n">
        <v>55317.68</v>
      </c>
      <c r="Q59" s="21" t="n">
        <v>56293.36</v>
      </c>
      <c r="R59" s="21" t="n">
        <v>56789.24</v>
      </c>
      <c r="S59" s="21" t="n">
        <v>57041.88</v>
      </c>
      <c r="T59" s="21" t="n">
        <v>57223.47</v>
      </c>
      <c r="U59" s="20"/>
      <c r="V59" s="20" t="s">
        <v>125</v>
      </c>
      <c r="W59" s="20" t="s">
        <v>97</v>
      </c>
      <c r="X59" s="20"/>
      <c r="Y59" s="20" t="s">
        <v>98</v>
      </c>
      <c r="Z59" s="20" t="s">
        <v>126</v>
      </c>
      <c r="AA59" s="20" t="s">
        <v>127</v>
      </c>
      <c r="AB59" s="20" t="s">
        <v>128</v>
      </c>
      <c r="AC59" s="20" t="s">
        <v>129</v>
      </c>
      <c r="AD59" s="20" t="s">
        <v>155</v>
      </c>
      <c r="AE59" s="20" t="s">
        <v>138</v>
      </c>
    </row>
    <row r="60" customFormat="false" ht="15" hidden="false" customHeight="false" outlineLevel="0" collapsed="false">
      <c r="A60" s="20" t="s">
        <v>154</v>
      </c>
      <c r="B60" s="20" t="s">
        <v>139</v>
      </c>
      <c r="C60" s="20" t="s">
        <v>122</v>
      </c>
      <c r="D60" s="20" t="s">
        <v>123</v>
      </c>
      <c r="E60" s="20" t="s">
        <v>124</v>
      </c>
      <c r="F60" s="21" t="n">
        <v>10616.92</v>
      </c>
      <c r="G60" s="21" t="n">
        <v>10110.21</v>
      </c>
      <c r="H60" s="21" t="n">
        <v>8713.47</v>
      </c>
      <c r="I60" s="21" t="n">
        <v>8730.43</v>
      </c>
      <c r="J60" s="21" t="n">
        <v>8553.32</v>
      </c>
      <c r="K60" s="21" t="n">
        <v>8432.72</v>
      </c>
      <c r="L60" s="21" t="n">
        <v>8739.13</v>
      </c>
      <c r="M60" s="21" t="n">
        <v>9173.74</v>
      </c>
      <c r="N60" s="21" t="n">
        <v>9307.93</v>
      </c>
      <c r="O60" s="21" t="n">
        <v>9582.51</v>
      </c>
      <c r="P60" s="21" t="n">
        <v>10213.88</v>
      </c>
      <c r="Q60" s="21" t="n">
        <v>10611.52</v>
      </c>
      <c r="R60" s="21" t="n">
        <v>10885.27</v>
      </c>
      <c r="S60" s="21" t="n">
        <v>11212.13</v>
      </c>
      <c r="T60" s="21" t="n">
        <v>11405.26</v>
      </c>
      <c r="U60" s="20"/>
      <c r="V60" s="20" t="s">
        <v>125</v>
      </c>
      <c r="W60" s="20" t="s">
        <v>97</v>
      </c>
      <c r="X60" s="20"/>
      <c r="Y60" s="20" t="s">
        <v>98</v>
      </c>
      <c r="Z60" s="20" t="s">
        <v>126</v>
      </c>
      <c r="AA60" s="20" t="s">
        <v>127</v>
      </c>
      <c r="AB60" s="20" t="s">
        <v>128</v>
      </c>
      <c r="AC60" s="20" t="s">
        <v>129</v>
      </c>
      <c r="AD60" s="20" t="s">
        <v>155</v>
      </c>
      <c r="AE60" s="20" t="s">
        <v>140</v>
      </c>
    </row>
    <row r="61" customFormat="false" ht="15" hidden="false" customHeight="false" outlineLevel="0" collapsed="false">
      <c r="A61" s="20" t="s">
        <v>154</v>
      </c>
      <c r="B61" s="20" t="s">
        <v>67</v>
      </c>
      <c r="C61" s="20" t="s">
        <v>122</v>
      </c>
      <c r="D61" s="20" t="s">
        <v>123</v>
      </c>
      <c r="E61" s="20" t="s">
        <v>124</v>
      </c>
      <c r="F61" s="21" t="n">
        <v>42765.97</v>
      </c>
      <c r="G61" s="21" t="n">
        <v>40860.8</v>
      </c>
      <c r="H61" s="21" t="n">
        <v>34707.04</v>
      </c>
      <c r="I61" s="21" t="n">
        <v>35766.95</v>
      </c>
      <c r="J61" s="21" t="n">
        <v>31668.34</v>
      </c>
      <c r="K61" s="21" t="n">
        <v>29884.11</v>
      </c>
      <c r="L61" s="21" t="n">
        <v>31000.86</v>
      </c>
      <c r="M61" s="21" t="n">
        <v>32581.67</v>
      </c>
      <c r="N61" s="21" t="n">
        <v>33616.94</v>
      </c>
      <c r="O61" s="21" t="n">
        <v>34398.2</v>
      </c>
      <c r="P61" s="21" t="n">
        <v>35171.18</v>
      </c>
      <c r="Q61" s="21" t="n">
        <v>35869</v>
      </c>
      <c r="R61" s="21" t="n">
        <v>36255.61</v>
      </c>
      <c r="S61" s="21" t="n">
        <v>36415.06</v>
      </c>
      <c r="T61" s="21" t="n">
        <v>36502.75</v>
      </c>
      <c r="U61" s="20"/>
      <c r="V61" s="20" t="s">
        <v>125</v>
      </c>
      <c r="W61" s="20" t="s">
        <v>97</v>
      </c>
      <c r="X61" s="20"/>
      <c r="Y61" s="20" t="s">
        <v>98</v>
      </c>
      <c r="Z61" s="20" t="s">
        <v>126</v>
      </c>
      <c r="AA61" s="20" t="s">
        <v>127</v>
      </c>
      <c r="AB61" s="20" t="s">
        <v>128</v>
      </c>
      <c r="AC61" s="20" t="s">
        <v>129</v>
      </c>
      <c r="AD61" s="20" t="s">
        <v>155</v>
      </c>
      <c r="AE61" s="20" t="s">
        <v>141</v>
      </c>
    </row>
    <row r="62" customFormat="false" ht="15" hidden="false" customHeight="false" outlineLevel="0" collapsed="false">
      <c r="A62" s="20" t="s">
        <v>154</v>
      </c>
      <c r="B62" s="20" t="s">
        <v>64</v>
      </c>
      <c r="C62" s="20" t="s">
        <v>122</v>
      </c>
      <c r="D62" s="20" t="s">
        <v>123</v>
      </c>
      <c r="E62" s="20" t="s">
        <v>124</v>
      </c>
      <c r="F62" s="21" t="n">
        <v>162866.9</v>
      </c>
      <c r="G62" s="21" t="n">
        <v>158541.8</v>
      </c>
      <c r="H62" s="21" t="n">
        <v>143961.5</v>
      </c>
      <c r="I62" s="21" t="n">
        <v>145094.8</v>
      </c>
      <c r="J62" s="21" t="n">
        <v>140944.3</v>
      </c>
      <c r="K62" s="21" t="n">
        <v>135287.2</v>
      </c>
      <c r="L62" s="21" t="n">
        <v>134420.7</v>
      </c>
      <c r="M62" s="21" t="n">
        <v>136043</v>
      </c>
      <c r="N62" s="21" t="n">
        <v>142472.7</v>
      </c>
      <c r="O62" s="21" t="n">
        <v>149576.1</v>
      </c>
      <c r="P62" s="21" t="n">
        <v>156793</v>
      </c>
      <c r="Q62" s="21" t="n">
        <v>159686</v>
      </c>
      <c r="R62" s="21" t="n">
        <v>161329.2</v>
      </c>
      <c r="S62" s="21" t="n">
        <v>163168.3</v>
      </c>
      <c r="T62" s="21" t="n">
        <v>165136.9</v>
      </c>
      <c r="U62" s="20"/>
      <c r="V62" s="20" t="s">
        <v>125</v>
      </c>
      <c r="W62" s="20" t="s">
        <v>97</v>
      </c>
      <c r="X62" s="20"/>
      <c r="Y62" s="20" t="s">
        <v>98</v>
      </c>
      <c r="Z62" s="20" t="s">
        <v>126</v>
      </c>
      <c r="AA62" s="20" t="s">
        <v>127</v>
      </c>
      <c r="AB62" s="20" t="s">
        <v>128</v>
      </c>
      <c r="AC62" s="20" t="s">
        <v>129</v>
      </c>
      <c r="AD62" s="20" t="s">
        <v>155</v>
      </c>
      <c r="AE62" s="20" t="s">
        <v>142</v>
      </c>
    </row>
    <row r="63" customFormat="false" ht="15" hidden="false" customHeight="false" outlineLevel="0" collapsed="false">
      <c r="A63" s="20" t="s">
        <v>154</v>
      </c>
      <c r="B63" s="20" t="s">
        <v>74</v>
      </c>
      <c r="C63" s="20" t="s">
        <v>122</v>
      </c>
      <c r="D63" s="20" t="s">
        <v>123</v>
      </c>
      <c r="E63" s="20" t="s">
        <v>124</v>
      </c>
      <c r="F63" s="21" t="n">
        <v>12583.39</v>
      </c>
      <c r="G63" s="21" t="n">
        <v>12084.67</v>
      </c>
      <c r="H63" s="21" t="n">
        <v>10481.92</v>
      </c>
      <c r="I63" s="21" t="n">
        <v>10107.73</v>
      </c>
      <c r="J63" s="21" t="n">
        <v>10032.37</v>
      </c>
      <c r="K63" s="21" t="n">
        <v>9738.34</v>
      </c>
      <c r="L63" s="21" t="n">
        <v>9814.04</v>
      </c>
      <c r="M63" s="21" t="n">
        <v>10244.5</v>
      </c>
      <c r="N63" s="21" t="n">
        <v>10877.72</v>
      </c>
      <c r="O63" s="21" t="n">
        <v>11181.18</v>
      </c>
      <c r="P63" s="21" t="n">
        <v>11316.25</v>
      </c>
      <c r="Q63" s="21" t="n">
        <v>11473.37</v>
      </c>
      <c r="R63" s="21" t="n">
        <v>11473.63</v>
      </c>
      <c r="S63" s="21" t="n">
        <v>11412.81</v>
      </c>
      <c r="T63" s="21" t="n">
        <v>11391.29</v>
      </c>
      <c r="U63" s="20"/>
      <c r="V63" s="20" t="s">
        <v>125</v>
      </c>
      <c r="W63" s="20" t="s">
        <v>97</v>
      </c>
      <c r="X63" s="20"/>
      <c r="Y63" s="20" t="s">
        <v>98</v>
      </c>
      <c r="Z63" s="20" t="s">
        <v>126</v>
      </c>
      <c r="AA63" s="20" t="s">
        <v>127</v>
      </c>
      <c r="AB63" s="20" t="s">
        <v>128</v>
      </c>
      <c r="AC63" s="20" t="s">
        <v>129</v>
      </c>
      <c r="AD63" s="20" t="s">
        <v>155</v>
      </c>
      <c r="AE63" s="20" t="s">
        <v>143</v>
      </c>
    </row>
    <row r="64" customFormat="false" ht="15" hidden="false" customHeight="false" outlineLevel="0" collapsed="false">
      <c r="A64" s="20" t="s">
        <v>154</v>
      </c>
      <c r="B64" s="20" t="s">
        <v>71</v>
      </c>
      <c r="C64" s="20" t="s">
        <v>122</v>
      </c>
      <c r="D64" s="20" t="s">
        <v>123</v>
      </c>
      <c r="E64" s="20" t="s">
        <v>124</v>
      </c>
      <c r="F64" s="21" t="n">
        <v>70262.73</v>
      </c>
      <c r="G64" s="21" t="n">
        <v>70071.17</v>
      </c>
      <c r="H64" s="21" t="n">
        <v>63105.55</v>
      </c>
      <c r="I64" s="21" t="n">
        <v>62313.57</v>
      </c>
      <c r="J64" s="21" t="n">
        <v>57590.16</v>
      </c>
      <c r="K64" s="21" t="n">
        <v>56111.04</v>
      </c>
      <c r="L64" s="21" t="n">
        <v>57062.67</v>
      </c>
      <c r="M64" s="21" t="n">
        <v>58152.43</v>
      </c>
      <c r="N64" s="21" t="n">
        <v>61529.71</v>
      </c>
      <c r="O64" s="21" t="n">
        <v>65393.7</v>
      </c>
      <c r="P64" s="21" t="n">
        <v>68785.08</v>
      </c>
      <c r="Q64" s="21" t="n">
        <v>70124.76</v>
      </c>
      <c r="R64" s="21" t="n">
        <v>70914.13</v>
      </c>
      <c r="S64" s="21" t="n">
        <v>71595.52</v>
      </c>
      <c r="T64" s="21" t="n">
        <v>72430.23</v>
      </c>
      <c r="U64" s="20"/>
      <c r="V64" s="20" t="s">
        <v>125</v>
      </c>
      <c r="W64" s="20" t="s">
        <v>97</v>
      </c>
      <c r="X64" s="20"/>
      <c r="Y64" s="20" t="s">
        <v>98</v>
      </c>
      <c r="Z64" s="20" t="s">
        <v>126</v>
      </c>
      <c r="AA64" s="20" t="s">
        <v>127</v>
      </c>
      <c r="AB64" s="20" t="s">
        <v>128</v>
      </c>
      <c r="AC64" s="20" t="s">
        <v>129</v>
      </c>
      <c r="AD64" s="20" t="s">
        <v>155</v>
      </c>
      <c r="AE64" s="20" t="s">
        <v>144</v>
      </c>
    </row>
    <row r="65" customFormat="false" ht="15" hidden="false" customHeight="false" outlineLevel="0" collapsed="false">
      <c r="A65" s="20" t="s">
        <v>154</v>
      </c>
      <c r="B65" s="20" t="s">
        <v>78</v>
      </c>
      <c r="C65" s="20" t="s">
        <v>122</v>
      </c>
      <c r="D65" s="20" t="s">
        <v>123</v>
      </c>
      <c r="E65" s="20" t="s">
        <v>124</v>
      </c>
      <c r="F65" s="21" t="n">
        <v>15917.06</v>
      </c>
      <c r="G65" s="21" t="n">
        <v>15079.56</v>
      </c>
      <c r="H65" s="21" t="n">
        <v>13039.09</v>
      </c>
      <c r="I65" s="21" t="n">
        <v>12749.59</v>
      </c>
      <c r="J65" s="21" t="n">
        <v>12927.04</v>
      </c>
      <c r="K65" s="21" t="n">
        <v>12681.36</v>
      </c>
      <c r="L65" s="21" t="n">
        <v>13102.66</v>
      </c>
      <c r="M65" s="21" t="n">
        <v>13640.4</v>
      </c>
      <c r="N65" s="21" t="n">
        <v>13866.51</v>
      </c>
      <c r="O65" s="21" t="n">
        <v>14310.49</v>
      </c>
      <c r="P65" s="21" t="n">
        <v>15203.75</v>
      </c>
      <c r="Q65" s="21" t="n">
        <v>15790.12</v>
      </c>
      <c r="R65" s="21" t="n">
        <v>16190.61</v>
      </c>
      <c r="S65" s="21" t="n">
        <v>16648.03</v>
      </c>
      <c r="T65" s="21" t="n">
        <v>16898.6</v>
      </c>
      <c r="U65" s="20"/>
      <c r="V65" s="20" t="s">
        <v>125</v>
      </c>
      <c r="W65" s="20" t="s">
        <v>97</v>
      </c>
      <c r="X65" s="20"/>
      <c r="Y65" s="20" t="s">
        <v>98</v>
      </c>
      <c r="Z65" s="20" t="s">
        <v>126</v>
      </c>
      <c r="AA65" s="20" t="s">
        <v>127</v>
      </c>
      <c r="AB65" s="20" t="s">
        <v>128</v>
      </c>
      <c r="AC65" s="20" t="s">
        <v>129</v>
      </c>
      <c r="AD65" s="20" t="s">
        <v>155</v>
      </c>
      <c r="AE65" s="20" t="s">
        <v>145</v>
      </c>
    </row>
    <row r="66" customFormat="false" ht="15" hidden="false" customHeight="false" outlineLevel="0" collapsed="false">
      <c r="A66" s="20" t="s">
        <v>154</v>
      </c>
      <c r="B66" s="20" t="s">
        <v>146</v>
      </c>
      <c r="C66" s="20" t="s">
        <v>122</v>
      </c>
      <c r="D66" s="20" t="s">
        <v>123</v>
      </c>
      <c r="E66" s="20" t="s">
        <v>124</v>
      </c>
      <c r="F66" s="21" t="n">
        <v>244.01</v>
      </c>
      <c r="G66" s="21" t="n">
        <v>242.85</v>
      </c>
      <c r="H66" s="21" t="n">
        <v>309.64</v>
      </c>
      <c r="I66" s="21" t="n">
        <v>290.57</v>
      </c>
      <c r="J66" s="21" t="n">
        <v>267.2</v>
      </c>
      <c r="K66" s="21" t="n">
        <v>254.43</v>
      </c>
      <c r="L66" s="21" t="n">
        <v>265.69</v>
      </c>
      <c r="M66" s="21" t="n">
        <v>272.37</v>
      </c>
      <c r="N66" s="21" t="n">
        <v>281.06</v>
      </c>
      <c r="O66" s="21" t="n">
        <v>285.67</v>
      </c>
      <c r="P66" s="21" t="n">
        <v>286.97</v>
      </c>
      <c r="Q66" s="21" t="n">
        <v>292.91</v>
      </c>
      <c r="R66" s="21" t="n">
        <v>296.82</v>
      </c>
      <c r="S66" s="21" t="n">
        <v>295.94</v>
      </c>
      <c r="T66" s="21" t="n">
        <v>294.43</v>
      </c>
      <c r="U66" s="20"/>
      <c r="V66" s="20" t="s">
        <v>125</v>
      </c>
      <c r="W66" s="20" t="s">
        <v>97</v>
      </c>
      <c r="X66" s="20"/>
      <c r="Y66" s="20" t="s">
        <v>98</v>
      </c>
      <c r="Z66" s="20" t="s">
        <v>126</v>
      </c>
      <c r="AA66" s="20" t="s">
        <v>127</v>
      </c>
      <c r="AB66" s="20" t="s">
        <v>128</v>
      </c>
      <c r="AC66" s="20" t="s">
        <v>129</v>
      </c>
      <c r="AD66" s="20" t="s">
        <v>155</v>
      </c>
      <c r="AE66" s="20" t="s">
        <v>147</v>
      </c>
    </row>
    <row r="67" customFormat="false" ht="15" hidden="false" customHeight="false" outlineLevel="0" collapsed="false">
      <c r="A67" s="20" t="s">
        <v>156</v>
      </c>
      <c r="B67" s="20" t="s">
        <v>121</v>
      </c>
      <c r="C67" s="20" t="s">
        <v>122</v>
      </c>
      <c r="D67" s="20" t="s">
        <v>123</v>
      </c>
      <c r="E67" s="20" t="s">
        <v>124</v>
      </c>
      <c r="F67" s="21" t="n">
        <v>85.66</v>
      </c>
      <c r="G67" s="21" t="n">
        <v>84.36</v>
      </c>
      <c r="H67" s="21" t="n">
        <v>81.89</v>
      </c>
      <c r="I67" s="21" t="n">
        <v>95.87</v>
      </c>
      <c r="J67" s="21" t="n">
        <v>115.43</v>
      </c>
      <c r="K67" s="21" t="n">
        <v>115.13</v>
      </c>
      <c r="L67" s="21" t="n">
        <v>110.25</v>
      </c>
      <c r="M67" s="21" t="n">
        <v>110.72</v>
      </c>
      <c r="N67" s="21" t="n">
        <v>119.99</v>
      </c>
      <c r="O67" s="21" t="n">
        <v>123.1</v>
      </c>
      <c r="P67" s="21" t="n">
        <v>125.44</v>
      </c>
      <c r="Q67" s="21" t="n">
        <v>127.24</v>
      </c>
      <c r="R67" s="21" t="n">
        <v>129.24</v>
      </c>
      <c r="S67" s="21" t="n">
        <v>132.41</v>
      </c>
      <c r="T67" s="21" t="n">
        <v>135</v>
      </c>
      <c r="U67" s="20"/>
      <c r="V67" s="20" t="s">
        <v>125</v>
      </c>
      <c r="W67" s="20" t="s">
        <v>97</v>
      </c>
      <c r="X67" s="20"/>
      <c r="Y67" s="20" t="s">
        <v>98</v>
      </c>
      <c r="Z67" s="20" t="s">
        <v>126</v>
      </c>
      <c r="AA67" s="20" t="s">
        <v>127</v>
      </c>
      <c r="AB67" s="20" t="s">
        <v>128</v>
      </c>
      <c r="AC67" s="20" t="s">
        <v>129</v>
      </c>
      <c r="AD67" s="20" t="s">
        <v>157</v>
      </c>
      <c r="AE67" s="20" t="s">
        <v>131</v>
      </c>
    </row>
    <row r="68" customFormat="false" ht="15" hidden="false" customHeight="false" outlineLevel="0" collapsed="false">
      <c r="A68" s="20" t="s">
        <v>156</v>
      </c>
      <c r="B68" s="20" t="s">
        <v>132</v>
      </c>
      <c r="C68" s="20" t="s">
        <v>122</v>
      </c>
      <c r="D68" s="20" t="s">
        <v>123</v>
      </c>
      <c r="E68" s="20" t="s">
        <v>124</v>
      </c>
      <c r="F68" s="21" t="n">
        <v>1359.8</v>
      </c>
      <c r="G68" s="21" t="n">
        <v>1516.46</v>
      </c>
      <c r="H68" s="21" t="n">
        <v>1448.24</v>
      </c>
      <c r="I68" s="21" t="n">
        <v>1455.48</v>
      </c>
      <c r="J68" s="21" t="n">
        <v>1438.99</v>
      </c>
      <c r="K68" s="21" t="n">
        <v>1408.92</v>
      </c>
      <c r="L68" s="21" t="n">
        <v>1341.49</v>
      </c>
      <c r="M68" s="21" t="n">
        <v>1314.96</v>
      </c>
      <c r="N68" s="21" t="n">
        <v>1399.93</v>
      </c>
      <c r="O68" s="21" t="n">
        <v>1431.55</v>
      </c>
      <c r="P68" s="21" t="n">
        <v>1434.86</v>
      </c>
      <c r="Q68" s="21" t="n">
        <v>1442.57</v>
      </c>
      <c r="R68" s="21" t="n">
        <v>1463.31</v>
      </c>
      <c r="S68" s="21" t="n">
        <v>1484.81</v>
      </c>
      <c r="T68" s="21" t="n">
        <v>1504.16</v>
      </c>
      <c r="U68" s="20"/>
      <c r="V68" s="20" t="s">
        <v>125</v>
      </c>
      <c r="W68" s="20" t="s">
        <v>97</v>
      </c>
      <c r="X68" s="20"/>
      <c r="Y68" s="20" t="s">
        <v>98</v>
      </c>
      <c r="Z68" s="20" t="s">
        <v>126</v>
      </c>
      <c r="AA68" s="20" t="s">
        <v>127</v>
      </c>
      <c r="AB68" s="20" t="s">
        <v>128</v>
      </c>
      <c r="AC68" s="20" t="s">
        <v>129</v>
      </c>
      <c r="AD68" s="20" t="s">
        <v>157</v>
      </c>
      <c r="AE68" s="20" t="s">
        <v>133</v>
      </c>
    </row>
    <row r="69" customFormat="false" ht="15" hidden="false" customHeight="false" outlineLevel="0" collapsed="false">
      <c r="A69" s="20" t="s">
        <v>156</v>
      </c>
      <c r="B69" s="20" t="s">
        <v>134</v>
      </c>
      <c r="C69" s="20" t="s">
        <v>122</v>
      </c>
      <c r="D69" s="20" t="s">
        <v>123</v>
      </c>
      <c r="E69" s="20" t="s">
        <v>124</v>
      </c>
      <c r="F69" s="21" t="n">
        <v>702.66</v>
      </c>
      <c r="G69" s="21" t="n">
        <v>722.51</v>
      </c>
      <c r="H69" s="21" t="n">
        <v>692.8</v>
      </c>
      <c r="I69" s="21" t="n">
        <v>804.38</v>
      </c>
      <c r="J69" s="21" t="n">
        <v>974.46</v>
      </c>
      <c r="K69" s="21" t="n">
        <v>965.03</v>
      </c>
      <c r="L69" s="21" t="n">
        <v>905.85</v>
      </c>
      <c r="M69" s="21" t="n">
        <v>908.56</v>
      </c>
      <c r="N69" s="21" t="n">
        <v>981.97</v>
      </c>
      <c r="O69" s="21" t="n">
        <v>1002.27</v>
      </c>
      <c r="P69" s="21" t="n">
        <v>1023.2</v>
      </c>
      <c r="Q69" s="21" t="n">
        <v>1038.25</v>
      </c>
      <c r="R69" s="21" t="n">
        <v>1052.16</v>
      </c>
      <c r="S69" s="21" t="n">
        <v>1078.48</v>
      </c>
      <c r="T69" s="21" t="n">
        <v>1100.2</v>
      </c>
      <c r="U69" s="20"/>
      <c r="V69" s="20" t="s">
        <v>125</v>
      </c>
      <c r="W69" s="20" t="s">
        <v>97</v>
      </c>
      <c r="X69" s="20"/>
      <c r="Y69" s="20" t="s">
        <v>98</v>
      </c>
      <c r="Z69" s="20" t="s">
        <v>126</v>
      </c>
      <c r="AA69" s="20" t="s">
        <v>127</v>
      </c>
      <c r="AB69" s="20" t="s">
        <v>128</v>
      </c>
      <c r="AC69" s="20" t="s">
        <v>129</v>
      </c>
      <c r="AD69" s="20" t="s">
        <v>157</v>
      </c>
      <c r="AE69" s="20" t="s">
        <v>135</v>
      </c>
    </row>
    <row r="70" customFormat="false" ht="15" hidden="false" customHeight="false" outlineLevel="0" collapsed="false">
      <c r="A70" s="20" t="s">
        <v>156</v>
      </c>
      <c r="B70" s="20" t="s">
        <v>136</v>
      </c>
      <c r="C70" s="20" t="s">
        <v>122</v>
      </c>
      <c r="D70" s="20" t="s">
        <v>123</v>
      </c>
      <c r="E70" s="20" t="s">
        <v>124</v>
      </c>
      <c r="F70" s="21" t="n">
        <v>1130.7</v>
      </c>
      <c r="G70" s="21" t="n">
        <v>1297.23</v>
      </c>
      <c r="H70" s="21" t="n">
        <v>1604.73</v>
      </c>
      <c r="I70" s="21" t="n">
        <v>1784.67</v>
      </c>
      <c r="J70" s="21" t="n">
        <v>1858.2</v>
      </c>
      <c r="K70" s="21" t="n">
        <v>1829.5</v>
      </c>
      <c r="L70" s="21" t="n">
        <v>1771.46</v>
      </c>
      <c r="M70" s="21" t="n">
        <v>1758.08</v>
      </c>
      <c r="N70" s="21" t="n">
        <v>1868.64</v>
      </c>
      <c r="O70" s="21" t="n">
        <v>1907.11</v>
      </c>
      <c r="P70" s="21" t="n">
        <v>1931.05</v>
      </c>
      <c r="Q70" s="21" t="n">
        <v>1956.18</v>
      </c>
      <c r="R70" s="21" t="n">
        <v>1988.32</v>
      </c>
      <c r="S70" s="21" t="n">
        <v>2019.88</v>
      </c>
      <c r="T70" s="21" t="n">
        <v>2045.99</v>
      </c>
      <c r="U70" s="20"/>
      <c r="V70" s="20" t="s">
        <v>125</v>
      </c>
      <c r="W70" s="20" t="s">
        <v>97</v>
      </c>
      <c r="X70" s="20"/>
      <c r="Y70" s="20" t="s">
        <v>98</v>
      </c>
      <c r="Z70" s="20" t="s">
        <v>126</v>
      </c>
      <c r="AA70" s="20" t="s">
        <v>127</v>
      </c>
      <c r="AB70" s="20" t="s">
        <v>128</v>
      </c>
      <c r="AC70" s="20" t="s">
        <v>129</v>
      </c>
      <c r="AD70" s="20" t="s">
        <v>157</v>
      </c>
      <c r="AE70" s="20" t="s">
        <v>137</v>
      </c>
    </row>
    <row r="71" customFormat="false" ht="15" hidden="false" customHeight="false" outlineLevel="0" collapsed="false">
      <c r="A71" s="20" t="s">
        <v>156</v>
      </c>
      <c r="B71" s="20" t="s">
        <v>60</v>
      </c>
      <c r="C71" s="20" t="s">
        <v>122</v>
      </c>
      <c r="D71" s="20" t="s">
        <v>123</v>
      </c>
      <c r="E71" s="20" t="s">
        <v>124</v>
      </c>
      <c r="F71" s="21" t="n">
        <v>4405.12</v>
      </c>
      <c r="G71" s="21" t="n">
        <v>4599.37</v>
      </c>
      <c r="H71" s="21" t="n">
        <v>4190.41</v>
      </c>
      <c r="I71" s="21" t="n">
        <v>3244.41</v>
      </c>
      <c r="J71" s="21" t="n">
        <v>3199.87</v>
      </c>
      <c r="K71" s="21" t="n">
        <v>3216.56</v>
      </c>
      <c r="L71" s="21" t="n">
        <v>3011.68</v>
      </c>
      <c r="M71" s="21" t="n">
        <v>2765.6</v>
      </c>
      <c r="N71" s="21" t="n">
        <v>2718.05</v>
      </c>
      <c r="O71" s="21" t="n">
        <v>2717.64</v>
      </c>
      <c r="P71" s="21" t="n">
        <v>2716.65</v>
      </c>
      <c r="Q71" s="21" t="n">
        <v>2723.23</v>
      </c>
      <c r="R71" s="21" t="n">
        <v>2745.14</v>
      </c>
      <c r="S71" s="21" t="n">
        <v>2780.75</v>
      </c>
      <c r="T71" s="21" t="n">
        <v>2822.64</v>
      </c>
      <c r="U71" s="20"/>
      <c r="V71" s="20" t="s">
        <v>125</v>
      </c>
      <c r="W71" s="20" t="s">
        <v>97</v>
      </c>
      <c r="X71" s="20"/>
      <c r="Y71" s="20" t="s">
        <v>98</v>
      </c>
      <c r="Z71" s="20" t="s">
        <v>126</v>
      </c>
      <c r="AA71" s="20" t="s">
        <v>127</v>
      </c>
      <c r="AB71" s="20" t="s">
        <v>128</v>
      </c>
      <c r="AC71" s="20" t="s">
        <v>129</v>
      </c>
      <c r="AD71" s="20" t="s">
        <v>157</v>
      </c>
      <c r="AE71" s="20" t="s">
        <v>138</v>
      </c>
    </row>
    <row r="72" customFormat="false" ht="15" hidden="false" customHeight="false" outlineLevel="0" collapsed="false">
      <c r="A72" s="20" t="s">
        <v>156</v>
      </c>
      <c r="B72" s="20" t="s">
        <v>139</v>
      </c>
      <c r="C72" s="20" t="s">
        <v>122</v>
      </c>
      <c r="D72" s="20" t="s">
        <v>123</v>
      </c>
      <c r="E72" s="20" t="s">
        <v>124</v>
      </c>
      <c r="F72" s="21" t="n">
        <v>751.15</v>
      </c>
      <c r="G72" s="21" t="n">
        <v>753.11</v>
      </c>
      <c r="H72" s="21" t="n">
        <v>730.38</v>
      </c>
      <c r="I72" s="21" t="n">
        <v>862.17</v>
      </c>
      <c r="J72" s="21" t="n">
        <v>1057.18</v>
      </c>
      <c r="K72" s="21" t="n">
        <v>1030.59</v>
      </c>
      <c r="L72" s="21" t="n">
        <v>991.9</v>
      </c>
      <c r="M72" s="21" t="n">
        <v>1004.46</v>
      </c>
      <c r="N72" s="21" t="n">
        <v>1086.8</v>
      </c>
      <c r="O72" s="21" t="n">
        <v>1105.09</v>
      </c>
      <c r="P72" s="21" t="n">
        <v>1132.26</v>
      </c>
      <c r="Q72" s="21" t="n">
        <v>1148.46</v>
      </c>
      <c r="R72" s="21" t="n">
        <v>1164.8</v>
      </c>
      <c r="S72" s="21" t="n">
        <v>1185.75</v>
      </c>
      <c r="T72" s="21" t="n">
        <v>1210.12</v>
      </c>
      <c r="U72" s="20"/>
      <c r="V72" s="20" t="s">
        <v>125</v>
      </c>
      <c r="W72" s="20" t="s">
        <v>97</v>
      </c>
      <c r="X72" s="20"/>
      <c r="Y72" s="20" t="s">
        <v>98</v>
      </c>
      <c r="Z72" s="20" t="s">
        <v>126</v>
      </c>
      <c r="AA72" s="20" t="s">
        <v>127</v>
      </c>
      <c r="AB72" s="20" t="s">
        <v>128</v>
      </c>
      <c r="AC72" s="20" t="s">
        <v>129</v>
      </c>
      <c r="AD72" s="20" t="s">
        <v>157</v>
      </c>
      <c r="AE72" s="20" t="s">
        <v>140</v>
      </c>
    </row>
    <row r="73" customFormat="false" ht="15" hidden="false" customHeight="false" outlineLevel="0" collapsed="false">
      <c r="A73" s="20" t="s">
        <v>156</v>
      </c>
      <c r="B73" s="20" t="s">
        <v>67</v>
      </c>
      <c r="C73" s="20" t="s">
        <v>122</v>
      </c>
      <c r="D73" s="20" t="s">
        <v>123</v>
      </c>
      <c r="E73" s="20" t="s">
        <v>124</v>
      </c>
      <c r="F73" s="21" t="n">
        <v>1560.61</v>
      </c>
      <c r="G73" s="21" t="n">
        <v>1492.96</v>
      </c>
      <c r="H73" s="21" t="n">
        <v>1290.69</v>
      </c>
      <c r="I73" s="21" t="n">
        <v>1144.95</v>
      </c>
      <c r="J73" s="21" t="n">
        <v>1045.58</v>
      </c>
      <c r="K73" s="21" t="n">
        <v>1010.49</v>
      </c>
      <c r="L73" s="21" t="n">
        <v>946.2</v>
      </c>
      <c r="M73" s="21" t="n">
        <v>927.94</v>
      </c>
      <c r="N73" s="21" t="n">
        <v>946.49</v>
      </c>
      <c r="O73" s="21" t="n">
        <v>962.43</v>
      </c>
      <c r="P73" s="21" t="n">
        <v>968.72</v>
      </c>
      <c r="Q73" s="21" t="n">
        <v>975.85</v>
      </c>
      <c r="R73" s="21" t="n">
        <v>987.46</v>
      </c>
      <c r="S73" s="21" t="n">
        <v>1003.54</v>
      </c>
      <c r="T73" s="21" t="n">
        <v>1022</v>
      </c>
      <c r="U73" s="20"/>
      <c r="V73" s="20" t="s">
        <v>125</v>
      </c>
      <c r="W73" s="20" t="s">
        <v>97</v>
      </c>
      <c r="X73" s="20"/>
      <c r="Y73" s="20" t="s">
        <v>98</v>
      </c>
      <c r="Z73" s="20" t="s">
        <v>126</v>
      </c>
      <c r="AA73" s="20" t="s">
        <v>127</v>
      </c>
      <c r="AB73" s="20" t="s">
        <v>128</v>
      </c>
      <c r="AC73" s="20" t="s">
        <v>129</v>
      </c>
      <c r="AD73" s="20" t="s">
        <v>157</v>
      </c>
      <c r="AE73" s="20" t="s">
        <v>141</v>
      </c>
    </row>
    <row r="74" customFormat="false" ht="15" hidden="false" customHeight="false" outlineLevel="0" collapsed="false">
      <c r="A74" s="20" t="s">
        <v>156</v>
      </c>
      <c r="B74" s="20" t="s">
        <v>64</v>
      </c>
      <c r="C74" s="20" t="s">
        <v>122</v>
      </c>
      <c r="D74" s="20" t="s">
        <v>123</v>
      </c>
      <c r="E74" s="20" t="s">
        <v>124</v>
      </c>
      <c r="F74" s="21" t="n">
        <v>8480.05</v>
      </c>
      <c r="G74" s="21" t="n">
        <v>9719.79</v>
      </c>
      <c r="H74" s="21" t="n">
        <v>9621.59</v>
      </c>
      <c r="I74" s="21" t="n">
        <v>10259.66</v>
      </c>
      <c r="J74" s="21" t="n">
        <v>11659.02</v>
      </c>
      <c r="K74" s="21" t="n">
        <v>11353.19</v>
      </c>
      <c r="L74" s="21" t="n">
        <v>10830.82</v>
      </c>
      <c r="M74" s="21" t="n">
        <v>11427.66</v>
      </c>
      <c r="N74" s="21" t="n">
        <v>11798.88</v>
      </c>
      <c r="O74" s="21" t="n">
        <v>12109.71</v>
      </c>
      <c r="P74" s="21" t="n">
        <v>12326.68</v>
      </c>
      <c r="Q74" s="21" t="n">
        <v>12448.42</v>
      </c>
      <c r="R74" s="21" t="n">
        <v>12517.4</v>
      </c>
      <c r="S74" s="21" t="n">
        <v>12661.89</v>
      </c>
      <c r="T74" s="21" t="n">
        <v>12817.2</v>
      </c>
      <c r="U74" s="20"/>
      <c r="V74" s="20" t="s">
        <v>125</v>
      </c>
      <c r="W74" s="20" t="s">
        <v>97</v>
      </c>
      <c r="X74" s="20"/>
      <c r="Y74" s="20" t="s">
        <v>98</v>
      </c>
      <c r="Z74" s="20" t="s">
        <v>126</v>
      </c>
      <c r="AA74" s="20" t="s">
        <v>127</v>
      </c>
      <c r="AB74" s="20" t="s">
        <v>128</v>
      </c>
      <c r="AC74" s="20" t="s">
        <v>129</v>
      </c>
      <c r="AD74" s="20" t="s">
        <v>157</v>
      </c>
      <c r="AE74" s="20" t="s">
        <v>142</v>
      </c>
    </row>
    <row r="75" customFormat="false" ht="15" hidden="false" customHeight="false" outlineLevel="0" collapsed="false">
      <c r="A75" s="20" t="s">
        <v>156</v>
      </c>
      <c r="B75" s="20" t="s">
        <v>74</v>
      </c>
      <c r="C75" s="20" t="s">
        <v>122</v>
      </c>
      <c r="D75" s="20" t="s">
        <v>123</v>
      </c>
      <c r="E75" s="20" t="s">
        <v>124</v>
      </c>
      <c r="F75" s="21" t="n">
        <v>2590.76</v>
      </c>
      <c r="G75" s="21" t="n">
        <v>2937.63</v>
      </c>
      <c r="H75" s="21" t="n">
        <v>3232.62</v>
      </c>
      <c r="I75" s="21" t="n">
        <v>3428.77</v>
      </c>
      <c r="J75" s="21" t="n">
        <v>3467.36</v>
      </c>
      <c r="K75" s="21" t="n">
        <v>3407.16</v>
      </c>
      <c r="L75" s="21" t="n">
        <v>3270.57</v>
      </c>
      <c r="M75" s="21" t="n">
        <v>3228.66</v>
      </c>
      <c r="N75" s="21" t="n">
        <v>3436.18</v>
      </c>
      <c r="O75" s="21" t="n">
        <v>3513.55</v>
      </c>
      <c r="P75" s="21" t="n">
        <v>3543.23</v>
      </c>
      <c r="Q75" s="21" t="n">
        <v>3577.58</v>
      </c>
      <c r="R75" s="21" t="n">
        <v>3632.82</v>
      </c>
      <c r="S75" s="21" t="n">
        <v>3688.85</v>
      </c>
      <c r="T75" s="21" t="n">
        <v>3736.78</v>
      </c>
      <c r="U75" s="20"/>
      <c r="V75" s="20" t="s">
        <v>125</v>
      </c>
      <c r="W75" s="20" t="s">
        <v>97</v>
      </c>
      <c r="X75" s="20"/>
      <c r="Y75" s="20" t="s">
        <v>98</v>
      </c>
      <c r="Z75" s="20" t="s">
        <v>126</v>
      </c>
      <c r="AA75" s="20" t="s">
        <v>127</v>
      </c>
      <c r="AB75" s="20" t="s">
        <v>128</v>
      </c>
      <c r="AC75" s="20" t="s">
        <v>129</v>
      </c>
      <c r="AD75" s="20" t="s">
        <v>157</v>
      </c>
      <c r="AE75" s="20" t="s">
        <v>143</v>
      </c>
    </row>
    <row r="76" customFormat="false" ht="15" hidden="false" customHeight="false" outlineLevel="0" collapsed="false">
      <c r="A76" s="20" t="s">
        <v>156</v>
      </c>
      <c r="B76" s="20" t="s">
        <v>71</v>
      </c>
      <c r="C76" s="20" t="s">
        <v>122</v>
      </c>
      <c r="D76" s="20" t="s">
        <v>123</v>
      </c>
      <c r="E76" s="20" t="s">
        <v>124</v>
      </c>
      <c r="F76" s="21" t="n">
        <v>1066.41</v>
      </c>
      <c r="G76" s="21" t="n">
        <v>1432.54</v>
      </c>
      <c r="H76" s="21" t="n">
        <v>1430.23</v>
      </c>
      <c r="I76" s="21" t="n">
        <v>1414</v>
      </c>
      <c r="J76" s="21" t="n">
        <v>1502.81</v>
      </c>
      <c r="K76" s="21" t="n">
        <v>1514.08</v>
      </c>
      <c r="L76" s="21" t="n">
        <v>1489.72</v>
      </c>
      <c r="M76" s="21" t="n">
        <v>1507.97</v>
      </c>
      <c r="N76" s="21" t="n">
        <v>1554.01</v>
      </c>
      <c r="O76" s="21" t="n">
        <v>1625.61</v>
      </c>
      <c r="P76" s="21" t="n">
        <v>1686.45</v>
      </c>
      <c r="Q76" s="21" t="n">
        <v>1715.78</v>
      </c>
      <c r="R76" s="21" t="n">
        <v>1730.34</v>
      </c>
      <c r="S76" s="21" t="n">
        <v>1766.1</v>
      </c>
      <c r="T76" s="21" t="n">
        <v>1802.7</v>
      </c>
      <c r="U76" s="20"/>
      <c r="V76" s="20" t="s">
        <v>125</v>
      </c>
      <c r="W76" s="20" t="s">
        <v>97</v>
      </c>
      <c r="X76" s="20"/>
      <c r="Y76" s="20" t="s">
        <v>98</v>
      </c>
      <c r="Z76" s="20" t="s">
        <v>126</v>
      </c>
      <c r="AA76" s="20" t="s">
        <v>127</v>
      </c>
      <c r="AB76" s="20" t="s">
        <v>128</v>
      </c>
      <c r="AC76" s="20" t="s">
        <v>129</v>
      </c>
      <c r="AD76" s="20" t="s">
        <v>157</v>
      </c>
      <c r="AE76" s="20" t="s">
        <v>144</v>
      </c>
    </row>
    <row r="77" customFormat="false" ht="15" hidden="false" customHeight="false" outlineLevel="0" collapsed="false">
      <c r="A77" s="20" t="s">
        <v>156</v>
      </c>
      <c r="B77" s="20" t="s">
        <v>78</v>
      </c>
      <c r="C77" s="20" t="s">
        <v>122</v>
      </c>
      <c r="D77" s="20" t="s">
        <v>123</v>
      </c>
      <c r="E77" s="20" t="s">
        <v>124</v>
      </c>
      <c r="F77" s="21" t="n">
        <v>1539.47</v>
      </c>
      <c r="G77" s="21" t="n">
        <v>1559.98</v>
      </c>
      <c r="H77" s="21" t="n">
        <v>1505.06</v>
      </c>
      <c r="I77" s="21" t="n">
        <v>1762.42</v>
      </c>
      <c r="J77" s="21" t="n">
        <v>2147.07</v>
      </c>
      <c r="K77" s="21" t="n">
        <v>2110.75</v>
      </c>
      <c r="L77" s="21" t="n">
        <v>2008</v>
      </c>
      <c r="M77" s="21" t="n">
        <v>2023.75</v>
      </c>
      <c r="N77" s="21" t="n">
        <v>2188.77</v>
      </c>
      <c r="O77" s="21" t="n">
        <v>2230.45</v>
      </c>
      <c r="P77" s="21" t="n">
        <v>2280.9</v>
      </c>
      <c r="Q77" s="21" t="n">
        <v>2313.95</v>
      </c>
      <c r="R77" s="21" t="n">
        <v>2346.2</v>
      </c>
      <c r="S77" s="21" t="n">
        <v>2396.65</v>
      </c>
      <c r="T77" s="21" t="n">
        <v>2445.32</v>
      </c>
      <c r="U77" s="20"/>
      <c r="V77" s="20" t="s">
        <v>125</v>
      </c>
      <c r="W77" s="20" t="s">
        <v>97</v>
      </c>
      <c r="X77" s="20"/>
      <c r="Y77" s="20" t="s">
        <v>98</v>
      </c>
      <c r="Z77" s="20" t="s">
        <v>126</v>
      </c>
      <c r="AA77" s="20" t="s">
        <v>127</v>
      </c>
      <c r="AB77" s="20" t="s">
        <v>128</v>
      </c>
      <c r="AC77" s="20" t="s">
        <v>129</v>
      </c>
      <c r="AD77" s="20" t="s">
        <v>157</v>
      </c>
      <c r="AE77" s="20" t="s">
        <v>145</v>
      </c>
    </row>
    <row r="78" customFormat="false" ht="15" hidden="false" customHeight="false" outlineLevel="0" collapsed="false">
      <c r="A78" s="20" t="s">
        <v>156</v>
      </c>
      <c r="B78" s="20" t="s">
        <v>146</v>
      </c>
      <c r="C78" s="20" t="s">
        <v>122</v>
      </c>
      <c r="D78" s="20" t="s">
        <v>123</v>
      </c>
      <c r="E78" s="20" t="s">
        <v>124</v>
      </c>
      <c r="F78" s="21" t="n">
        <v>100.26</v>
      </c>
      <c r="G78" s="21" t="n">
        <v>123.94</v>
      </c>
      <c r="H78" s="21" t="n">
        <v>179.65</v>
      </c>
      <c r="I78" s="21" t="n">
        <v>188.61</v>
      </c>
      <c r="J78" s="21" t="n">
        <v>170.17</v>
      </c>
      <c r="K78" s="21" t="n">
        <v>168.74</v>
      </c>
      <c r="L78" s="21" t="n">
        <v>157.63</v>
      </c>
      <c r="M78" s="21" t="n">
        <v>155.62</v>
      </c>
      <c r="N78" s="21" t="n">
        <v>167.6</v>
      </c>
      <c r="O78" s="21" t="n">
        <v>174.9</v>
      </c>
      <c r="P78" s="21" t="n">
        <v>177.31</v>
      </c>
      <c r="Q78" s="21" t="n">
        <v>178.83</v>
      </c>
      <c r="R78" s="21" t="n">
        <v>181.18</v>
      </c>
      <c r="S78" s="21" t="n">
        <v>184.17</v>
      </c>
      <c r="T78" s="21" t="n">
        <v>186.64</v>
      </c>
      <c r="U78" s="20"/>
      <c r="V78" s="20" t="s">
        <v>125</v>
      </c>
      <c r="W78" s="20" t="s">
        <v>97</v>
      </c>
      <c r="X78" s="20"/>
      <c r="Y78" s="20" t="s">
        <v>98</v>
      </c>
      <c r="Z78" s="20" t="s">
        <v>126</v>
      </c>
      <c r="AA78" s="20" t="s">
        <v>127</v>
      </c>
      <c r="AB78" s="20" t="s">
        <v>128</v>
      </c>
      <c r="AC78" s="20" t="s">
        <v>129</v>
      </c>
      <c r="AD78" s="20" t="s">
        <v>157</v>
      </c>
      <c r="AE78" s="20" t="s">
        <v>147</v>
      </c>
    </row>
    <row r="79" customFormat="false" ht="15" hidden="false" customHeight="false" outlineLevel="0" collapsed="false">
      <c r="A79" s="20" t="s">
        <v>158</v>
      </c>
      <c r="B79" s="20" t="s">
        <v>121</v>
      </c>
      <c r="C79" s="20" t="s">
        <v>122</v>
      </c>
      <c r="D79" s="20" t="s">
        <v>123</v>
      </c>
      <c r="E79" s="20" t="s">
        <v>124</v>
      </c>
      <c r="F79" s="21" t="n">
        <v>1788.27</v>
      </c>
      <c r="G79" s="21" t="n">
        <v>1698.57</v>
      </c>
      <c r="H79" s="21" t="n">
        <v>1759.12</v>
      </c>
      <c r="I79" s="21" t="n">
        <v>1850.13</v>
      </c>
      <c r="J79" s="21" t="n">
        <v>1933.57</v>
      </c>
      <c r="K79" s="21" t="n">
        <v>2060.32</v>
      </c>
      <c r="L79" s="21" t="n">
        <v>2087.77</v>
      </c>
      <c r="M79" s="21" t="n">
        <v>2218.97</v>
      </c>
      <c r="N79" s="21" t="n">
        <v>2341.66</v>
      </c>
      <c r="O79" s="21" t="n">
        <v>2485.53</v>
      </c>
      <c r="P79" s="21" t="n">
        <v>2601.53</v>
      </c>
      <c r="Q79" s="21" t="n">
        <v>2654.65</v>
      </c>
      <c r="R79" s="21" t="n">
        <v>2734.05</v>
      </c>
      <c r="S79" s="21" t="n">
        <v>2831.59</v>
      </c>
      <c r="T79" s="21" t="n">
        <v>2892.43</v>
      </c>
      <c r="U79" s="20"/>
      <c r="V79" s="20" t="s">
        <v>125</v>
      </c>
      <c r="W79" s="20" t="s">
        <v>97</v>
      </c>
      <c r="X79" s="20"/>
      <c r="Y79" s="20" t="s">
        <v>98</v>
      </c>
      <c r="Z79" s="20" t="s">
        <v>126</v>
      </c>
      <c r="AA79" s="20" t="s">
        <v>127</v>
      </c>
      <c r="AB79" s="20" t="s">
        <v>128</v>
      </c>
      <c r="AC79" s="20" t="s">
        <v>129</v>
      </c>
      <c r="AD79" s="20" t="s">
        <v>159</v>
      </c>
      <c r="AE79" s="20" t="s">
        <v>131</v>
      </c>
    </row>
    <row r="80" customFormat="false" ht="15" hidden="false" customHeight="false" outlineLevel="0" collapsed="false">
      <c r="A80" s="20" t="s">
        <v>158</v>
      </c>
      <c r="B80" s="20" t="s">
        <v>132</v>
      </c>
      <c r="C80" s="20" t="s">
        <v>122</v>
      </c>
      <c r="D80" s="20" t="s">
        <v>123</v>
      </c>
      <c r="E80" s="20" t="s">
        <v>124</v>
      </c>
      <c r="F80" s="21" t="n">
        <v>5245.9</v>
      </c>
      <c r="G80" s="21" t="n">
        <v>4636.11</v>
      </c>
      <c r="H80" s="21" t="n">
        <v>4325.24</v>
      </c>
      <c r="I80" s="21" t="n">
        <v>4206.07</v>
      </c>
      <c r="J80" s="21" t="n">
        <v>4161.46</v>
      </c>
      <c r="K80" s="21" t="n">
        <v>4634.27</v>
      </c>
      <c r="L80" s="21" t="n">
        <v>4964.65</v>
      </c>
      <c r="M80" s="21" t="n">
        <v>5307.99</v>
      </c>
      <c r="N80" s="21" t="n">
        <v>5453.56</v>
      </c>
      <c r="O80" s="21" t="n">
        <v>5555.31</v>
      </c>
      <c r="P80" s="21" t="n">
        <v>5663.11</v>
      </c>
      <c r="Q80" s="21" t="n">
        <v>5780.99</v>
      </c>
      <c r="R80" s="21" t="n">
        <v>5912.1</v>
      </c>
      <c r="S80" s="21" t="n">
        <v>6022.2</v>
      </c>
      <c r="T80" s="21" t="n">
        <v>6141.01</v>
      </c>
      <c r="U80" s="20"/>
      <c r="V80" s="20" t="s">
        <v>125</v>
      </c>
      <c r="W80" s="20" t="s">
        <v>97</v>
      </c>
      <c r="X80" s="20"/>
      <c r="Y80" s="20" t="s">
        <v>98</v>
      </c>
      <c r="Z80" s="20" t="s">
        <v>126</v>
      </c>
      <c r="AA80" s="20" t="s">
        <v>127</v>
      </c>
      <c r="AB80" s="20" t="s">
        <v>128</v>
      </c>
      <c r="AC80" s="20" t="s">
        <v>129</v>
      </c>
      <c r="AD80" s="20" t="s">
        <v>159</v>
      </c>
      <c r="AE80" s="20" t="s">
        <v>133</v>
      </c>
    </row>
    <row r="81" customFormat="false" ht="15" hidden="false" customHeight="false" outlineLevel="0" collapsed="false">
      <c r="A81" s="20" t="s">
        <v>158</v>
      </c>
      <c r="B81" s="20" t="s">
        <v>134</v>
      </c>
      <c r="C81" s="20" t="s">
        <v>122</v>
      </c>
      <c r="D81" s="20" t="s">
        <v>123</v>
      </c>
      <c r="E81" s="20" t="s">
        <v>124</v>
      </c>
      <c r="F81" s="21" t="n">
        <v>2974.41</v>
      </c>
      <c r="G81" s="21" t="n">
        <v>2854.87</v>
      </c>
      <c r="H81" s="21" t="n">
        <v>2979.28</v>
      </c>
      <c r="I81" s="21" t="n">
        <v>3141.87</v>
      </c>
      <c r="J81" s="21" t="n">
        <v>3284.25</v>
      </c>
      <c r="K81" s="21" t="n">
        <v>3576.72</v>
      </c>
      <c r="L81" s="21" t="n">
        <v>3731.6</v>
      </c>
      <c r="M81" s="21" t="n">
        <v>4043.41</v>
      </c>
      <c r="N81" s="21" t="n">
        <v>4216.21</v>
      </c>
      <c r="O81" s="21" t="n">
        <v>4434.26</v>
      </c>
      <c r="P81" s="21" t="n">
        <v>4665.98</v>
      </c>
      <c r="Q81" s="21" t="n">
        <v>4774.13</v>
      </c>
      <c r="R81" s="21" t="n">
        <v>4941.46</v>
      </c>
      <c r="S81" s="21" t="n">
        <v>5232.02</v>
      </c>
      <c r="T81" s="21" t="n">
        <v>5411.05</v>
      </c>
      <c r="U81" s="20"/>
      <c r="V81" s="20" t="s">
        <v>125</v>
      </c>
      <c r="W81" s="20" t="s">
        <v>97</v>
      </c>
      <c r="X81" s="20"/>
      <c r="Y81" s="20" t="s">
        <v>98</v>
      </c>
      <c r="Z81" s="20" t="s">
        <v>126</v>
      </c>
      <c r="AA81" s="20" t="s">
        <v>127</v>
      </c>
      <c r="AB81" s="20" t="s">
        <v>128</v>
      </c>
      <c r="AC81" s="20" t="s">
        <v>129</v>
      </c>
      <c r="AD81" s="20" t="s">
        <v>159</v>
      </c>
      <c r="AE81" s="20" t="s">
        <v>135</v>
      </c>
    </row>
    <row r="82" customFormat="false" ht="15" hidden="false" customHeight="false" outlineLevel="0" collapsed="false">
      <c r="A82" s="20" t="s">
        <v>158</v>
      </c>
      <c r="B82" s="20" t="s">
        <v>136</v>
      </c>
      <c r="C82" s="20" t="s">
        <v>122</v>
      </c>
      <c r="D82" s="20" t="s">
        <v>123</v>
      </c>
      <c r="E82" s="20" t="s">
        <v>124</v>
      </c>
      <c r="F82" s="21" t="n">
        <v>2191.61</v>
      </c>
      <c r="G82" s="21" t="n">
        <v>2306.57</v>
      </c>
      <c r="H82" s="21" t="n">
        <v>2387.19</v>
      </c>
      <c r="I82" s="21" t="n">
        <v>2404.75</v>
      </c>
      <c r="J82" s="21" t="n">
        <v>2438.51</v>
      </c>
      <c r="K82" s="21" t="n">
        <v>2650.94</v>
      </c>
      <c r="L82" s="21" t="n">
        <v>2859.5</v>
      </c>
      <c r="M82" s="21" t="n">
        <v>3010.49</v>
      </c>
      <c r="N82" s="21" t="n">
        <v>3038.18</v>
      </c>
      <c r="O82" s="21" t="n">
        <v>3053.24</v>
      </c>
      <c r="P82" s="21" t="n">
        <v>3068.16</v>
      </c>
      <c r="Q82" s="21" t="n">
        <v>3116.02</v>
      </c>
      <c r="R82" s="21" t="n">
        <v>3194.97</v>
      </c>
      <c r="S82" s="21" t="n">
        <v>3277.07</v>
      </c>
      <c r="T82" s="21" t="n">
        <v>3366.38</v>
      </c>
      <c r="U82" s="20"/>
      <c r="V82" s="20" t="s">
        <v>125</v>
      </c>
      <c r="W82" s="20" t="s">
        <v>97</v>
      </c>
      <c r="X82" s="20"/>
      <c r="Y82" s="20" t="s">
        <v>98</v>
      </c>
      <c r="Z82" s="20" t="s">
        <v>126</v>
      </c>
      <c r="AA82" s="20" t="s">
        <v>127</v>
      </c>
      <c r="AB82" s="20" t="s">
        <v>128</v>
      </c>
      <c r="AC82" s="20" t="s">
        <v>129</v>
      </c>
      <c r="AD82" s="20" t="s">
        <v>159</v>
      </c>
      <c r="AE82" s="20" t="s">
        <v>137</v>
      </c>
    </row>
    <row r="83" customFormat="false" ht="15" hidden="false" customHeight="false" outlineLevel="0" collapsed="false">
      <c r="A83" s="20" t="s">
        <v>158</v>
      </c>
      <c r="B83" s="20" t="s">
        <v>60</v>
      </c>
      <c r="C83" s="20" t="s">
        <v>122</v>
      </c>
      <c r="D83" s="20" t="s">
        <v>123</v>
      </c>
      <c r="E83" s="20" t="s">
        <v>124</v>
      </c>
      <c r="F83" s="21" t="n">
        <v>45343.33</v>
      </c>
      <c r="G83" s="21" t="n">
        <v>44074</v>
      </c>
      <c r="H83" s="21" t="n">
        <v>50012.69</v>
      </c>
      <c r="I83" s="21" t="n">
        <v>51613.73</v>
      </c>
      <c r="J83" s="21" t="n">
        <v>52355.29</v>
      </c>
      <c r="K83" s="21" t="n">
        <v>57130.59</v>
      </c>
      <c r="L83" s="21" t="n">
        <v>62844.63</v>
      </c>
      <c r="M83" s="21" t="n">
        <v>66992.23</v>
      </c>
      <c r="N83" s="21" t="n">
        <v>69594.13</v>
      </c>
      <c r="O83" s="21" t="n">
        <v>71317.09</v>
      </c>
      <c r="P83" s="21" t="n">
        <v>72644.75</v>
      </c>
      <c r="Q83" s="21" t="n">
        <v>73610.64</v>
      </c>
      <c r="R83" s="21" t="n">
        <v>74640.59</v>
      </c>
      <c r="S83" s="21" t="n">
        <v>75385.59</v>
      </c>
      <c r="T83" s="21" t="n">
        <v>76165.57</v>
      </c>
      <c r="U83" s="20"/>
      <c r="V83" s="20" t="s">
        <v>125</v>
      </c>
      <c r="W83" s="20" t="s">
        <v>97</v>
      </c>
      <c r="X83" s="20"/>
      <c r="Y83" s="20" t="s">
        <v>98</v>
      </c>
      <c r="Z83" s="20" t="s">
        <v>126</v>
      </c>
      <c r="AA83" s="20" t="s">
        <v>127</v>
      </c>
      <c r="AB83" s="20" t="s">
        <v>128</v>
      </c>
      <c r="AC83" s="20" t="s">
        <v>129</v>
      </c>
      <c r="AD83" s="20" t="s">
        <v>159</v>
      </c>
      <c r="AE83" s="20" t="s">
        <v>138</v>
      </c>
    </row>
    <row r="84" customFormat="false" ht="15" hidden="false" customHeight="false" outlineLevel="0" collapsed="false">
      <c r="A84" s="20" t="s">
        <v>158</v>
      </c>
      <c r="B84" s="20" t="s">
        <v>139</v>
      </c>
      <c r="C84" s="20" t="s">
        <v>122</v>
      </c>
      <c r="D84" s="20" t="s">
        <v>123</v>
      </c>
      <c r="E84" s="20" t="s">
        <v>124</v>
      </c>
      <c r="F84" s="21" t="n">
        <v>1233.56</v>
      </c>
      <c r="G84" s="21" t="n">
        <v>1223.8</v>
      </c>
      <c r="H84" s="21" t="n">
        <v>1233.38</v>
      </c>
      <c r="I84" s="21" t="n">
        <v>1335.1</v>
      </c>
      <c r="J84" s="21" t="n">
        <v>1390.47</v>
      </c>
      <c r="K84" s="21" t="n">
        <v>1484.56</v>
      </c>
      <c r="L84" s="21" t="n">
        <v>1564.67</v>
      </c>
      <c r="M84" s="21" t="n">
        <v>1675.59</v>
      </c>
      <c r="N84" s="21" t="n">
        <v>1748.09</v>
      </c>
      <c r="O84" s="21" t="n">
        <v>1848.07</v>
      </c>
      <c r="P84" s="21" t="n">
        <v>1951</v>
      </c>
      <c r="Q84" s="21" t="n">
        <v>2012.27</v>
      </c>
      <c r="R84" s="21" t="n">
        <v>2089.42</v>
      </c>
      <c r="S84" s="21" t="n">
        <v>2188.34</v>
      </c>
      <c r="T84" s="21" t="n">
        <v>2258.59</v>
      </c>
      <c r="U84" s="20"/>
      <c r="V84" s="20" t="s">
        <v>125</v>
      </c>
      <c r="W84" s="20" t="s">
        <v>97</v>
      </c>
      <c r="X84" s="20"/>
      <c r="Y84" s="20" t="s">
        <v>98</v>
      </c>
      <c r="Z84" s="20" t="s">
        <v>126</v>
      </c>
      <c r="AA84" s="20" t="s">
        <v>127</v>
      </c>
      <c r="AB84" s="20" t="s">
        <v>128</v>
      </c>
      <c r="AC84" s="20" t="s">
        <v>129</v>
      </c>
      <c r="AD84" s="20" t="s">
        <v>159</v>
      </c>
      <c r="AE84" s="20" t="s">
        <v>140</v>
      </c>
    </row>
    <row r="85" customFormat="false" ht="15" hidden="false" customHeight="false" outlineLevel="0" collapsed="false">
      <c r="A85" s="20" t="s">
        <v>158</v>
      </c>
      <c r="B85" s="20" t="s">
        <v>67</v>
      </c>
      <c r="C85" s="20" t="s">
        <v>122</v>
      </c>
      <c r="D85" s="20" t="s">
        <v>123</v>
      </c>
      <c r="E85" s="20" t="s">
        <v>124</v>
      </c>
      <c r="F85" s="21" t="n">
        <v>35344.87</v>
      </c>
      <c r="G85" s="21" t="n">
        <v>33613.48</v>
      </c>
      <c r="H85" s="21" t="n">
        <v>38276.8</v>
      </c>
      <c r="I85" s="21" t="n">
        <v>40132.8</v>
      </c>
      <c r="J85" s="21" t="n">
        <v>41105.84</v>
      </c>
      <c r="K85" s="21" t="n">
        <v>44835.73</v>
      </c>
      <c r="L85" s="21" t="n">
        <v>49986.75</v>
      </c>
      <c r="M85" s="21" t="n">
        <v>53372.04</v>
      </c>
      <c r="N85" s="21" t="n">
        <v>55744.41</v>
      </c>
      <c r="O85" s="21" t="n">
        <v>57384.84</v>
      </c>
      <c r="P85" s="21" t="n">
        <v>58643.48</v>
      </c>
      <c r="Q85" s="21" t="n">
        <v>59431.33</v>
      </c>
      <c r="R85" s="21" t="n">
        <v>60205.71</v>
      </c>
      <c r="S85" s="21" t="n">
        <v>60743.57</v>
      </c>
      <c r="T85" s="21" t="n">
        <v>61400.25</v>
      </c>
      <c r="U85" s="20"/>
      <c r="V85" s="20" t="s">
        <v>125</v>
      </c>
      <c r="W85" s="20" t="s">
        <v>97</v>
      </c>
      <c r="X85" s="20"/>
      <c r="Y85" s="20" t="s">
        <v>98</v>
      </c>
      <c r="Z85" s="20" t="s">
        <v>126</v>
      </c>
      <c r="AA85" s="20" t="s">
        <v>127</v>
      </c>
      <c r="AB85" s="20" t="s">
        <v>128</v>
      </c>
      <c r="AC85" s="20" t="s">
        <v>129</v>
      </c>
      <c r="AD85" s="20" t="s">
        <v>159</v>
      </c>
      <c r="AE85" s="20" t="s">
        <v>141</v>
      </c>
    </row>
    <row r="86" customFormat="false" ht="15" hidden="false" customHeight="false" outlineLevel="0" collapsed="false">
      <c r="A86" s="20" t="s">
        <v>158</v>
      </c>
      <c r="B86" s="20" t="s">
        <v>64</v>
      </c>
      <c r="C86" s="20" t="s">
        <v>122</v>
      </c>
      <c r="D86" s="20" t="s">
        <v>123</v>
      </c>
      <c r="E86" s="20" t="s">
        <v>124</v>
      </c>
      <c r="F86" s="21" t="n">
        <v>24550.87</v>
      </c>
      <c r="G86" s="21" t="n">
        <v>23937.56</v>
      </c>
      <c r="H86" s="21" t="n">
        <v>27171.79</v>
      </c>
      <c r="I86" s="21" t="n">
        <v>28349.72</v>
      </c>
      <c r="J86" s="21" t="n">
        <v>28585.65</v>
      </c>
      <c r="K86" s="21" t="n">
        <v>30723.84</v>
      </c>
      <c r="L86" s="21" t="n">
        <v>30204.78</v>
      </c>
      <c r="M86" s="21" t="n">
        <v>29502.94</v>
      </c>
      <c r="N86" s="21" t="n">
        <v>30825.3</v>
      </c>
      <c r="O86" s="21" t="n">
        <v>32869.39</v>
      </c>
      <c r="P86" s="21" t="n">
        <v>34889.63</v>
      </c>
      <c r="Q86" s="21" t="n">
        <v>35991.93</v>
      </c>
      <c r="R86" s="21" t="n">
        <v>37013.28</v>
      </c>
      <c r="S86" s="21" t="n">
        <v>38685.23</v>
      </c>
      <c r="T86" s="21" t="n">
        <v>40725.27</v>
      </c>
      <c r="U86" s="20"/>
      <c r="V86" s="20" t="s">
        <v>125</v>
      </c>
      <c r="W86" s="20" t="s">
        <v>97</v>
      </c>
      <c r="X86" s="20"/>
      <c r="Y86" s="20" t="s">
        <v>98</v>
      </c>
      <c r="Z86" s="20" t="s">
        <v>126</v>
      </c>
      <c r="AA86" s="20" t="s">
        <v>127</v>
      </c>
      <c r="AB86" s="20" t="s">
        <v>128</v>
      </c>
      <c r="AC86" s="20" t="s">
        <v>129</v>
      </c>
      <c r="AD86" s="20" t="s">
        <v>159</v>
      </c>
      <c r="AE86" s="20" t="s">
        <v>142</v>
      </c>
    </row>
    <row r="87" customFormat="false" ht="15" hidden="false" customHeight="false" outlineLevel="0" collapsed="false">
      <c r="A87" s="20" t="s">
        <v>158</v>
      </c>
      <c r="B87" s="20" t="s">
        <v>74</v>
      </c>
      <c r="C87" s="20" t="s">
        <v>122</v>
      </c>
      <c r="D87" s="20" t="s">
        <v>123</v>
      </c>
      <c r="E87" s="20" t="s">
        <v>124</v>
      </c>
      <c r="F87" s="21" t="n">
        <v>8695.9</v>
      </c>
      <c r="G87" s="21" t="n">
        <v>8458.04</v>
      </c>
      <c r="H87" s="21" t="n">
        <v>8796.1</v>
      </c>
      <c r="I87" s="21" t="n">
        <v>9009.08</v>
      </c>
      <c r="J87" s="21" t="n">
        <v>9097.78</v>
      </c>
      <c r="K87" s="21" t="n">
        <v>9943.89</v>
      </c>
      <c r="L87" s="21" t="n">
        <v>10533.53</v>
      </c>
      <c r="M87" s="21" t="n">
        <v>11136.8</v>
      </c>
      <c r="N87" s="21" t="n">
        <v>11485.42</v>
      </c>
      <c r="O87" s="21" t="n">
        <v>11771.46</v>
      </c>
      <c r="P87" s="21" t="n">
        <v>12007.3</v>
      </c>
      <c r="Q87" s="21" t="n">
        <v>12255.48</v>
      </c>
      <c r="R87" s="21" t="n">
        <v>12555.76</v>
      </c>
      <c r="S87" s="21" t="n">
        <v>12836.68</v>
      </c>
      <c r="T87" s="21" t="n">
        <v>13139.78</v>
      </c>
      <c r="U87" s="20"/>
      <c r="V87" s="20" t="s">
        <v>125</v>
      </c>
      <c r="W87" s="20" t="s">
        <v>97</v>
      </c>
      <c r="X87" s="20"/>
      <c r="Y87" s="20" t="s">
        <v>98</v>
      </c>
      <c r="Z87" s="20" t="s">
        <v>126</v>
      </c>
      <c r="AA87" s="20" t="s">
        <v>127</v>
      </c>
      <c r="AB87" s="20" t="s">
        <v>128</v>
      </c>
      <c r="AC87" s="20" t="s">
        <v>129</v>
      </c>
      <c r="AD87" s="20" t="s">
        <v>159</v>
      </c>
      <c r="AE87" s="20" t="s">
        <v>143</v>
      </c>
    </row>
    <row r="88" customFormat="false" ht="15" hidden="false" customHeight="false" outlineLevel="0" collapsed="false">
      <c r="A88" s="20" t="s">
        <v>158</v>
      </c>
      <c r="B88" s="20" t="s">
        <v>71</v>
      </c>
      <c r="C88" s="20" t="s">
        <v>122</v>
      </c>
      <c r="D88" s="20" t="s">
        <v>123</v>
      </c>
      <c r="E88" s="20" t="s">
        <v>124</v>
      </c>
      <c r="F88" s="21" t="n">
        <v>17919.5</v>
      </c>
      <c r="G88" s="21" t="n">
        <v>17952</v>
      </c>
      <c r="H88" s="21" t="n">
        <v>20452.08</v>
      </c>
      <c r="I88" s="21" t="n">
        <v>21186.46</v>
      </c>
      <c r="J88" s="21" t="n">
        <v>21300.92</v>
      </c>
      <c r="K88" s="21" t="n">
        <v>23491.79</v>
      </c>
      <c r="L88" s="21" t="n">
        <v>23190.63</v>
      </c>
      <c r="M88" s="21" t="n">
        <v>22721.62</v>
      </c>
      <c r="N88" s="21" t="n">
        <v>23670.83</v>
      </c>
      <c r="O88" s="21" t="n">
        <v>25285.47</v>
      </c>
      <c r="P88" s="21" t="n">
        <v>26925.27</v>
      </c>
      <c r="Q88" s="21" t="n">
        <v>27879.82</v>
      </c>
      <c r="R88" s="21" t="n">
        <v>28840.05</v>
      </c>
      <c r="S88" s="21" t="n">
        <v>30340.29</v>
      </c>
      <c r="T88" s="21" t="n">
        <v>32128.58</v>
      </c>
      <c r="U88" s="20"/>
      <c r="V88" s="20" t="s">
        <v>125</v>
      </c>
      <c r="W88" s="20" t="s">
        <v>97</v>
      </c>
      <c r="X88" s="20"/>
      <c r="Y88" s="20" t="s">
        <v>98</v>
      </c>
      <c r="Z88" s="20" t="s">
        <v>126</v>
      </c>
      <c r="AA88" s="20" t="s">
        <v>127</v>
      </c>
      <c r="AB88" s="20" t="s">
        <v>128</v>
      </c>
      <c r="AC88" s="20" t="s">
        <v>129</v>
      </c>
      <c r="AD88" s="20" t="s">
        <v>159</v>
      </c>
      <c r="AE88" s="20" t="s">
        <v>144</v>
      </c>
    </row>
    <row r="89" customFormat="false" ht="15" hidden="false" customHeight="false" outlineLevel="0" collapsed="false">
      <c r="A89" s="20" t="s">
        <v>158</v>
      </c>
      <c r="B89" s="20" t="s">
        <v>78</v>
      </c>
      <c r="C89" s="20" t="s">
        <v>122</v>
      </c>
      <c r="D89" s="20" t="s">
        <v>123</v>
      </c>
      <c r="E89" s="20" t="s">
        <v>124</v>
      </c>
      <c r="F89" s="21" t="n">
        <v>5996.24</v>
      </c>
      <c r="G89" s="21" t="n">
        <v>5777.23</v>
      </c>
      <c r="H89" s="21" t="n">
        <v>5971.78</v>
      </c>
      <c r="I89" s="21" t="n">
        <v>6327.1</v>
      </c>
      <c r="J89" s="21" t="n">
        <v>6608.29</v>
      </c>
      <c r="K89" s="21" t="n">
        <v>7121.6</v>
      </c>
      <c r="L89" s="21" t="n">
        <v>7384.03</v>
      </c>
      <c r="M89" s="21" t="n">
        <v>7937.97</v>
      </c>
      <c r="N89" s="21" t="n">
        <v>8305.95</v>
      </c>
      <c r="O89" s="21" t="n">
        <v>8767.87</v>
      </c>
      <c r="P89" s="21" t="n">
        <v>9218.51</v>
      </c>
      <c r="Q89" s="21" t="n">
        <v>9441.05</v>
      </c>
      <c r="R89" s="21" t="n">
        <v>9764.93</v>
      </c>
      <c r="S89" s="21" t="n">
        <v>10251.95</v>
      </c>
      <c r="T89" s="21" t="n">
        <v>10562.06</v>
      </c>
      <c r="U89" s="20"/>
      <c r="V89" s="20" t="s">
        <v>125</v>
      </c>
      <c r="W89" s="20" t="s">
        <v>97</v>
      </c>
      <c r="X89" s="20"/>
      <c r="Y89" s="20" t="s">
        <v>98</v>
      </c>
      <c r="Z89" s="20" t="s">
        <v>126</v>
      </c>
      <c r="AA89" s="20" t="s">
        <v>127</v>
      </c>
      <c r="AB89" s="20" t="s">
        <v>128</v>
      </c>
      <c r="AC89" s="20" t="s">
        <v>129</v>
      </c>
      <c r="AD89" s="20" t="s">
        <v>159</v>
      </c>
      <c r="AE89" s="20" t="s">
        <v>145</v>
      </c>
    </row>
    <row r="90" customFormat="false" ht="15" hidden="false" customHeight="false" outlineLevel="0" collapsed="false">
      <c r="A90" s="20" t="s">
        <v>158</v>
      </c>
      <c r="B90" s="20" t="s">
        <v>146</v>
      </c>
      <c r="C90" s="20" t="s">
        <v>122</v>
      </c>
      <c r="D90" s="20" t="s">
        <v>123</v>
      </c>
      <c r="E90" s="20" t="s">
        <v>124</v>
      </c>
      <c r="F90" s="21" t="n">
        <v>1258.38</v>
      </c>
      <c r="G90" s="21" t="n">
        <v>1515.36</v>
      </c>
      <c r="H90" s="21" t="n">
        <v>2083.66</v>
      </c>
      <c r="I90" s="21" t="n">
        <v>2398.26</v>
      </c>
      <c r="J90" s="21" t="n">
        <v>2497.81</v>
      </c>
      <c r="K90" s="21" t="n">
        <v>2658.68</v>
      </c>
      <c r="L90" s="21" t="n">
        <v>2709.38</v>
      </c>
      <c r="M90" s="21" t="n">
        <v>2818.32</v>
      </c>
      <c r="N90" s="21" t="n">
        <v>2993.68</v>
      </c>
      <c r="O90" s="21" t="n">
        <v>3162.91</v>
      </c>
      <c r="P90" s="21" t="n">
        <v>3276.03</v>
      </c>
      <c r="Q90" s="21" t="n">
        <v>3358.47</v>
      </c>
      <c r="R90" s="21" t="n">
        <v>3448.69</v>
      </c>
      <c r="S90" s="21" t="n">
        <v>3537.41</v>
      </c>
      <c r="T90" s="21" t="n">
        <v>3632.39</v>
      </c>
      <c r="U90" s="20"/>
      <c r="V90" s="20" t="s">
        <v>125</v>
      </c>
      <c r="W90" s="20" t="s">
        <v>97</v>
      </c>
      <c r="X90" s="20"/>
      <c r="Y90" s="20" t="s">
        <v>98</v>
      </c>
      <c r="Z90" s="20" t="s">
        <v>126</v>
      </c>
      <c r="AA90" s="20" t="s">
        <v>127</v>
      </c>
      <c r="AB90" s="20" t="s">
        <v>128</v>
      </c>
      <c r="AC90" s="20" t="s">
        <v>129</v>
      </c>
      <c r="AD90" s="20" t="s">
        <v>159</v>
      </c>
      <c r="AE90" s="20" t="s">
        <v>147</v>
      </c>
    </row>
    <row r="91" customFormat="false" ht="15" hidden="false" customHeight="false" outlineLevel="0" collapsed="false">
      <c r="A91" s="20" t="s">
        <v>160</v>
      </c>
      <c r="B91" s="20" t="s">
        <v>121</v>
      </c>
      <c r="C91" s="20" t="s">
        <v>122</v>
      </c>
      <c r="D91" s="20" t="s">
        <v>123</v>
      </c>
      <c r="E91" s="20" t="s">
        <v>124</v>
      </c>
      <c r="F91" s="21" t="n">
        <v>55.6</v>
      </c>
      <c r="G91" s="21" t="n">
        <v>54.44</v>
      </c>
      <c r="H91" s="21" t="n">
        <v>52.46</v>
      </c>
      <c r="I91" s="21" t="n">
        <v>49.7</v>
      </c>
      <c r="J91" s="21" t="n">
        <v>47.35</v>
      </c>
      <c r="K91" s="21" t="n">
        <v>43.65</v>
      </c>
      <c r="L91" s="21" t="n">
        <v>44.54</v>
      </c>
      <c r="M91" s="21" t="n">
        <v>44.87</v>
      </c>
      <c r="N91" s="21" t="n">
        <v>45.04</v>
      </c>
      <c r="O91" s="21" t="n">
        <v>45.12</v>
      </c>
      <c r="P91" s="21" t="n">
        <v>45.32</v>
      </c>
      <c r="Q91" s="21" t="n">
        <v>45.52</v>
      </c>
      <c r="R91" s="21" t="n">
        <v>45.69</v>
      </c>
      <c r="S91" s="21" t="n">
        <v>45.78</v>
      </c>
      <c r="T91" s="21" t="n">
        <v>45.91</v>
      </c>
      <c r="U91" s="20"/>
      <c r="V91" s="20" t="s">
        <v>125</v>
      </c>
      <c r="W91" s="20" t="s">
        <v>97</v>
      </c>
      <c r="X91" s="20"/>
      <c r="Y91" s="20" t="s">
        <v>98</v>
      </c>
      <c r="Z91" s="20" t="s">
        <v>126</v>
      </c>
      <c r="AA91" s="20" t="s">
        <v>127</v>
      </c>
      <c r="AB91" s="20" t="s">
        <v>128</v>
      </c>
      <c r="AC91" s="20" t="s">
        <v>129</v>
      </c>
      <c r="AD91" s="20" t="s">
        <v>161</v>
      </c>
      <c r="AE91" s="20" t="s">
        <v>131</v>
      </c>
    </row>
    <row r="92" customFormat="false" ht="15" hidden="false" customHeight="false" outlineLevel="0" collapsed="false">
      <c r="A92" s="20" t="s">
        <v>160</v>
      </c>
      <c r="B92" s="20" t="s">
        <v>132</v>
      </c>
      <c r="C92" s="20" t="s">
        <v>122</v>
      </c>
      <c r="D92" s="20" t="s">
        <v>123</v>
      </c>
      <c r="E92" s="20" t="s">
        <v>124</v>
      </c>
      <c r="F92" s="21" t="n">
        <v>341.96</v>
      </c>
      <c r="G92" s="21" t="n">
        <v>319.03</v>
      </c>
      <c r="H92" s="21" t="n">
        <v>302.69</v>
      </c>
      <c r="I92" s="21" t="n">
        <v>230.66</v>
      </c>
      <c r="J92" s="21" t="n">
        <v>274.87</v>
      </c>
      <c r="K92" s="21" t="n">
        <v>259.87</v>
      </c>
      <c r="L92" s="21" t="n">
        <v>261.91</v>
      </c>
      <c r="M92" s="21" t="n">
        <v>262.16</v>
      </c>
      <c r="N92" s="21" t="n">
        <v>261.78</v>
      </c>
      <c r="O92" s="21" t="n">
        <v>261.76</v>
      </c>
      <c r="P92" s="21" t="n">
        <v>262.36</v>
      </c>
      <c r="Q92" s="21" t="n">
        <v>263.64</v>
      </c>
      <c r="R92" s="21" t="n">
        <v>265.02</v>
      </c>
      <c r="S92" s="21" t="n">
        <v>266.26</v>
      </c>
      <c r="T92" s="21" t="n">
        <v>267.41</v>
      </c>
      <c r="U92" s="20"/>
      <c r="V92" s="20" t="s">
        <v>125</v>
      </c>
      <c r="W92" s="20" t="s">
        <v>97</v>
      </c>
      <c r="X92" s="20"/>
      <c r="Y92" s="20" t="s">
        <v>98</v>
      </c>
      <c r="Z92" s="20" t="s">
        <v>126</v>
      </c>
      <c r="AA92" s="20" t="s">
        <v>127</v>
      </c>
      <c r="AB92" s="20" t="s">
        <v>128</v>
      </c>
      <c r="AC92" s="20" t="s">
        <v>129</v>
      </c>
      <c r="AD92" s="20" t="s">
        <v>161</v>
      </c>
      <c r="AE92" s="20" t="s">
        <v>133</v>
      </c>
    </row>
    <row r="93" customFormat="false" ht="15" hidden="false" customHeight="false" outlineLevel="0" collapsed="false">
      <c r="A93" s="20" t="s">
        <v>160</v>
      </c>
      <c r="B93" s="20" t="s">
        <v>134</v>
      </c>
      <c r="C93" s="20" t="s">
        <v>122</v>
      </c>
      <c r="D93" s="20" t="s">
        <v>123</v>
      </c>
      <c r="E93" s="20" t="s">
        <v>124</v>
      </c>
      <c r="F93" s="21" t="n">
        <v>305.52</v>
      </c>
      <c r="G93" s="21" t="n">
        <v>304.23</v>
      </c>
      <c r="H93" s="21" t="n">
        <v>288.24</v>
      </c>
      <c r="I93" s="21" t="n">
        <v>271.8</v>
      </c>
      <c r="J93" s="21" t="n">
        <v>258.86</v>
      </c>
      <c r="K93" s="21" t="n">
        <v>249.58</v>
      </c>
      <c r="L93" s="21" t="n">
        <v>262.25</v>
      </c>
      <c r="M93" s="21" t="n">
        <v>269.29</v>
      </c>
      <c r="N93" s="21" t="n">
        <v>272.94</v>
      </c>
      <c r="O93" s="21" t="n">
        <v>275.3</v>
      </c>
      <c r="P93" s="21" t="n">
        <v>277.79</v>
      </c>
      <c r="Q93" s="21" t="n">
        <v>281.03</v>
      </c>
      <c r="R93" s="21" t="n">
        <v>284.21</v>
      </c>
      <c r="S93" s="21" t="n">
        <v>287.07</v>
      </c>
      <c r="T93" s="21" t="n">
        <v>289.47</v>
      </c>
      <c r="U93" s="20"/>
      <c r="V93" s="20" t="s">
        <v>125</v>
      </c>
      <c r="W93" s="20" t="s">
        <v>97</v>
      </c>
      <c r="X93" s="20"/>
      <c r="Y93" s="20" t="s">
        <v>98</v>
      </c>
      <c r="Z93" s="20" t="s">
        <v>126</v>
      </c>
      <c r="AA93" s="20" t="s">
        <v>127</v>
      </c>
      <c r="AB93" s="20" t="s">
        <v>128</v>
      </c>
      <c r="AC93" s="20" t="s">
        <v>129</v>
      </c>
      <c r="AD93" s="20" t="s">
        <v>161</v>
      </c>
      <c r="AE93" s="20" t="s">
        <v>135</v>
      </c>
    </row>
    <row r="94" customFormat="false" ht="15" hidden="false" customHeight="false" outlineLevel="0" collapsed="false">
      <c r="A94" s="20" t="s">
        <v>160</v>
      </c>
      <c r="B94" s="20" t="s">
        <v>136</v>
      </c>
      <c r="C94" s="20" t="s">
        <v>122</v>
      </c>
      <c r="D94" s="20" t="s">
        <v>123</v>
      </c>
      <c r="E94" s="20" t="s">
        <v>124</v>
      </c>
      <c r="F94" s="21" t="n">
        <v>214.43</v>
      </c>
      <c r="G94" s="21" t="n">
        <v>195.12</v>
      </c>
      <c r="H94" s="21" t="n">
        <v>244.36</v>
      </c>
      <c r="I94" s="21" t="n">
        <v>257.97</v>
      </c>
      <c r="J94" s="21" t="n">
        <v>177.81</v>
      </c>
      <c r="K94" s="21" t="n">
        <v>184.04</v>
      </c>
      <c r="L94" s="21" t="n">
        <v>205.93</v>
      </c>
      <c r="M94" s="21" t="n">
        <v>209.63</v>
      </c>
      <c r="N94" s="21" t="n">
        <v>208.59</v>
      </c>
      <c r="O94" s="21" t="n">
        <v>207.8</v>
      </c>
      <c r="P94" s="21" t="n">
        <v>209.19</v>
      </c>
      <c r="Q94" s="21" t="n">
        <v>210.94</v>
      </c>
      <c r="R94" s="21" t="n">
        <v>212.65</v>
      </c>
      <c r="S94" s="21" t="n">
        <v>214.11</v>
      </c>
      <c r="T94" s="21" t="n">
        <v>215.49</v>
      </c>
      <c r="U94" s="20"/>
      <c r="V94" s="20" t="s">
        <v>125</v>
      </c>
      <c r="W94" s="20" t="s">
        <v>97</v>
      </c>
      <c r="X94" s="20"/>
      <c r="Y94" s="20" t="s">
        <v>98</v>
      </c>
      <c r="Z94" s="20" t="s">
        <v>126</v>
      </c>
      <c r="AA94" s="20" t="s">
        <v>127</v>
      </c>
      <c r="AB94" s="20" t="s">
        <v>128</v>
      </c>
      <c r="AC94" s="20" t="s">
        <v>129</v>
      </c>
      <c r="AD94" s="20" t="s">
        <v>161</v>
      </c>
      <c r="AE94" s="20" t="s">
        <v>137</v>
      </c>
    </row>
    <row r="95" customFormat="false" ht="15" hidden="false" customHeight="false" outlineLevel="0" collapsed="false">
      <c r="A95" s="20" t="s">
        <v>160</v>
      </c>
      <c r="B95" s="20" t="s">
        <v>60</v>
      </c>
      <c r="C95" s="20" t="s">
        <v>122</v>
      </c>
      <c r="D95" s="20" t="s">
        <v>123</v>
      </c>
      <c r="E95" s="20" t="s">
        <v>124</v>
      </c>
      <c r="F95" s="21" t="n">
        <v>3332.91</v>
      </c>
      <c r="G95" s="21" t="n">
        <v>3734.78</v>
      </c>
      <c r="H95" s="21" t="n">
        <v>3693.11</v>
      </c>
      <c r="I95" s="21" t="n">
        <v>2452.44</v>
      </c>
      <c r="J95" s="21" t="n">
        <v>1664.95</v>
      </c>
      <c r="K95" s="21" t="n">
        <v>1606.46</v>
      </c>
      <c r="L95" s="21" t="n">
        <v>1422.29</v>
      </c>
      <c r="M95" s="21" t="n">
        <v>1341.01</v>
      </c>
      <c r="N95" s="21" t="n">
        <v>1435.74</v>
      </c>
      <c r="O95" s="21" t="n">
        <v>1566.83</v>
      </c>
      <c r="P95" s="21" t="n">
        <v>1708.8</v>
      </c>
      <c r="Q95" s="21" t="n">
        <v>1849.57</v>
      </c>
      <c r="R95" s="21" t="n">
        <v>1965.77</v>
      </c>
      <c r="S95" s="21" t="n">
        <v>2056.29</v>
      </c>
      <c r="T95" s="21" t="n">
        <v>2120.64</v>
      </c>
      <c r="U95" s="20"/>
      <c r="V95" s="20" t="s">
        <v>125</v>
      </c>
      <c r="W95" s="20" t="s">
        <v>97</v>
      </c>
      <c r="X95" s="20"/>
      <c r="Y95" s="20" t="s">
        <v>98</v>
      </c>
      <c r="Z95" s="20" t="s">
        <v>126</v>
      </c>
      <c r="AA95" s="20" t="s">
        <v>127</v>
      </c>
      <c r="AB95" s="20" t="s">
        <v>128</v>
      </c>
      <c r="AC95" s="20" t="s">
        <v>129</v>
      </c>
      <c r="AD95" s="20" t="s">
        <v>161</v>
      </c>
      <c r="AE95" s="20" t="s">
        <v>138</v>
      </c>
    </row>
    <row r="96" customFormat="false" ht="15" hidden="false" customHeight="false" outlineLevel="0" collapsed="false">
      <c r="A96" s="20" t="s">
        <v>160</v>
      </c>
      <c r="B96" s="20" t="s">
        <v>139</v>
      </c>
      <c r="C96" s="20" t="s">
        <v>122</v>
      </c>
      <c r="D96" s="20" t="s">
        <v>123</v>
      </c>
      <c r="E96" s="20" t="s">
        <v>124</v>
      </c>
      <c r="F96" s="21" t="n">
        <v>170.59</v>
      </c>
      <c r="G96" s="21" t="n">
        <v>170.07</v>
      </c>
      <c r="H96" s="21" t="n">
        <v>167.65</v>
      </c>
      <c r="I96" s="21" t="n">
        <v>168.4</v>
      </c>
      <c r="J96" s="21" t="n">
        <v>152.67</v>
      </c>
      <c r="K96" s="21" t="n">
        <v>146.5</v>
      </c>
      <c r="L96" s="21" t="n">
        <v>155.82</v>
      </c>
      <c r="M96" s="21" t="n">
        <v>160.58</v>
      </c>
      <c r="N96" s="21" t="n">
        <v>161.56</v>
      </c>
      <c r="O96" s="21" t="n">
        <v>161.27</v>
      </c>
      <c r="P96" s="21" t="n">
        <v>161.08</v>
      </c>
      <c r="Q96" s="21" t="n">
        <v>161.65</v>
      </c>
      <c r="R96" s="21" t="n">
        <v>162.38</v>
      </c>
      <c r="S96" s="21" t="n">
        <v>162.95</v>
      </c>
      <c r="T96" s="21" t="n">
        <v>163.38</v>
      </c>
      <c r="U96" s="20"/>
      <c r="V96" s="20" t="s">
        <v>125</v>
      </c>
      <c r="W96" s="20" t="s">
        <v>97</v>
      </c>
      <c r="X96" s="20"/>
      <c r="Y96" s="20" t="s">
        <v>98</v>
      </c>
      <c r="Z96" s="20" t="s">
        <v>126</v>
      </c>
      <c r="AA96" s="20" t="s">
        <v>127</v>
      </c>
      <c r="AB96" s="20" t="s">
        <v>128</v>
      </c>
      <c r="AC96" s="20" t="s">
        <v>129</v>
      </c>
      <c r="AD96" s="20" t="s">
        <v>161</v>
      </c>
      <c r="AE96" s="20" t="s">
        <v>140</v>
      </c>
    </row>
    <row r="97" customFormat="false" ht="15" hidden="false" customHeight="false" outlineLevel="0" collapsed="false">
      <c r="A97" s="20" t="s">
        <v>160</v>
      </c>
      <c r="B97" s="20" t="s">
        <v>67</v>
      </c>
      <c r="C97" s="20" t="s">
        <v>122</v>
      </c>
      <c r="D97" s="20" t="s">
        <v>123</v>
      </c>
      <c r="E97" s="20" t="s">
        <v>124</v>
      </c>
      <c r="F97" s="21" t="n">
        <v>2659.19</v>
      </c>
      <c r="G97" s="21" t="n">
        <v>2921.77</v>
      </c>
      <c r="H97" s="21" t="n">
        <v>2893.73</v>
      </c>
      <c r="I97" s="21" t="n">
        <v>1985.53</v>
      </c>
      <c r="J97" s="21" t="n">
        <v>1319.12</v>
      </c>
      <c r="K97" s="21" t="n">
        <v>1268.35</v>
      </c>
      <c r="L97" s="21" t="n">
        <v>1112.33</v>
      </c>
      <c r="M97" s="21" t="n">
        <v>1035.29</v>
      </c>
      <c r="N97" s="21" t="n">
        <v>1108.76</v>
      </c>
      <c r="O97" s="21" t="n">
        <v>1218.04</v>
      </c>
      <c r="P97" s="21" t="n">
        <v>1332.77</v>
      </c>
      <c r="Q97" s="21" t="n">
        <v>1446.25</v>
      </c>
      <c r="R97" s="21" t="n">
        <v>1537.68</v>
      </c>
      <c r="S97" s="21" t="n">
        <v>1608.12</v>
      </c>
      <c r="T97" s="21" t="n">
        <v>1658.93</v>
      </c>
      <c r="U97" s="20"/>
      <c r="V97" s="20" t="s">
        <v>125</v>
      </c>
      <c r="W97" s="20" t="s">
        <v>97</v>
      </c>
      <c r="X97" s="20"/>
      <c r="Y97" s="20" t="s">
        <v>98</v>
      </c>
      <c r="Z97" s="20" t="s">
        <v>126</v>
      </c>
      <c r="AA97" s="20" t="s">
        <v>127</v>
      </c>
      <c r="AB97" s="20" t="s">
        <v>128</v>
      </c>
      <c r="AC97" s="20" t="s">
        <v>129</v>
      </c>
      <c r="AD97" s="20" t="s">
        <v>161</v>
      </c>
      <c r="AE97" s="20" t="s">
        <v>141</v>
      </c>
    </row>
    <row r="98" customFormat="false" ht="15" hidden="false" customHeight="false" outlineLevel="0" collapsed="false">
      <c r="A98" s="20" t="s">
        <v>160</v>
      </c>
      <c r="B98" s="20" t="s">
        <v>64</v>
      </c>
      <c r="C98" s="20" t="s">
        <v>122</v>
      </c>
      <c r="D98" s="20" t="s">
        <v>123</v>
      </c>
      <c r="E98" s="20" t="s">
        <v>124</v>
      </c>
      <c r="F98" s="21" t="n">
        <v>4371.11</v>
      </c>
      <c r="G98" s="21" t="n">
        <v>4257.75</v>
      </c>
      <c r="H98" s="21" t="n">
        <v>4172.82</v>
      </c>
      <c r="I98" s="21" t="n">
        <v>4151.23</v>
      </c>
      <c r="J98" s="21" t="n">
        <v>3944.41</v>
      </c>
      <c r="K98" s="21" t="n">
        <v>3852.97</v>
      </c>
      <c r="L98" s="21" t="n">
        <v>3895.12</v>
      </c>
      <c r="M98" s="21" t="n">
        <v>4256.06</v>
      </c>
      <c r="N98" s="21" t="n">
        <v>4466.57</v>
      </c>
      <c r="O98" s="21" t="n">
        <v>4539.39</v>
      </c>
      <c r="P98" s="21" t="n">
        <v>4570.51</v>
      </c>
      <c r="Q98" s="21" t="n">
        <v>4618.03</v>
      </c>
      <c r="R98" s="21" t="n">
        <v>4680.51</v>
      </c>
      <c r="S98" s="21" t="n">
        <v>4738.97</v>
      </c>
      <c r="T98" s="21" t="n">
        <v>4773.2</v>
      </c>
      <c r="U98" s="20"/>
      <c r="V98" s="20" t="s">
        <v>125</v>
      </c>
      <c r="W98" s="20" t="s">
        <v>97</v>
      </c>
      <c r="X98" s="20"/>
      <c r="Y98" s="20" t="s">
        <v>98</v>
      </c>
      <c r="Z98" s="20" t="s">
        <v>126</v>
      </c>
      <c r="AA98" s="20" t="s">
        <v>127</v>
      </c>
      <c r="AB98" s="20" t="s">
        <v>128</v>
      </c>
      <c r="AC98" s="20" t="s">
        <v>129</v>
      </c>
      <c r="AD98" s="20" t="s">
        <v>161</v>
      </c>
      <c r="AE98" s="20" t="s">
        <v>142</v>
      </c>
    </row>
    <row r="99" customFormat="false" ht="15" hidden="false" customHeight="false" outlineLevel="0" collapsed="false">
      <c r="A99" s="20" t="s">
        <v>160</v>
      </c>
      <c r="B99" s="20" t="s">
        <v>74</v>
      </c>
      <c r="C99" s="20" t="s">
        <v>122</v>
      </c>
      <c r="D99" s="20" t="s">
        <v>123</v>
      </c>
      <c r="E99" s="20" t="s">
        <v>124</v>
      </c>
      <c r="F99" s="21" t="n">
        <v>591.06</v>
      </c>
      <c r="G99" s="21" t="n">
        <v>545.53</v>
      </c>
      <c r="H99" s="21" t="n">
        <v>594.71</v>
      </c>
      <c r="I99" s="21" t="n">
        <v>528.85</v>
      </c>
      <c r="J99" s="21" t="n">
        <v>501.78</v>
      </c>
      <c r="K99" s="21" t="n">
        <v>488.34</v>
      </c>
      <c r="L99" s="21" t="n">
        <v>517.16</v>
      </c>
      <c r="M99" s="21" t="n">
        <v>525.21</v>
      </c>
      <c r="N99" s="21" t="n">
        <v>524.63</v>
      </c>
      <c r="O99" s="21" t="n">
        <v>523.95</v>
      </c>
      <c r="P99" s="21" t="n">
        <v>526.04</v>
      </c>
      <c r="Q99" s="21" t="n">
        <v>529.2</v>
      </c>
      <c r="R99" s="21" t="n">
        <v>532.36</v>
      </c>
      <c r="S99" s="21" t="n">
        <v>535.03</v>
      </c>
      <c r="T99" s="21" t="n">
        <v>537.56</v>
      </c>
      <c r="U99" s="20"/>
      <c r="V99" s="20" t="s">
        <v>125</v>
      </c>
      <c r="W99" s="20" t="s">
        <v>97</v>
      </c>
      <c r="X99" s="20"/>
      <c r="Y99" s="20" t="s">
        <v>98</v>
      </c>
      <c r="Z99" s="20" t="s">
        <v>126</v>
      </c>
      <c r="AA99" s="20" t="s">
        <v>127</v>
      </c>
      <c r="AB99" s="20" t="s">
        <v>128</v>
      </c>
      <c r="AC99" s="20" t="s">
        <v>129</v>
      </c>
      <c r="AD99" s="20" t="s">
        <v>161</v>
      </c>
      <c r="AE99" s="20" t="s">
        <v>143</v>
      </c>
    </row>
    <row r="100" customFormat="false" ht="15" hidden="false" customHeight="false" outlineLevel="0" collapsed="false">
      <c r="A100" s="20" t="s">
        <v>160</v>
      </c>
      <c r="B100" s="20" t="s">
        <v>71</v>
      </c>
      <c r="C100" s="20" t="s">
        <v>122</v>
      </c>
      <c r="D100" s="20" t="s">
        <v>123</v>
      </c>
      <c r="E100" s="20" t="s">
        <v>124</v>
      </c>
      <c r="F100" s="21" t="n">
        <v>2708.66</v>
      </c>
      <c r="G100" s="21" t="n">
        <v>2683.39</v>
      </c>
      <c r="H100" s="21" t="n">
        <v>2639.12</v>
      </c>
      <c r="I100" s="21" t="n">
        <v>2641.29</v>
      </c>
      <c r="J100" s="21" t="n">
        <v>2542.03</v>
      </c>
      <c r="K100" s="21" t="n">
        <v>2498.6</v>
      </c>
      <c r="L100" s="21" t="n">
        <v>2562.88</v>
      </c>
      <c r="M100" s="21" t="n">
        <v>2826.57</v>
      </c>
      <c r="N100" s="21" t="n">
        <v>2958.44</v>
      </c>
      <c r="O100" s="21" t="n">
        <v>2991.6</v>
      </c>
      <c r="P100" s="21" t="n">
        <v>2999.88</v>
      </c>
      <c r="Q100" s="21" t="n">
        <v>3013.22</v>
      </c>
      <c r="R100" s="21" t="n">
        <v>3041.77</v>
      </c>
      <c r="S100" s="21" t="n">
        <v>3074.54</v>
      </c>
      <c r="T100" s="21" t="n">
        <v>3098.22</v>
      </c>
      <c r="U100" s="20"/>
      <c r="V100" s="20" t="s">
        <v>125</v>
      </c>
      <c r="W100" s="20" t="s">
        <v>97</v>
      </c>
      <c r="X100" s="20"/>
      <c r="Y100" s="20" t="s">
        <v>98</v>
      </c>
      <c r="Z100" s="20" t="s">
        <v>126</v>
      </c>
      <c r="AA100" s="20" t="s">
        <v>127</v>
      </c>
      <c r="AB100" s="20" t="s">
        <v>128</v>
      </c>
      <c r="AC100" s="20" t="s">
        <v>129</v>
      </c>
      <c r="AD100" s="20" t="s">
        <v>161</v>
      </c>
      <c r="AE100" s="20" t="s">
        <v>144</v>
      </c>
    </row>
    <row r="101" customFormat="false" ht="15" hidden="false" customHeight="false" outlineLevel="0" collapsed="false">
      <c r="A101" s="20" t="s">
        <v>160</v>
      </c>
      <c r="B101" s="20" t="s">
        <v>78</v>
      </c>
      <c r="C101" s="20" t="s">
        <v>122</v>
      </c>
      <c r="D101" s="20" t="s">
        <v>123</v>
      </c>
      <c r="E101" s="20" t="s">
        <v>124</v>
      </c>
      <c r="F101" s="21" t="n">
        <v>531.72</v>
      </c>
      <c r="G101" s="21" t="n">
        <v>528.74</v>
      </c>
      <c r="H101" s="21" t="n">
        <v>508.35</v>
      </c>
      <c r="I101" s="21" t="n">
        <v>489.9</v>
      </c>
      <c r="J101" s="21" t="n">
        <v>458.88</v>
      </c>
      <c r="K101" s="21" t="n">
        <v>439.73</v>
      </c>
      <c r="L101" s="21" t="n">
        <v>462.61</v>
      </c>
      <c r="M101" s="21" t="n">
        <v>474.74</v>
      </c>
      <c r="N101" s="21" t="n">
        <v>479.54</v>
      </c>
      <c r="O101" s="21" t="n">
        <v>481.69</v>
      </c>
      <c r="P101" s="21" t="n">
        <v>484.18</v>
      </c>
      <c r="Q101" s="21" t="n">
        <v>488.2</v>
      </c>
      <c r="R101" s="21" t="n">
        <v>492.29</v>
      </c>
      <c r="S101" s="21" t="n">
        <v>495.8</v>
      </c>
      <c r="T101" s="21" t="n">
        <v>498.76</v>
      </c>
      <c r="U101" s="20"/>
      <c r="V101" s="20" t="s">
        <v>125</v>
      </c>
      <c r="W101" s="20" t="s">
        <v>97</v>
      </c>
      <c r="X101" s="20"/>
      <c r="Y101" s="20" t="s">
        <v>98</v>
      </c>
      <c r="Z101" s="20" t="s">
        <v>126</v>
      </c>
      <c r="AA101" s="20" t="s">
        <v>127</v>
      </c>
      <c r="AB101" s="20" t="s">
        <v>128</v>
      </c>
      <c r="AC101" s="20" t="s">
        <v>129</v>
      </c>
      <c r="AD101" s="20" t="s">
        <v>161</v>
      </c>
      <c r="AE101" s="20" t="s">
        <v>145</v>
      </c>
    </row>
    <row r="102" customFormat="false" ht="15" hidden="false" customHeight="false" outlineLevel="0" collapsed="false">
      <c r="A102" s="20" t="s">
        <v>160</v>
      </c>
      <c r="B102" s="20" t="s">
        <v>146</v>
      </c>
      <c r="C102" s="20" t="s">
        <v>122</v>
      </c>
      <c r="D102" s="20" t="s">
        <v>123</v>
      </c>
      <c r="E102" s="20" t="s">
        <v>124</v>
      </c>
      <c r="F102" s="21" t="n">
        <v>34.67</v>
      </c>
      <c r="G102" s="21" t="n">
        <v>31.38</v>
      </c>
      <c r="H102" s="21" t="n">
        <v>47.67</v>
      </c>
      <c r="I102" s="21" t="n">
        <v>40.23</v>
      </c>
      <c r="J102" s="21" t="n">
        <v>49.1</v>
      </c>
      <c r="K102" s="21" t="n">
        <v>44.43</v>
      </c>
      <c r="L102" s="21" t="n">
        <v>49.32</v>
      </c>
      <c r="M102" s="21" t="n">
        <v>53.42</v>
      </c>
      <c r="N102" s="21" t="n">
        <v>54.26</v>
      </c>
      <c r="O102" s="21" t="n">
        <v>54.39</v>
      </c>
      <c r="P102" s="21" t="n">
        <v>54.5</v>
      </c>
      <c r="Q102" s="21" t="n">
        <v>54.62</v>
      </c>
      <c r="R102" s="21" t="n">
        <v>54.69</v>
      </c>
      <c r="S102" s="21" t="n">
        <v>54.65</v>
      </c>
      <c r="T102" s="21" t="n">
        <v>54.66</v>
      </c>
      <c r="U102" s="20"/>
      <c r="V102" s="20" t="s">
        <v>125</v>
      </c>
      <c r="W102" s="20" t="s">
        <v>97</v>
      </c>
      <c r="X102" s="20"/>
      <c r="Y102" s="20" t="s">
        <v>98</v>
      </c>
      <c r="Z102" s="20" t="s">
        <v>126</v>
      </c>
      <c r="AA102" s="20" t="s">
        <v>127</v>
      </c>
      <c r="AB102" s="20" t="s">
        <v>128</v>
      </c>
      <c r="AC102" s="20" t="s">
        <v>129</v>
      </c>
      <c r="AD102" s="20" t="s">
        <v>161</v>
      </c>
      <c r="AE102" s="20" t="s">
        <v>147</v>
      </c>
    </row>
    <row r="103" customFormat="false" ht="15" hidden="false" customHeight="false" outlineLevel="0" collapsed="false">
      <c r="A103" s="20" t="s">
        <v>162</v>
      </c>
      <c r="B103" s="20" t="s">
        <v>121</v>
      </c>
      <c r="C103" s="20" t="s">
        <v>122</v>
      </c>
      <c r="D103" s="20" t="s">
        <v>123</v>
      </c>
      <c r="E103" s="20" t="s">
        <v>124</v>
      </c>
      <c r="F103" s="21" t="n">
        <v>409.77</v>
      </c>
      <c r="G103" s="21" t="n">
        <v>404.71</v>
      </c>
      <c r="H103" s="21" t="n">
        <v>389.38</v>
      </c>
      <c r="I103" s="21" t="n">
        <v>425.62</v>
      </c>
      <c r="J103" s="21" t="n">
        <v>454.78</v>
      </c>
      <c r="K103" s="21" t="n">
        <v>448.89</v>
      </c>
      <c r="L103" s="21" t="n">
        <v>455.44</v>
      </c>
      <c r="M103" s="21" t="n">
        <v>460.94</v>
      </c>
      <c r="N103" s="21" t="n">
        <v>469.1</v>
      </c>
      <c r="O103" s="21" t="n">
        <v>474.53</v>
      </c>
      <c r="P103" s="21" t="n">
        <v>488.03</v>
      </c>
      <c r="Q103" s="21" t="n">
        <v>489.79</v>
      </c>
      <c r="R103" s="21" t="n">
        <v>493.28</v>
      </c>
      <c r="S103" s="21" t="n">
        <v>505.35</v>
      </c>
      <c r="T103" s="21" t="n">
        <v>508.14</v>
      </c>
      <c r="U103" s="20"/>
      <c r="V103" s="20" t="s">
        <v>125</v>
      </c>
      <c r="W103" s="20" t="s">
        <v>97</v>
      </c>
      <c r="X103" s="20"/>
      <c r="Y103" s="20" t="s">
        <v>98</v>
      </c>
      <c r="Z103" s="20" t="s">
        <v>126</v>
      </c>
      <c r="AA103" s="20" t="s">
        <v>127</v>
      </c>
      <c r="AB103" s="20" t="s">
        <v>128</v>
      </c>
      <c r="AC103" s="20" t="s">
        <v>129</v>
      </c>
      <c r="AD103" s="20" t="s">
        <v>163</v>
      </c>
      <c r="AE103" s="20" t="s">
        <v>131</v>
      </c>
    </row>
    <row r="104" customFormat="false" ht="15" hidden="false" customHeight="false" outlineLevel="0" collapsed="false">
      <c r="A104" s="20" t="s">
        <v>162</v>
      </c>
      <c r="B104" s="20" t="s">
        <v>132</v>
      </c>
      <c r="C104" s="20" t="s">
        <v>122</v>
      </c>
      <c r="D104" s="20" t="s">
        <v>123</v>
      </c>
      <c r="E104" s="20" t="s">
        <v>124</v>
      </c>
      <c r="F104" s="21" t="n">
        <v>5424.7</v>
      </c>
      <c r="G104" s="21" t="n">
        <v>5899.67</v>
      </c>
      <c r="H104" s="21" t="n">
        <v>6181.14</v>
      </c>
      <c r="I104" s="21" t="n">
        <v>5446.16</v>
      </c>
      <c r="J104" s="21" t="n">
        <v>5326.73</v>
      </c>
      <c r="K104" s="21" t="n">
        <v>4968.11</v>
      </c>
      <c r="L104" s="21" t="n">
        <v>5016.49</v>
      </c>
      <c r="M104" s="21" t="n">
        <v>4938.16</v>
      </c>
      <c r="N104" s="21" t="n">
        <v>4997.78</v>
      </c>
      <c r="O104" s="21" t="n">
        <v>5039.87</v>
      </c>
      <c r="P104" s="21" t="n">
        <v>5059.09</v>
      </c>
      <c r="Q104" s="21" t="n">
        <v>5098.72</v>
      </c>
      <c r="R104" s="21" t="n">
        <v>5157.8</v>
      </c>
      <c r="S104" s="21" t="n">
        <v>5209.89</v>
      </c>
      <c r="T104" s="21" t="n">
        <v>5261.67</v>
      </c>
      <c r="U104" s="20"/>
      <c r="V104" s="20" t="s">
        <v>125</v>
      </c>
      <c r="W104" s="20" t="s">
        <v>97</v>
      </c>
      <c r="X104" s="20"/>
      <c r="Y104" s="20" t="s">
        <v>98</v>
      </c>
      <c r="Z104" s="20" t="s">
        <v>126</v>
      </c>
      <c r="AA104" s="20" t="s">
        <v>127</v>
      </c>
      <c r="AB104" s="20" t="s">
        <v>128</v>
      </c>
      <c r="AC104" s="20" t="s">
        <v>129</v>
      </c>
      <c r="AD104" s="20" t="s">
        <v>163</v>
      </c>
      <c r="AE104" s="20" t="s">
        <v>133</v>
      </c>
    </row>
    <row r="105" customFormat="false" ht="15" hidden="false" customHeight="false" outlineLevel="0" collapsed="false">
      <c r="A105" s="20" t="s">
        <v>162</v>
      </c>
      <c r="B105" s="20" t="s">
        <v>134</v>
      </c>
      <c r="C105" s="20" t="s">
        <v>122</v>
      </c>
      <c r="D105" s="20" t="s">
        <v>123</v>
      </c>
      <c r="E105" s="20" t="s">
        <v>124</v>
      </c>
      <c r="F105" s="21" t="n">
        <v>5879.8</v>
      </c>
      <c r="G105" s="21" t="n">
        <v>6164.31</v>
      </c>
      <c r="H105" s="21" t="n">
        <v>6116.14</v>
      </c>
      <c r="I105" s="21" t="n">
        <v>6613.28</v>
      </c>
      <c r="J105" s="21" t="n">
        <v>7158.35</v>
      </c>
      <c r="K105" s="21" t="n">
        <v>7006.74</v>
      </c>
      <c r="L105" s="21" t="n">
        <v>7096.7</v>
      </c>
      <c r="M105" s="21" t="n">
        <v>7200.04</v>
      </c>
      <c r="N105" s="21" t="n">
        <v>7297.97</v>
      </c>
      <c r="O105" s="21" t="n">
        <v>7348.8</v>
      </c>
      <c r="P105" s="21" t="n">
        <v>7545.26</v>
      </c>
      <c r="Q105" s="21" t="n">
        <v>7630.41</v>
      </c>
      <c r="R105" s="21" t="n">
        <v>7697.55</v>
      </c>
      <c r="S105" s="21" t="n">
        <v>7848.89</v>
      </c>
      <c r="T105" s="21" t="n">
        <v>7915.89</v>
      </c>
      <c r="U105" s="20"/>
      <c r="V105" s="20" t="s">
        <v>125</v>
      </c>
      <c r="W105" s="20" t="s">
        <v>97</v>
      </c>
      <c r="X105" s="20"/>
      <c r="Y105" s="20" t="s">
        <v>98</v>
      </c>
      <c r="Z105" s="20" t="s">
        <v>126</v>
      </c>
      <c r="AA105" s="20" t="s">
        <v>127</v>
      </c>
      <c r="AB105" s="20" t="s">
        <v>128</v>
      </c>
      <c r="AC105" s="20" t="s">
        <v>129</v>
      </c>
      <c r="AD105" s="20" t="s">
        <v>163</v>
      </c>
      <c r="AE105" s="20" t="s">
        <v>135</v>
      </c>
    </row>
    <row r="106" customFormat="false" ht="15" hidden="false" customHeight="false" outlineLevel="0" collapsed="false">
      <c r="A106" s="20" t="s">
        <v>162</v>
      </c>
      <c r="B106" s="20" t="s">
        <v>136</v>
      </c>
      <c r="C106" s="20" t="s">
        <v>122</v>
      </c>
      <c r="D106" s="20" t="s">
        <v>123</v>
      </c>
      <c r="E106" s="20" t="s">
        <v>124</v>
      </c>
      <c r="F106" s="21" t="n">
        <v>10685.16</v>
      </c>
      <c r="G106" s="21" t="n">
        <v>11045.53</v>
      </c>
      <c r="H106" s="21" t="n">
        <v>11008.36</v>
      </c>
      <c r="I106" s="21" t="n">
        <v>11204.45</v>
      </c>
      <c r="J106" s="21" t="n">
        <v>9233.35</v>
      </c>
      <c r="K106" s="21" t="n">
        <v>8721.81</v>
      </c>
      <c r="L106" s="21" t="n">
        <v>8799.1</v>
      </c>
      <c r="M106" s="21" t="n">
        <v>8896.87</v>
      </c>
      <c r="N106" s="21" t="n">
        <v>9079.5</v>
      </c>
      <c r="O106" s="21" t="n">
        <v>9163.87</v>
      </c>
      <c r="P106" s="21" t="n">
        <v>9225.5</v>
      </c>
      <c r="Q106" s="21" t="n">
        <v>9292.43</v>
      </c>
      <c r="R106" s="21" t="n">
        <v>9385.63</v>
      </c>
      <c r="S106" s="21" t="n">
        <v>9485.46</v>
      </c>
      <c r="T106" s="21" t="n">
        <v>9571.55</v>
      </c>
      <c r="U106" s="20"/>
      <c r="V106" s="20" t="s">
        <v>125</v>
      </c>
      <c r="W106" s="20" t="s">
        <v>97</v>
      </c>
      <c r="X106" s="20"/>
      <c r="Y106" s="20" t="s">
        <v>98</v>
      </c>
      <c r="Z106" s="20" t="s">
        <v>126</v>
      </c>
      <c r="AA106" s="20" t="s">
        <v>127</v>
      </c>
      <c r="AB106" s="20" t="s">
        <v>128</v>
      </c>
      <c r="AC106" s="20" t="s">
        <v>129</v>
      </c>
      <c r="AD106" s="20" t="s">
        <v>163</v>
      </c>
      <c r="AE106" s="20" t="s">
        <v>137</v>
      </c>
    </row>
    <row r="107" customFormat="false" ht="15" hidden="false" customHeight="false" outlineLevel="0" collapsed="false">
      <c r="A107" s="20" t="s">
        <v>162</v>
      </c>
      <c r="B107" s="20" t="s">
        <v>60</v>
      </c>
      <c r="C107" s="20" t="s">
        <v>122</v>
      </c>
      <c r="D107" s="20" t="s">
        <v>123</v>
      </c>
      <c r="E107" s="20" t="s">
        <v>124</v>
      </c>
      <c r="F107" s="21" t="n">
        <v>45151.69</v>
      </c>
      <c r="G107" s="21" t="n">
        <v>47221.07</v>
      </c>
      <c r="H107" s="21" t="n">
        <v>44327.01</v>
      </c>
      <c r="I107" s="21" t="n">
        <v>39720.55</v>
      </c>
      <c r="J107" s="21" t="n">
        <v>32235.84</v>
      </c>
      <c r="K107" s="21" t="n">
        <v>30632.38</v>
      </c>
      <c r="L107" s="21" t="n">
        <v>30050.44</v>
      </c>
      <c r="M107" s="21" t="n">
        <v>29301.88</v>
      </c>
      <c r="N107" s="21" t="n">
        <v>29069.01</v>
      </c>
      <c r="O107" s="21" t="n">
        <v>29469.72</v>
      </c>
      <c r="P107" s="21" t="n">
        <v>30162.45</v>
      </c>
      <c r="Q107" s="21" t="n">
        <v>31071.05</v>
      </c>
      <c r="R107" s="21" t="n">
        <v>31957.47</v>
      </c>
      <c r="S107" s="21" t="n">
        <v>32471.96</v>
      </c>
      <c r="T107" s="21" t="n">
        <v>32921.27</v>
      </c>
      <c r="U107" s="20"/>
      <c r="V107" s="20" t="s">
        <v>125</v>
      </c>
      <c r="W107" s="20" t="s">
        <v>97</v>
      </c>
      <c r="X107" s="20"/>
      <c r="Y107" s="20" t="s">
        <v>98</v>
      </c>
      <c r="Z107" s="20" t="s">
        <v>126</v>
      </c>
      <c r="AA107" s="20" t="s">
        <v>127</v>
      </c>
      <c r="AB107" s="20" t="s">
        <v>128</v>
      </c>
      <c r="AC107" s="20" t="s">
        <v>129</v>
      </c>
      <c r="AD107" s="20" t="s">
        <v>163</v>
      </c>
      <c r="AE107" s="20" t="s">
        <v>138</v>
      </c>
    </row>
    <row r="108" customFormat="false" ht="15" hidden="false" customHeight="false" outlineLevel="0" collapsed="false">
      <c r="A108" s="20" t="s">
        <v>162</v>
      </c>
      <c r="B108" s="20" t="s">
        <v>139</v>
      </c>
      <c r="C108" s="20" t="s">
        <v>122</v>
      </c>
      <c r="D108" s="20" t="s">
        <v>123</v>
      </c>
      <c r="E108" s="20" t="s">
        <v>124</v>
      </c>
      <c r="F108" s="21" t="n">
        <v>10711.99</v>
      </c>
      <c r="G108" s="21" t="n">
        <v>11482.41</v>
      </c>
      <c r="H108" s="21" t="n">
        <v>10816.72</v>
      </c>
      <c r="I108" s="21" t="n">
        <v>12141.01</v>
      </c>
      <c r="J108" s="21" t="n">
        <v>12483.97</v>
      </c>
      <c r="K108" s="21" t="n">
        <v>12191.08</v>
      </c>
      <c r="L108" s="21" t="n">
        <v>12354.72</v>
      </c>
      <c r="M108" s="21" t="n">
        <v>12562.96</v>
      </c>
      <c r="N108" s="21" t="n">
        <v>12850.07</v>
      </c>
      <c r="O108" s="21" t="n">
        <v>13050.36</v>
      </c>
      <c r="P108" s="21" t="n">
        <v>13265.37</v>
      </c>
      <c r="Q108" s="21" t="n">
        <v>13380.84</v>
      </c>
      <c r="R108" s="21" t="n">
        <v>13506.94</v>
      </c>
      <c r="S108" s="21" t="n">
        <v>13764.12</v>
      </c>
      <c r="T108" s="21" t="n">
        <v>13856.4</v>
      </c>
      <c r="U108" s="20"/>
      <c r="V108" s="20" t="s">
        <v>125</v>
      </c>
      <c r="W108" s="20" t="s">
        <v>97</v>
      </c>
      <c r="X108" s="20"/>
      <c r="Y108" s="20" t="s">
        <v>98</v>
      </c>
      <c r="Z108" s="20" t="s">
        <v>126</v>
      </c>
      <c r="AA108" s="20" t="s">
        <v>127</v>
      </c>
      <c r="AB108" s="20" t="s">
        <v>128</v>
      </c>
      <c r="AC108" s="20" t="s">
        <v>129</v>
      </c>
      <c r="AD108" s="20" t="s">
        <v>163</v>
      </c>
      <c r="AE108" s="20" t="s">
        <v>140</v>
      </c>
    </row>
    <row r="109" customFormat="false" ht="15" hidden="false" customHeight="false" outlineLevel="0" collapsed="false">
      <c r="A109" s="20" t="s">
        <v>162</v>
      </c>
      <c r="B109" s="20" t="s">
        <v>67</v>
      </c>
      <c r="C109" s="20" t="s">
        <v>122</v>
      </c>
      <c r="D109" s="20" t="s">
        <v>123</v>
      </c>
      <c r="E109" s="20" t="s">
        <v>124</v>
      </c>
      <c r="F109" s="21" t="n">
        <v>25842.26</v>
      </c>
      <c r="G109" s="21" t="n">
        <v>25555</v>
      </c>
      <c r="H109" s="21" t="n">
        <v>24073.87</v>
      </c>
      <c r="I109" s="21" t="n">
        <v>23667.81</v>
      </c>
      <c r="J109" s="21" t="n">
        <v>20799.27</v>
      </c>
      <c r="K109" s="21" t="n">
        <v>19941.3</v>
      </c>
      <c r="L109" s="21" t="n">
        <v>19813.58</v>
      </c>
      <c r="M109" s="21" t="n">
        <v>19318.68</v>
      </c>
      <c r="N109" s="21" t="n">
        <v>18903.18</v>
      </c>
      <c r="O109" s="21" t="n">
        <v>18931.63</v>
      </c>
      <c r="P109" s="21" t="n">
        <v>19292.4</v>
      </c>
      <c r="Q109" s="21" t="n">
        <v>19831.45</v>
      </c>
      <c r="R109" s="21" t="n">
        <v>20380.56</v>
      </c>
      <c r="S109" s="21" t="n">
        <v>20754.34</v>
      </c>
      <c r="T109" s="21" t="n">
        <v>21056.45</v>
      </c>
      <c r="U109" s="20"/>
      <c r="V109" s="20" t="s">
        <v>125</v>
      </c>
      <c r="W109" s="20" t="s">
        <v>97</v>
      </c>
      <c r="X109" s="20"/>
      <c r="Y109" s="20" t="s">
        <v>98</v>
      </c>
      <c r="Z109" s="20" t="s">
        <v>126</v>
      </c>
      <c r="AA109" s="20" t="s">
        <v>127</v>
      </c>
      <c r="AB109" s="20" t="s">
        <v>128</v>
      </c>
      <c r="AC109" s="20" t="s">
        <v>129</v>
      </c>
      <c r="AD109" s="20" t="s">
        <v>163</v>
      </c>
      <c r="AE109" s="20" t="s">
        <v>141</v>
      </c>
    </row>
    <row r="110" customFormat="false" ht="15" hidden="false" customHeight="false" outlineLevel="0" collapsed="false">
      <c r="A110" s="20" t="s">
        <v>162</v>
      </c>
      <c r="B110" s="20" t="s">
        <v>64</v>
      </c>
      <c r="C110" s="20" t="s">
        <v>122</v>
      </c>
      <c r="D110" s="20" t="s">
        <v>123</v>
      </c>
      <c r="E110" s="20" t="s">
        <v>124</v>
      </c>
      <c r="F110" s="21" t="n">
        <v>62461.33</v>
      </c>
      <c r="G110" s="21" t="n">
        <v>67431.96</v>
      </c>
      <c r="H110" s="21" t="n">
        <v>65672.79</v>
      </c>
      <c r="I110" s="21" t="n">
        <v>70953.17</v>
      </c>
      <c r="J110" s="21" t="n">
        <v>74900.3</v>
      </c>
      <c r="K110" s="21" t="n">
        <v>76128.6</v>
      </c>
      <c r="L110" s="21" t="n">
        <v>77484.77</v>
      </c>
      <c r="M110" s="21" t="n">
        <v>78871.65</v>
      </c>
      <c r="N110" s="21" t="n">
        <v>79687.1</v>
      </c>
      <c r="O110" s="21" t="n">
        <v>81401.38</v>
      </c>
      <c r="P110" s="21" t="n">
        <v>83109.34</v>
      </c>
      <c r="Q110" s="21" t="n">
        <v>84876.04</v>
      </c>
      <c r="R110" s="21" t="n">
        <v>86061.07</v>
      </c>
      <c r="S110" s="21" t="n">
        <v>86800.82</v>
      </c>
      <c r="T110" s="21" t="n">
        <v>87755.12</v>
      </c>
      <c r="U110" s="20"/>
      <c r="V110" s="20" t="s">
        <v>125</v>
      </c>
      <c r="W110" s="20" t="s">
        <v>97</v>
      </c>
      <c r="X110" s="20"/>
      <c r="Y110" s="20" t="s">
        <v>98</v>
      </c>
      <c r="Z110" s="20" t="s">
        <v>126</v>
      </c>
      <c r="AA110" s="20" t="s">
        <v>127</v>
      </c>
      <c r="AB110" s="20" t="s">
        <v>128</v>
      </c>
      <c r="AC110" s="20" t="s">
        <v>129</v>
      </c>
      <c r="AD110" s="20" t="s">
        <v>163</v>
      </c>
      <c r="AE110" s="20" t="s">
        <v>142</v>
      </c>
    </row>
    <row r="111" customFormat="false" ht="15" hidden="false" customHeight="false" outlineLevel="0" collapsed="false">
      <c r="A111" s="20" t="s">
        <v>162</v>
      </c>
      <c r="B111" s="20" t="s">
        <v>74</v>
      </c>
      <c r="C111" s="20" t="s">
        <v>122</v>
      </c>
      <c r="D111" s="20" t="s">
        <v>123</v>
      </c>
      <c r="E111" s="20" t="s">
        <v>124</v>
      </c>
      <c r="F111" s="21" t="n">
        <v>16342.31</v>
      </c>
      <c r="G111" s="21" t="n">
        <v>17205.76</v>
      </c>
      <c r="H111" s="21" t="n">
        <v>17567.32</v>
      </c>
      <c r="I111" s="21" t="n">
        <v>17033.16</v>
      </c>
      <c r="J111" s="21" t="n">
        <v>14931.98</v>
      </c>
      <c r="K111" s="21" t="n">
        <v>14046.43</v>
      </c>
      <c r="L111" s="21" t="n">
        <v>14175.02</v>
      </c>
      <c r="M111" s="21" t="n">
        <v>14196.59</v>
      </c>
      <c r="N111" s="21" t="n">
        <v>14442.09</v>
      </c>
      <c r="O111" s="21" t="n">
        <v>14573.35</v>
      </c>
      <c r="P111" s="21" t="n">
        <v>14659.18</v>
      </c>
      <c r="Q111" s="21" t="n">
        <v>14773.07</v>
      </c>
      <c r="R111" s="21" t="n">
        <v>14932.86</v>
      </c>
      <c r="S111" s="21" t="n">
        <v>15091.7</v>
      </c>
      <c r="T111" s="21" t="n">
        <v>15236.36</v>
      </c>
      <c r="U111" s="20"/>
      <c r="V111" s="20" t="s">
        <v>125</v>
      </c>
      <c r="W111" s="20" t="s">
        <v>97</v>
      </c>
      <c r="X111" s="20"/>
      <c r="Y111" s="20" t="s">
        <v>98</v>
      </c>
      <c r="Z111" s="20" t="s">
        <v>126</v>
      </c>
      <c r="AA111" s="20" t="s">
        <v>127</v>
      </c>
      <c r="AB111" s="20" t="s">
        <v>128</v>
      </c>
      <c r="AC111" s="20" t="s">
        <v>129</v>
      </c>
      <c r="AD111" s="20" t="s">
        <v>163</v>
      </c>
      <c r="AE111" s="20" t="s">
        <v>143</v>
      </c>
    </row>
    <row r="112" customFormat="false" ht="15" hidden="false" customHeight="false" outlineLevel="0" collapsed="false">
      <c r="A112" s="20" t="s">
        <v>162</v>
      </c>
      <c r="B112" s="20" t="s">
        <v>71</v>
      </c>
      <c r="C112" s="20" t="s">
        <v>122</v>
      </c>
      <c r="D112" s="20" t="s">
        <v>123</v>
      </c>
      <c r="E112" s="20" t="s">
        <v>124</v>
      </c>
      <c r="F112" s="21" t="n">
        <v>30408.68</v>
      </c>
      <c r="G112" s="21" t="n">
        <v>33348.88</v>
      </c>
      <c r="H112" s="21" t="n">
        <v>32195.9</v>
      </c>
      <c r="I112" s="21" t="n">
        <v>34598.3</v>
      </c>
      <c r="J112" s="21" t="n">
        <v>38755.25</v>
      </c>
      <c r="K112" s="21" t="n">
        <v>39315.44</v>
      </c>
      <c r="L112" s="21" t="n">
        <v>40023.02</v>
      </c>
      <c r="M112" s="21" t="n">
        <v>40752.79</v>
      </c>
      <c r="N112" s="21" t="n">
        <v>40854.48</v>
      </c>
      <c r="O112" s="21" t="n">
        <v>41724.81</v>
      </c>
      <c r="P112" s="21" t="n">
        <v>42852.78</v>
      </c>
      <c r="Q112" s="21" t="n">
        <v>43665.13</v>
      </c>
      <c r="R112" s="21" t="n">
        <v>44188.38</v>
      </c>
      <c r="S112" s="21" t="n">
        <v>44527.39</v>
      </c>
      <c r="T112" s="21" t="n">
        <v>44982.39</v>
      </c>
      <c r="U112" s="20"/>
      <c r="V112" s="20" t="s">
        <v>125</v>
      </c>
      <c r="W112" s="20" t="s">
        <v>97</v>
      </c>
      <c r="X112" s="20"/>
      <c r="Y112" s="20" t="s">
        <v>98</v>
      </c>
      <c r="Z112" s="20" t="s">
        <v>126</v>
      </c>
      <c r="AA112" s="20" t="s">
        <v>127</v>
      </c>
      <c r="AB112" s="20" t="s">
        <v>128</v>
      </c>
      <c r="AC112" s="20" t="s">
        <v>129</v>
      </c>
      <c r="AD112" s="20" t="s">
        <v>163</v>
      </c>
      <c r="AE112" s="20" t="s">
        <v>144</v>
      </c>
    </row>
    <row r="113" customFormat="false" ht="15" hidden="false" customHeight="false" outlineLevel="0" collapsed="false">
      <c r="A113" s="20" t="s">
        <v>162</v>
      </c>
      <c r="B113" s="20" t="s">
        <v>78</v>
      </c>
      <c r="C113" s="20" t="s">
        <v>122</v>
      </c>
      <c r="D113" s="20" t="s">
        <v>123</v>
      </c>
      <c r="E113" s="20" t="s">
        <v>124</v>
      </c>
      <c r="F113" s="21" t="n">
        <v>17001.55</v>
      </c>
      <c r="G113" s="21" t="n">
        <v>18051.43</v>
      </c>
      <c r="H113" s="21" t="n">
        <v>17322.24</v>
      </c>
      <c r="I113" s="21" t="n">
        <v>19179.92</v>
      </c>
      <c r="J113" s="21" t="n">
        <v>20097.1</v>
      </c>
      <c r="K113" s="21" t="n">
        <v>19646.7</v>
      </c>
      <c r="L113" s="21" t="n">
        <v>19906.86</v>
      </c>
      <c r="M113" s="21" t="n">
        <v>20223.95</v>
      </c>
      <c r="N113" s="21" t="n">
        <v>20617.14</v>
      </c>
      <c r="O113" s="21" t="n">
        <v>20873.68</v>
      </c>
      <c r="P113" s="21" t="n">
        <v>21298.66</v>
      </c>
      <c r="Q113" s="21" t="n">
        <v>21501.04</v>
      </c>
      <c r="R113" s="21" t="n">
        <v>21697.77</v>
      </c>
      <c r="S113" s="21" t="n">
        <v>22118.36</v>
      </c>
      <c r="T113" s="21" t="n">
        <v>22280.43</v>
      </c>
      <c r="U113" s="20"/>
      <c r="V113" s="20" t="s">
        <v>125</v>
      </c>
      <c r="W113" s="20" t="s">
        <v>97</v>
      </c>
      <c r="X113" s="20"/>
      <c r="Y113" s="20" t="s">
        <v>98</v>
      </c>
      <c r="Z113" s="20" t="s">
        <v>126</v>
      </c>
      <c r="AA113" s="20" t="s">
        <v>127</v>
      </c>
      <c r="AB113" s="20" t="s">
        <v>128</v>
      </c>
      <c r="AC113" s="20" t="s">
        <v>129</v>
      </c>
      <c r="AD113" s="20" t="s">
        <v>163</v>
      </c>
      <c r="AE113" s="20" t="s">
        <v>145</v>
      </c>
    </row>
    <row r="114" customFormat="false" ht="15" hidden="false" customHeight="false" outlineLevel="0" collapsed="false">
      <c r="A114" s="20" t="s">
        <v>162</v>
      </c>
      <c r="B114" s="20" t="s">
        <v>146</v>
      </c>
      <c r="C114" s="20" t="s">
        <v>122</v>
      </c>
      <c r="D114" s="20" t="s">
        <v>123</v>
      </c>
      <c r="E114" s="20" t="s">
        <v>124</v>
      </c>
      <c r="F114" s="21" t="n">
        <v>232.44</v>
      </c>
      <c r="G114" s="21" t="n">
        <v>260.56</v>
      </c>
      <c r="H114" s="21" t="n">
        <v>377.82</v>
      </c>
      <c r="I114" s="21" t="n">
        <v>382.55</v>
      </c>
      <c r="J114" s="21" t="n">
        <v>371.9</v>
      </c>
      <c r="K114" s="21" t="n">
        <v>356.51</v>
      </c>
      <c r="L114" s="21" t="n">
        <v>359.43</v>
      </c>
      <c r="M114" s="21" t="n">
        <v>361.55</v>
      </c>
      <c r="N114" s="21" t="n">
        <v>364.8</v>
      </c>
      <c r="O114" s="21" t="n">
        <v>369.61</v>
      </c>
      <c r="P114" s="21" t="n">
        <v>374.59</v>
      </c>
      <c r="Q114" s="21" t="n">
        <v>381.92</v>
      </c>
      <c r="R114" s="21" t="n">
        <v>389.43</v>
      </c>
      <c r="S114" s="21" t="n">
        <v>396.36</v>
      </c>
      <c r="T114" s="21" t="n">
        <v>403.14</v>
      </c>
      <c r="U114" s="20"/>
      <c r="V114" s="20" t="s">
        <v>125</v>
      </c>
      <c r="W114" s="20" t="s">
        <v>97</v>
      </c>
      <c r="X114" s="20"/>
      <c r="Y114" s="20" t="s">
        <v>98</v>
      </c>
      <c r="Z114" s="20" t="s">
        <v>126</v>
      </c>
      <c r="AA114" s="20" t="s">
        <v>127</v>
      </c>
      <c r="AB114" s="20" t="s">
        <v>128</v>
      </c>
      <c r="AC114" s="20" t="s">
        <v>129</v>
      </c>
      <c r="AD114" s="20" t="s">
        <v>163</v>
      </c>
      <c r="AE114" s="20" t="s">
        <v>147</v>
      </c>
    </row>
    <row r="115" customFormat="false" ht="15" hidden="false" customHeight="false" outlineLevel="0" collapsed="false">
      <c r="A115" s="20" t="s">
        <v>164</v>
      </c>
      <c r="B115" s="20" t="s">
        <v>121</v>
      </c>
      <c r="C115" s="20" t="s">
        <v>122</v>
      </c>
      <c r="D115" s="20" t="s">
        <v>123</v>
      </c>
      <c r="E115" s="20" t="s">
        <v>124</v>
      </c>
      <c r="F115" s="21" t="n">
        <v>24.56</v>
      </c>
      <c r="G115" s="21" t="n">
        <v>26.52</v>
      </c>
      <c r="H115" s="21" t="n">
        <v>28.58</v>
      </c>
      <c r="I115" s="21" t="n">
        <v>26.61</v>
      </c>
      <c r="J115" s="21" t="n">
        <v>25.09</v>
      </c>
      <c r="K115" s="21" t="n">
        <v>23.06</v>
      </c>
      <c r="L115" s="21" t="n">
        <v>23.29</v>
      </c>
      <c r="M115" s="21" t="n">
        <v>24.13</v>
      </c>
      <c r="N115" s="21" t="n">
        <v>24.73</v>
      </c>
      <c r="O115" s="21" t="n">
        <v>25.37</v>
      </c>
      <c r="P115" s="21" t="n">
        <v>25.35</v>
      </c>
      <c r="Q115" s="21" t="n">
        <v>25.09</v>
      </c>
      <c r="R115" s="21" t="n">
        <v>25.05</v>
      </c>
      <c r="S115" s="21" t="n">
        <v>25.15</v>
      </c>
      <c r="T115" s="21" t="n">
        <v>25.31</v>
      </c>
      <c r="U115" s="20"/>
      <c r="V115" s="20" t="s">
        <v>125</v>
      </c>
      <c r="W115" s="20" t="s">
        <v>97</v>
      </c>
      <c r="X115" s="20"/>
      <c r="Y115" s="20" t="s">
        <v>98</v>
      </c>
      <c r="Z115" s="20" t="s">
        <v>126</v>
      </c>
      <c r="AA115" s="20" t="s">
        <v>127</v>
      </c>
      <c r="AB115" s="20" t="s">
        <v>128</v>
      </c>
      <c r="AC115" s="20" t="s">
        <v>129</v>
      </c>
      <c r="AD115" s="20" t="s">
        <v>165</v>
      </c>
      <c r="AE115" s="20" t="s">
        <v>131</v>
      </c>
    </row>
    <row r="116" customFormat="false" ht="15" hidden="false" customHeight="false" outlineLevel="0" collapsed="false">
      <c r="A116" s="20" t="s">
        <v>164</v>
      </c>
      <c r="B116" s="20" t="s">
        <v>132</v>
      </c>
      <c r="C116" s="20" t="s">
        <v>122</v>
      </c>
      <c r="D116" s="20" t="s">
        <v>123</v>
      </c>
      <c r="E116" s="20" t="s">
        <v>124</v>
      </c>
      <c r="F116" s="21" t="n">
        <v>159.49</v>
      </c>
      <c r="G116" s="21" t="n">
        <v>177.45</v>
      </c>
      <c r="H116" s="21" t="n">
        <v>199.36</v>
      </c>
      <c r="I116" s="21" t="n">
        <v>183.55</v>
      </c>
      <c r="J116" s="21" t="n">
        <v>181.6</v>
      </c>
      <c r="K116" s="21" t="n">
        <v>181.35</v>
      </c>
      <c r="L116" s="21" t="n">
        <v>208.55</v>
      </c>
      <c r="M116" s="21" t="n">
        <v>231.12</v>
      </c>
      <c r="N116" s="21" t="n">
        <v>242.72</v>
      </c>
      <c r="O116" s="21" t="n">
        <v>252.61</v>
      </c>
      <c r="P116" s="21" t="n">
        <v>254.11</v>
      </c>
      <c r="Q116" s="21" t="n">
        <v>252.51</v>
      </c>
      <c r="R116" s="21" t="n">
        <v>252.99</v>
      </c>
      <c r="S116" s="21" t="n">
        <v>255.14</v>
      </c>
      <c r="T116" s="21" t="n">
        <v>257.72</v>
      </c>
      <c r="U116" s="20"/>
      <c r="V116" s="20" t="s">
        <v>125</v>
      </c>
      <c r="W116" s="20" t="s">
        <v>97</v>
      </c>
      <c r="X116" s="20"/>
      <c r="Y116" s="20" t="s">
        <v>98</v>
      </c>
      <c r="Z116" s="20" t="s">
        <v>126</v>
      </c>
      <c r="AA116" s="20" t="s">
        <v>127</v>
      </c>
      <c r="AB116" s="20" t="s">
        <v>128</v>
      </c>
      <c r="AC116" s="20" t="s">
        <v>129</v>
      </c>
      <c r="AD116" s="20" t="s">
        <v>165</v>
      </c>
      <c r="AE116" s="20" t="s">
        <v>133</v>
      </c>
    </row>
    <row r="117" customFormat="false" ht="15" hidden="false" customHeight="false" outlineLevel="0" collapsed="false">
      <c r="A117" s="20" t="s">
        <v>164</v>
      </c>
      <c r="B117" s="20" t="s">
        <v>134</v>
      </c>
      <c r="C117" s="20" t="s">
        <v>122</v>
      </c>
      <c r="D117" s="20" t="s">
        <v>123</v>
      </c>
      <c r="E117" s="20" t="s">
        <v>124</v>
      </c>
      <c r="F117" s="21" t="n">
        <v>155.43</v>
      </c>
      <c r="G117" s="21" t="n">
        <v>171.65</v>
      </c>
      <c r="H117" s="21" t="n">
        <v>185.85</v>
      </c>
      <c r="I117" s="21" t="n">
        <v>172.9</v>
      </c>
      <c r="J117" s="21" t="n">
        <v>162.95</v>
      </c>
      <c r="K117" s="21" t="n">
        <v>155.14</v>
      </c>
      <c r="L117" s="21" t="n">
        <v>168.84</v>
      </c>
      <c r="M117" s="21" t="n">
        <v>184.94</v>
      </c>
      <c r="N117" s="21" t="n">
        <v>191.92</v>
      </c>
      <c r="O117" s="21" t="n">
        <v>198.55</v>
      </c>
      <c r="P117" s="21" t="n">
        <v>199.34</v>
      </c>
      <c r="Q117" s="21" t="n">
        <v>197.85</v>
      </c>
      <c r="R117" s="21" t="n">
        <v>197.89</v>
      </c>
      <c r="S117" s="21" t="n">
        <v>199.08</v>
      </c>
      <c r="T117" s="21" t="n">
        <v>200.63</v>
      </c>
      <c r="U117" s="20"/>
      <c r="V117" s="20" t="s">
        <v>125</v>
      </c>
      <c r="W117" s="20" t="s">
        <v>97</v>
      </c>
      <c r="X117" s="20"/>
      <c r="Y117" s="20" t="s">
        <v>98</v>
      </c>
      <c r="Z117" s="20" t="s">
        <v>126</v>
      </c>
      <c r="AA117" s="20" t="s">
        <v>127</v>
      </c>
      <c r="AB117" s="20" t="s">
        <v>128</v>
      </c>
      <c r="AC117" s="20" t="s">
        <v>129</v>
      </c>
      <c r="AD117" s="20" t="s">
        <v>165</v>
      </c>
      <c r="AE117" s="20" t="s">
        <v>135</v>
      </c>
    </row>
    <row r="118" customFormat="false" ht="15" hidden="false" customHeight="false" outlineLevel="0" collapsed="false">
      <c r="A118" s="20" t="s">
        <v>164</v>
      </c>
      <c r="B118" s="20" t="s">
        <v>136</v>
      </c>
      <c r="C118" s="20" t="s">
        <v>122</v>
      </c>
      <c r="D118" s="20" t="s">
        <v>123</v>
      </c>
      <c r="E118" s="20" t="s">
        <v>124</v>
      </c>
      <c r="F118" s="21" t="n">
        <v>611.03</v>
      </c>
      <c r="G118" s="21" t="n">
        <v>689.14</v>
      </c>
      <c r="H118" s="21" t="n">
        <v>670.64</v>
      </c>
      <c r="I118" s="21" t="n">
        <v>567.88</v>
      </c>
      <c r="J118" s="21" t="n">
        <v>632.2</v>
      </c>
      <c r="K118" s="21" t="n">
        <v>611.52</v>
      </c>
      <c r="L118" s="21" t="n">
        <v>662.33</v>
      </c>
      <c r="M118" s="21" t="n">
        <v>708.38</v>
      </c>
      <c r="N118" s="21" t="n">
        <v>741.54</v>
      </c>
      <c r="O118" s="21" t="n">
        <v>773.53</v>
      </c>
      <c r="P118" s="21" t="n">
        <v>783.48</v>
      </c>
      <c r="Q118" s="21" t="n">
        <v>785.97</v>
      </c>
      <c r="R118" s="21" t="n">
        <v>795.3</v>
      </c>
      <c r="S118" s="21" t="n">
        <v>808.57</v>
      </c>
      <c r="T118" s="21" t="n">
        <v>822.57</v>
      </c>
      <c r="U118" s="20"/>
      <c r="V118" s="20" t="s">
        <v>125</v>
      </c>
      <c r="W118" s="20" t="s">
        <v>97</v>
      </c>
      <c r="X118" s="20"/>
      <c r="Y118" s="20" t="s">
        <v>98</v>
      </c>
      <c r="Z118" s="20" t="s">
        <v>126</v>
      </c>
      <c r="AA118" s="20" t="s">
        <v>127</v>
      </c>
      <c r="AB118" s="20" t="s">
        <v>128</v>
      </c>
      <c r="AC118" s="20" t="s">
        <v>129</v>
      </c>
      <c r="AD118" s="20" t="s">
        <v>165</v>
      </c>
      <c r="AE118" s="20" t="s">
        <v>137</v>
      </c>
    </row>
    <row r="119" customFormat="false" ht="15" hidden="false" customHeight="false" outlineLevel="0" collapsed="false">
      <c r="A119" s="20" t="s">
        <v>164</v>
      </c>
      <c r="B119" s="20" t="s">
        <v>60</v>
      </c>
      <c r="C119" s="20" t="s">
        <v>122</v>
      </c>
      <c r="D119" s="20" t="s">
        <v>123</v>
      </c>
      <c r="E119" s="20" t="s">
        <v>124</v>
      </c>
      <c r="F119" s="21" t="n">
        <v>2442.33</v>
      </c>
      <c r="G119" s="21" t="n">
        <v>2347.93</v>
      </c>
      <c r="H119" s="21" t="n">
        <v>2381.62</v>
      </c>
      <c r="I119" s="21" t="n">
        <v>2248.2</v>
      </c>
      <c r="J119" s="21" t="n">
        <v>2103.43</v>
      </c>
      <c r="K119" s="21" t="n">
        <v>2048.56</v>
      </c>
      <c r="L119" s="21" t="n">
        <v>2346.77</v>
      </c>
      <c r="M119" s="21" t="n">
        <v>2359.04</v>
      </c>
      <c r="N119" s="21" t="n">
        <v>2429.98</v>
      </c>
      <c r="O119" s="21" t="n">
        <v>2471.63</v>
      </c>
      <c r="P119" s="21" t="n">
        <v>2485.78</v>
      </c>
      <c r="Q119" s="21" t="n">
        <v>2472.5</v>
      </c>
      <c r="R119" s="21" t="n">
        <v>2483.24</v>
      </c>
      <c r="S119" s="21" t="n">
        <v>2519.81</v>
      </c>
      <c r="T119" s="21" t="n">
        <v>2565.52</v>
      </c>
      <c r="U119" s="20"/>
      <c r="V119" s="20" t="s">
        <v>125</v>
      </c>
      <c r="W119" s="20" t="s">
        <v>97</v>
      </c>
      <c r="X119" s="20"/>
      <c r="Y119" s="20" t="s">
        <v>98</v>
      </c>
      <c r="Z119" s="20" t="s">
        <v>126</v>
      </c>
      <c r="AA119" s="20" t="s">
        <v>127</v>
      </c>
      <c r="AB119" s="20" t="s">
        <v>128</v>
      </c>
      <c r="AC119" s="20" t="s">
        <v>129</v>
      </c>
      <c r="AD119" s="20" t="s">
        <v>165</v>
      </c>
      <c r="AE119" s="20" t="s">
        <v>138</v>
      </c>
    </row>
    <row r="120" customFormat="false" ht="15" hidden="false" customHeight="false" outlineLevel="0" collapsed="false">
      <c r="A120" s="20" t="s">
        <v>164</v>
      </c>
      <c r="B120" s="20" t="s">
        <v>139</v>
      </c>
      <c r="C120" s="20" t="s">
        <v>122</v>
      </c>
      <c r="D120" s="20" t="s">
        <v>123</v>
      </c>
      <c r="E120" s="20" t="s">
        <v>124</v>
      </c>
      <c r="F120" s="21" t="n">
        <v>462.23</v>
      </c>
      <c r="G120" s="21" t="n">
        <v>520.1</v>
      </c>
      <c r="H120" s="21" t="n">
        <v>568.06</v>
      </c>
      <c r="I120" s="21" t="n">
        <v>529.5</v>
      </c>
      <c r="J120" s="21" t="n">
        <v>500.33</v>
      </c>
      <c r="K120" s="21" t="n">
        <v>486.56</v>
      </c>
      <c r="L120" s="21" t="n">
        <v>510.53</v>
      </c>
      <c r="M120" s="21" t="n">
        <v>536.32</v>
      </c>
      <c r="N120" s="21" t="n">
        <v>555.65</v>
      </c>
      <c r="O120" s="21" t="n">
        <v>570.94</v>
      </c>
      <c r="P120" s="21" t="n">
        <v>570.37</v>
      </c>
      <c r="Q120" s="21" t="n">
        <v>564.02</v>
      </c>
      <c r="R120" s="21" t="n">
        <v>562.4</v>
      </c>
      <c r="S120" s="21" t="n">
        <v>564</v>
      </c>
      <c r="T120" s="21" t="n">
        <v>566.68</v>
      </c>
      <c r="U120" s="20"/>
      <c r="V120" s="20" t="s">
        <v>125</v>
      </c>
      <c r="W120" s="20" t="s">
        <v>97</v>
      </c>
      <c r="X120" s="20"/>
      <c r="Y120" s="20" t="s">
        <v>98</v>
      </c>
      <c r="Z120" s="20" t="s">
        <v>126</v>
      </c>
      <c r="AA120" s="20" t="s">
        <v>127</v>
      </c>
      <c r="AB120" s="20" t="s">
        <v>128</v>
      </c>
      <c r="AC120" s="20" t="s">
        <v>129</v>
      </c>
      <c r="AD120" s="20" t="s">
        <v>165</v>
      </c>
      <c r="AE120" s="20" t="s">
        <v>140</v>
      </c>
    </row>
    <row r="121" customFormat="false" ht="15" hidden="false" customHeight="false" outlineLevel="0" collapsed="false">
      <c r="A121" s="20" t="s">
        <v>164</v>
      </c>
      <c r="B121" s="20" t="s">
        <v>67</v>
      </c>
      <c r="C121" s="20" t="s">
        <v>122</v>
      </c>
      <c r="D121" s="20" t="s">
        <v>123</v>
      </c>
      <c r="E121" s="20" t="s">
        <v>124</v>
      </c>
      <c r="F121" s="21" t="n">
        <v>1359.22</v>
      </c>
      <c r="G121" s="21" t="n">
        <v>1117.22</v>
      </c>
      <c r="H121" s="21" t="n">
        <v>1201.75</v>
      </c>
      <c r="I121" s="21" t="n">
        <v>1320.49</v>
      </c>
      <c r="J121" s="21" t="n">
        <v>1212.46</v>
      </c>
      <c r="K121" s="21" t="n">
        <v>1125.61</v>
      </c>
      <c r="L121" s="21" t="n">
        <v>1235.46</v>
      </c>
      <c r="M121" s="21" t="n">
        <v>1408.37</v>
      </c>
      <c r="N121" s="21" t="n">
        <v>1486.65</v>
      </c>
      <c r="O121" s="21" t="n">
        <v>1541.52</v>
      </c>
      <c r="P121" s="21" t="n">
        <v>1575.45</v>
      </c>
      <c r="Q121" s="21" t="n">
        <v>1591.82</v>
      </c>
      <c r="R121" s="21" t="n">
        <v>1612.41</v>
      </c>
      <c r="S121" s="21" t="n">
        <v>1644.65</v>
      </c>
      <c r="T121" s="21" t="n">
        <v>1681.29</v>
      </c>
      <c r="U121" s="20"/>
      <c r="V121" s="20" t="s">
        <v>125</v>
      </c>
      <c r="W121" s="20" t="s">
        <v>97</v>
      </c>
      <c r="X121" s="20"/>
      <c r="Y121" s="20" t="s">
        <v>98</v>
      </c>
      <c r="Z121" s="20" t="s">
        <v>126</v>
      </c>
      <c r="AA121" s="20" t="s">
        <v>127</v>
      </c>
      <c r="AB121" s="20" t="s">
        <v>128</v>
      </c>
      <c r="AC121" s="20" t="s">
        <v>129</v>
      </c>
      <c r="AD121" s="20" t="s">
        <v>165</v>
      </c>
      <c r="AE121" s="20" t="s">
        <v>141</v>
      </c>
    </row>
    <row r="122" customFormat="false" ht="15" hidden="false" customHeight="false" outlineLevel="0" collapsed="false">
      <c r="A122" s="20" t="s">
        <v>164</v>
      </c>
      <c r="B122" s="20" t="s">
        <v>64</v>
      </c>
      <c r="C122" s="20" t="s">
        <v>122</v>
      </c>
      <c r="D122" s="20" t="s">
        <v>123</v>
      </c>
      <c r="E122" s="20" t="s">
        <v>124</v>
      </c>
      <c r="F122" s="21" t="n">
        <v>1813.33</v>
      </c>
      <c r="G122" s="21" t="n">
        <v>2290.73</v>
      </c>
      <c r="H122" s="21" t="n">
        <v>2571.85</v>
      </c>
      <c r="I122" s="21" t="n">
        <v>2264.75</v>
      </c>
      <c r="J122" s="21" t="n">
        <v>2404.47</v>
      </c>
      <c r="K122" s="21" t="n">
        <v>2279.96</v>
      </c>
      <c r="L122" s="21" t="n">
        <v>2485.76</v>
      </c>
      <c r="M122" s="21" t="n">
        <v>2316.88</v>
      </c>
      <c r="N122" s="21" t="n">
        <v>2458.53</v>
      </c>
      <c r="O122" s="21" t="n">
        <v>2577.86</v>
      </c>
      <c r="P122" s="21" t="n">
        <v>2693.98</v>
      </c>
      <c r="Q122" s="21" t="n">
        <v>2784.36</v>
      </c>
      <c r="R122" s="21" t="n">
        <v>2862.77</v>
      </c>
      <c r="S122" s="21" t="n">
        <v>2941.97</v>
      </c>
      <c r="T122" s="21" t="n">
        <v>3015.95</v>
      </c>
      <c r="U122" s="20"/>
      <c r="V122" s="20" t="s">
        <v>125</v>
      </c>
      <c r="W122" s="20" t="s">
        <v>97</v>
      </c>
      <c r="X122" s="20"/>
      <c r="Y122" s="20" t="s">
        <v>98</v>
      </c>
      <c r="Z122" s="20" t="s">
        <v>126</v>
      </c>
      <c r="AA122" s="20" t="s">
        <v>127</v>
      </c>
      <c r="AB122" s="20" t="s">
        <v>128</v>
      </c>
      <c r="AC122" s="20" t="s">
        <v>129</v>
      </c>
      <c r="AD122" s="20" t="s">
        <v>165</v>
      </c>
      <c r="AE122" s="20" t="s">
        <v>142</v>
      </c>
    </row>
    <row r="123" customFormat="false" ht="15" hidden="false" customHeight="false" outlineLevel="0" collapsed="false">
      <c r="A123" s="20" t="s">
        <v>164</v>
      </c>
      <c r="B123" s="20" t="s">
        <v>74</v>
      </c>
      <c r="C123" s="20" t="s">
        <v>122</v>
      </c>
      <c r="D123" s="20" t="s">
        <v>123</v>
      </c>
      <c r="E123" s="20" t="s">
        <v>124</v>
      </c>
      <c r="F123" s="21" t="n">
        <v>784.54</v>
      </c>
      <c r="G123" s="21" t="n">
        <v>886.61</v>
      </c>
      <c r="H123" s="21" t="n">
        <v>900.75</v>
      </c>
      <c r="I123" s="21" t="n">
        <v>780.56</v>
      </c>
      <c r="J123" s="21" t="n">
        <v>841.64</v>
      </c>
      <c r="K123" s="21" t="n">
        <v>814.38</v>
      </c>
      <c r="L123" s="21" t="n">
        <v>891.66</v>
      </c>
      <c r="M123" s="21" t="n">
        <v>961.04</v>
      </c>
      <c r="N123" s="21" t="n">
        <v>1006.47</v>
      </c>
      <c r="O123" s="21" t="n">
        <v>1049.01</v>
      </c>
      <c r="P123" s="21" t="n">
        <v>1060.6</v>
      </c>
      <c r="Q123" s="21" t="n">
        <v>1061.5</v>
      </c>
      <c r="R123" s="21" t="n">
        <v>1071.55</v>
      </c>
      <c r="S123" s="21" t="n">
        <v>1087.34</v>
      </c>
      <c r="T123" s="21" t="n">
        <v>1104.33</v>
      </c>
      <c r="U123" s="20"/>
      <c r="V123" s="20" t="s">
        <v>125</v>
      </c>
      <c r="W123" s="20" t="s">
        <v>97</v>
      </c>
      <c r="X123" s="20"/>
      <c r="Y123" s="20" t="s">
        <v>98</v>
      </c>
      <c r="Z123" s="20" t="s">
        <v>126</v>
      </c>
      <c r="AA123" s="20" t="s">
        <v>127</v>
      </c>
      <c r="AB123" s="20" t="s">
        <v>128</v>
      </c>
      <c r="AC123" s="20" t="s">
        <v>129</v>
      </c>
      <c r="AD123" s="20" t="s">
        <v>165</v>
      </c>
      <c r="AE123" s="20" t="s">
        <v>143</v>
      </c>
    </row>
    <row r="124" customFormat="false" ht="15" hidden="false" customHeight="false" outlineLevel="0" collapsed="false">
      <c r="A124" s="20" t="s">
        <v>164</v>
      </c>
      <c r="B124" s="20" t="s">
        <v>71</v>
      </c>
      <c r="C124" s="20" t="s">
        <v>122</v>
      </c>
      <c r="D124" s="20" t="s">
        <v>123</v>
      </c>
      <c r="E124" s="20" t="s">
        <v>124</v>
      </c>
      <c r="F124" s="21" t="n">
        <v>898.98</v>
      </c>
      <c r="G124" s="21" t="n">
        <v>1259.52</v>
      </c>
      <c r="H124" s="21" t="n">
        <v>1379.07</v>
      </c>
      <c r="I124" s="21" t="n">
        <v>1099.75</v>
      </c>
      <c r="J124" s="21" t="n">
        <v>1222.38</v>
      </c>
      <c r="K124" s="21" t="n">
        <v>1238.52</v>
      </c>
      <c r="L124" s="21" t="n">
        <v>1461.94</v>
      </c>
      <c r="M124" s="21" t="n">
        <v>1244.92</v>
      </c>
      <c r="N124" s="21" t="n">
        <v>1317.88</v>
      </c>
      <c r="O124" s="21" t="n">
        <v>1374.18</v>
      </c>
      <c r="P124" s="21" t="n">
        <v>1427.87</v>
      </c>
      <c r="Q124" s="21" t="n">
        <v>1460.01</v>
      </c>
      <c r="R124" s="21" t="n">
        <v>1495</v>
      </c>
      <c r="S124" s="21" t="n">
        <v>1536.27</v>
      </c>
      <c r="T124" s="21" t="n">
        <v>1577.31</v>
      </c>
      <c r="U124" s="20"/>
      <c r="V124" s="20" t="s">
        <v>125</v>
      </c>
      <c r="W124" s="20" t="s">
        <v>97</v>
      </c>
      <c r="X124" s="20"/>
      <c r="Y124" s="20" t="s">
        <v>98</v>
      </c>
      <c r="Z124" s="20" t="s">
        <v>126</v>
      </c>
      <c r="AA124" s="20" t="s">
        <v>127</v>
      </c>
      <c r="AB124" s="20" t="s">
        <v>128</v>
      </c>
      <c r="AC124" s="20" t="s">
        <v>129</v>
      </c>
      <c r="AD124" s="20" t="s">
        <v>165</v>
      </c>
      <c r="AE124" s="20" t="s">
        <v>144</v>
      </c>
    </row>
    <row r="125" customFormat="false" ht="15" hidden="false" customHeight="false" outlineLevel="0" collapsed="false">
      <c r="A125" s="20" t="s">
        <v>164</v>
      </c>
      <c r="B125" s="20" t="s">
        <v>78</v>
      </c>
      <c r="C125" s="20" t="s">
        <v>122</v>
      </c>
      <c r="D125" s="20" t="s">
        <v>123</v>
      </c>
      <c r="E125" s="20" t="s">
        <v>124</v>
      </c>
      <c r="F125" s="21" t="n">
        <v>642.22</v>
      </c>
      <c r="G125" s="21" t="n">
        <v>718.26</v>
      </c>
      <c r="H125" s="21" t="n">
        <v>782.48</v>
      </c>
      <c r="I125" s="21" t="n">
        <v>729.01</v>
      </c>
      <c r="J125" s="21" t="n">
        <v>688.38</v>
      </c>
      <c r="K125" s="21" t="n">
        <v>664.76</v>
      </c>
      <c r="L125" s="21" t="n">
        <v>702.66</v>
      </c>
      <c r="M125" s="21" t="n">
        <v>745.39</v>
      </c>
      <c r="N125" s="21" t="n">
        <v>772.3</v>
      </c>
      <c r="O125" s="21" t="n">
        <v>794.87</v>
      </c>
      <c r="P125" s="21" t="n">
        <v>795.05</v>
      </c>
      <c r="Q125" s="21" t="n">
        <v>786.96</v>
      </c>
      <c r="R125" s="21" t="n">
        <v>785.34</v>
      </c>
      <c r="S125" s="21" t="n">
        <v>788.24</v>
      </c>
      <c r="T125" s="21" t="n">
        <v>792.62</v>
      </c>
      <c r="U125" s="20"/>
      <c r="V125" s="20" t="s">
        <v>125</v>
      </c>
      <c r="W125" s="20" t="s">
        <v>97</v>
      </c>
      <c r="X125" s="20"/>
      <c r="Y125" s="20" t="s">
        <v>98</v>
      </c>
      <c r="Z125" s="20" t="s">
        <v>126</v>
      </c>
      <c r="AA125" s="20" t="s">
        <v>127</v>
      </c>
      <c r="AB125" s="20" t="s">
        <v>128</v>
      </c>
      <c r="AC125" s="20" t="s">
        <v>129</v>
      </c>
      <c r="AD125" s="20" t="s">
        <v>165</v>
      </c>
      <c r="AE125" s="20" t="s">
        <v>145</v>
      </c>
    </row>
    <row r="126" customFormat="false" ht="15" hidden="false" customHeight="false" outlineLevel="0" collapsed="false">
      <c r="A126" s="20" t="s">
        <v>164</v>
      </c>
      <c r="B126" s="20" t="s">
        <v>146</v>
      </c>
      <c r="C126" s="20" t="s">
        <v>122</v>
      </c>
      <c r="D126" s="20" t="s">
        <v>123</v>
      </c>
      <c r="E126" s="20" t="s">
        <v>124</v>
      </c>
      <c r="F126" s="21" t="n">
        <v>14.02</v>
      </c>
      <c r="G126" s="21" t="n">
        <v>20.02</v>
      </c>
      <c r="H126" s="21" t="n">
        <v>30.75</v>
      </c>
      <c r="I126" s="21" t="n">
        <v>29.13</v>
      </c>
      <c r="J126" s="21" t="n">
        <v>27.84</v>
      </c>
      <c r="K126" s="21" t="n">
        <v>21.51</v>
      </c>
      <c r="L126" s="21" t="n">
        <v>20.78</v>
      </c>
      <c r="M126" s="21" t="n">
        <v>21.54</v>
      </c>
      <c r="N126" s="21" t="n">
        <v>22.2</v>
      </c>
      <c r="O126" s="21" t="n">
        <v>22.87</v>
      </c>
      <c r="P126" s="21" t="n">
        <v>23.01</v>
      </c>
      <c r="Q126" s="21" t="n">
        <v>23.02</v>
      </c>
      <c r="R126" s="21" t="n">
        <v>23.25</v>
      </c>
      <c r="S126" s="21" t="n">
        <v>23.63</v>
      </c>
      <c r="T126" s="21" t="n">
        <v>24.04</v>
      </c>
      <c r="U126" s="20"/>
      <c r="V126" s="20" t="s">
        <v>125</v>
      </c>
      <c r="W126" s="20" t="s">
        <v>97</v>
      </c>
      <c r="X126" s="20"/>
      <c r="Y126" s="20" t="s">
        <v>98</v>
      </c>
      <c r="Z126" s="20" t="s">
        <v>126</v>
      </c>
      <c r="AA126" s="20" t="s">
        <v>127</v>
      </c>
      <c r="AB126" s="20" t="s">
        <v>128</v>
      </c>
      <c r="AC126" s="20" t="s">
        <v>129</v>
      </c>
      <c r="AD126" s="20" t="s">
        <v>165</v>
      </c>
      <c r="AE126" s="20" t="s">
        <v>147</v>
      </c>
    </row>
    <row r="127" customFormat="false" ht="15" hidden="false" customHeight="false" outlineLevel="0" collapsed="false">
      <c r="A127" s="20" t="s">
        <v>166</v>
      </c>
      <c r="B127" s="20" t="s">
        <v>121</v>
      </c>
      <c r="C127" s="20" t="s">
        <v>122</v>
      </c>
      <c r="D127" s="20" t="s">
        <v>123</v>
      </c>
      <c r="E127" s="20" t="s">
        <v>124</v>
      </c>
      <c r="F127" s="21" t="n">
        <v>57.5</v>
      </c>
      <c r="G127" s="21" t="n">
        <v>61.21</v>
      </c>
      <c r="H127" s="21" t="n">
        <v>72.44</v>
      </c>
      <c r="I127" s="21" t="n">
        <v>73.06</v>
      </c>
      <c r="J127" s="21" t="n">
        <v>67.08</v>
      </c>
      <c r="K127" s="21" t="n">
        <v>70.58</v>
      </c>
      <c r="L127" s="21" t="n">
        <v>78.25</v>
      </c>
      <c r="M127" s="21" t="n">
        <v>84.33</v>
      </c>
      <c r="N127" s="21" t="n">
        <v>94.17</v>
      </c>
      <c r="O127" s="21" t="n">
        <v>104.26</v>
      </c>
      <c r="P127" s="21" t="n">
        <v>115.36</v>
      </c>
      <c r="Q127" s="21" t="n">
        <v>120.68</v>
      </c>
      <c r="R127" s="21" t="n">
        <v>126.23</v>
      </c>
      <c r="S127" s="21" t="n">
        <v>138.95</v>
      </c>
      <c r="T127" s="21" t="n">
        <v>145.2</v>
      </c>
      <c r="U127" s="20"/>
      <c r="V127" s="20" t="s">
        <v>125</v>
      </c>
      <c r="W127" s="20" t="s">
        <v>97</v>
      </c>
      <c r="X127" s="20"/>
      <c r="Y127" s="20" t="s">
        <v>98</v>
      </c>
      <c r="Z127" s="20" t="s">
        <v>126</v>
      </c>
      <c r="AA127" s="20" t="s">
        <v>127</v>
      </c>
      <c r="AB127" s="20" t="s">
        <v>128</v>
      </c>
      <c r="AC127" s="20" t="s">
        <v>129</v>
      </c>
      <c r="AD127" s="20" t="s">
        <v>167</v>
      </c>
      <c r="AE127" s="20" t="s">
        <v>131</v>
      </c>
    </row>
    <row r="128" customFormat="false" ht="15" hidden="false" customHeight="false" outlineLevel="0" collapsed="false">
      <c r="A128" s="20" t="s">
        <v>166</v>
      </c>
      <c r="B128" s="20" t="s">
        <v>132</v>
      </c>
      <c r="C128" s="20" t="s">
        <v>122</v>
      </c>
      <c r="D128" s="20" t="s">
        <v>123</v>
      </c>
      <c r="E128" s="20" t="s">
        <v>124</v>
      </c>
      <c r="F128" s="21" t="n">
        <v>290.97</v>
      </c>
      <c r="G128" s="21" t="n">
        <v>231.69</v>
      </c>
      <c r="H128" s="21" t="n">
        <v>392.08</v>
      </c>
      <c r="I128" s="21" t="n">
        <v>460.28</v>
      </c>
      <c r="J128" s="21" t="n">
        <v>429.93</v>
      </c>
      <c r="K128" s="21" t="n">
        <v>438.57</v>
      </c>
      <c r="L128" s="21" t="n">
        <v>410.67</v>
      </c>
      <c r="M128" s="21" t="n">
        <v>409.97</v>
      </c>
      <c r="N128" s="21" t="n">
        <v>412.06</v>
      </c>
      <c r="O128" s="21" t="n">
        <v>391.77</v>
      </c>
      <c r="P128" s="21" t="n">
        <v>395.96</v>
      </c>
      <c r="Q128" s="21" t="n">
        <v>404.01</v>
      </c>
      <c r="R128" s="21" t="n">
        <v>410.24</v>
      </c>
      <c r="S128" s="21" t="n">
        <v>414.54</v>
      </c>
      <c r="T128" s="21" t="n">
        <v>421.95</v>
      </c>
      <c r="U128" s="20"/>
      <c r="V128" s="20" t="s">
        <v>125</v>
      </c>
      <c r="W128" s="20" t="s">
        <v>97</v>
      </c>
      <c r="X128" s="20"/>
      <c r="Y128" s="20" t="s">
        <v>98</v>
      </c>
      <c r="Z128" s="20" t="s">
        <v>126</v>
      </c>
      <c r="AA128" s="20" t="s">
        <v>127</v>
      </c>
      <c r="AB128" s="20" t="s">
        <v>128</v>
      </c>
      <c r="AC128" s="20" t="s">
        <v>129</v>
      </c>
      <c r="AD128" s="20" t="s">
        <v>167</v>
      </c>
      <c r="AE128" s="20" t="s">
        <v>133</v>
      </c>
    </row>
    <row r="129" customFormat="false" ht="15" hidden="false" customHeight="false" outlineLevel="0" collapsed="false">
      <c r="A129" s="20" t="s">
        <v>166</v>
      </c>
      <c r="B129" s="20" t="s">
        <v>134</v>
      </c>
      <c r="C129" s="20" t="s">
        <v>122</v>
      </c>
      <c r="D129" s="20" t="s">
        <v>123</v>
      </c>
      <c r="E129" s="20" t="s">
        <v>124</v>
      </c>
      <c r="F129" s="21" t="n">
        <v>278.07</v>
      </c>
      <c r="G129" s="21" t="n">
        <v>303.49</v>
      </c>
      <c r="H129" s="21" t="n">
        <v>360.96</v>
      </c>
      <c r="I129" s="21" t="n">
        <v>369.32</v>
      </c>
      <c r="J129" s="21" t="n">
        <v>340.71</v>
      </c>
      <c r="K129" s="21" t="n">
        <v>349.71</v>
      </c>
      <c r="L129" s="21" t="n">
        <v>328.9</v>
      </c>
      <c r="M129" s="21" t="n">
        <v>327.12</v>
      </c>
      <c r="N129" s="21" t="n">
        <v>342.14</v>
      </c>
      <c r="O129" s="21" t="n">
        <v>368.48</v>
      </c>
      <c r="P129" s="21" t="n">
        <v>402.84</v>
      </c>
      <c r="Q129" s="21" t="n">
        <v>433.31</v>
      </c>
      <c r="R129" s="21" t="n">
        <v>473.19</v>
      </c>
      <c r="S129" s="21" t="n">
        <v>529.98</v>
      </c>
      <c r="T129" s="21" t="n">
        <v>572.07</v>
      </c>
      <c r="U129" s="20"/>
      <c r="V129" s="20" t="s">
        <v>125</v>
      </c>
      <c r="W129" s="20" t="s">
        <v>97</v>
      </c>
      <c r="X129" s="20"/>
      <c r="Y129" s="20" t="s">
        <v>98</v>
      </c>
      <c r="Z129" s="20" t="s">
        <v>126</v>
      </c>
      <c r="AA129" s="20" t="s">
        <v>127</v>
      </c>
      <c r="AB129" s="20" t="s">
        <v>128</v>
      </c>
      <c r="AC129" s="20" t="s">
        <v>129</v>
      </c>
      <c r="AD129" s="20" t="s">
        <v>167</v>
      </c>
      <c r="AE129" s="20" t="s">
        <v>135</v>
      </c>
    </row>
    <row r="130" customFormat="false" ht="15" hidden="false" customHeight="false" outlineLevel="0" collapsed="false">
      <c r="A130" s="20" t="s">
        <v>166</v>
      </c>
      <c r="B130" s="20" t="s">
        <v>136</v>
      </c>
      <c r="C130" s="20" t="s">
        <v>122</v>
      </c>
      <c r="D130" s="20" t="s">
        <v>123</v>
      </c>
      <c r="E130" s="20" t="s">
        <v>124</v>
      </c>
      <c r="F130" s="21" t="n">
        <v>2189.79</v>
      </c>
      <c r="G130" s="21" t="n">
        <v>2250.07</v>
      </c>
      <c r="H130" s="21" t="n">
        <v>1721.45</v>
      </c>
      <c r="I130" s="21" t="n">
        <v>1681.24</v>
      </c>
      <c r="J130" s="21" t="n">
        <v>1838.86</v>
      </c>
      <c r="K130" s="21" t="n">
        <v>1881.65</v>
      </c>
      <c r="L130" s="21" t="n">
        <v>2003.17</v>
      </c>
      <c r="M130" s="21" t="n">
        <v>2041.99</v>
      </c>
      <c r="N130" s="21" t="n">
        <v>2052.89</v>
      </c>
      <c r="O130" s="21" t="n">
        <v>2063.64</v>
      </c>
      <c r="P130" s="21" t="n">
        <v>2095.2</v>
      </c>
      <c r="Q130" s="21" t="n">
        <v>2122.13</v>
      </c>
      <c r="R130" s="21" t="n">
        <v>2154.49</v>
      </c>
      <c r="S130" s="21" t="n">
        <v>2206.49</v>
      </c>
      <c r="T130" s="21" t="n">
        <v>2254.18</v>
      </c>
      <c r="U130" s="20"/>
      <c r="V130" s="20" t="s">
        <v>125</v>
      </c>
      <c r="W130" s="20" t="s">
        <v>97</v>
      </c>
      <c r="X130" s="20"/>
      <c r="Y130" s="20" t="s">
        <v>98</v>
      </c>
      <c r="Z130" s="20" t="s">
        <v>126</v>
      </c>
      <c r="AA130" s="20" t="s">
        <v>127</v>
      </c>
      <c r="AB130" s="20" t="s">
        <v>128</v>
      </c>
      <c r="AC130" s="20" t="s">
        <v>129</v>
      </c>
      <c r="AD130" s="20" t="s">
        <v>167</v>
      </c>
      <c r="AE130" s="20" t="s">
        <v>137</v>
      </c>
    </row>
    <row r="131" customFormat="false" ht="15" hidden="false" customHeight="false" outlineLevel="0" collapsed="false">
      <c r="A131" s="20" t="s">
        <v>166</v>
      </c>
      <c r="B131" s="20" t="s">
        <v>60</v>
      </c>
      <c r="C131" s="20" t="s">
        <v>122</v>
      </c>
      <c r="D131" s="20" t="s">
        <v>123</v>
      </c>
      <c r="E131" s="20" t="s">
        <v>124</v>
      </c>
      <c r="F131" s="21" t="n">
        <v>3692.91</v>
      </c>
      <c r="G131" s="21" t="n">
        <v>3013.62</v>
      </c>
      <c r="H131" s="21" t="n">
        <v>3670.12</v>
      </c>
      <c r="I131" s="21" t="n">
        <v>3281.13</v>
      </c>
      <c r="J131" s="21" t="n">
        <v>3078.94</v>
      </c>
      <c r="K131" s="21" t="n">
        <v>2667.31</v>
      </c>
      <c r="L131" s="21" t="n">
        <v>2648.88</v>
      </c>
      <c r="M131" s="21" t="n">
        <v>3059.94</v>
      </c>
      <c r="N131" s="21" t="n">
        <v>3691.77</v>
      </c>
      <c r="O131" s="21" t="n">
        <v>4365.98</v>
      </c>
      <c r="P131" s="21" t="n">
        <v>5008.48</v>
      </c>
      <c r="Q131" s="21" t="n">
        <v>5604.49</v>
      </c>
      <c r="R131" s="21" t="n">
        <v>6019.29</v>
      </c>
      <c r="S131" s="21" t="n">
        <v>6318.44</v>
      </c>
      <c r="T131" s="21" t="n">
        <v>6557.36</v>
      </c>
      <c r="U131" s="20"/>
      <c r="V131" s="20" t="s">
        <v>125</v>
      </c>
      <c r="W131" s="20" t="s">
        <v>97</v>
      </c>
      <c r="X131" s="20"/>
      <c r="Y131" s="20" t="s">
        <v>98</v>
      </c>
      <c r="Z131" s="20" t="s">
        <v>126</v>
      </c>
      <c r="AA131" s="20" t="s">
        <v>127</v>
      </c>
      <c r="AB131" s="20" t="s">
        <v>128</v>
      </c>
      <c r="AC131" s="20" t="s">
        <v>129</v>
      </c>
      <c r="AD131" s="20" t="s">
        <v>167</v>
      </c>
      <c r="AE131" s="20" t="s">
        <v>138</v>
      </c>
    </row>
    <row r="132" customFormat="false" ht="15" hidden="false" customHeight="false" outlineLevel="0" collapsed="false">
      <c r="A132" s="20" t="s">
        <v>166</v>
      </c>
      <c r="B132" s="20" t="s">
        <v>139</v>
      </c>
      <c r="C132" s="20" t="s">
        <v>122</v>
      </c>
      <c r="D132" s="20" t="s">
        <v>123</v>
      </c>
      <c r="E132" s="20" t="s">
        <v>124</v>
      </c>
      <c r="F132" s="21" t="n">
        <v>585.49</v>
      </c>
      <c r="G132" s="21" t="n">
        <v>733.29</v>
      </c>
      <c r="H132" s="21" t="n">
        <v>858.25</v>
      </c>
      <c r="I132" s="21" t="n">
        <v>903.31</v>
      </c>
      <c r="J132" s="21" t="n">
        <v>868.83</v>
      </c>
      <c r="K132" s="21" t="n">
        <v>857.07</v>
      </c>
      <c r="L132" s="21" t="n">
        <v>854.23</v>
      </c>
      <c r="M132" s="21" t="n">
        <v>879.16</v>
      </c>
      <c r="N132" s="21" t="n">
        <v>895.75</v>
      </c>
      <c r="O132" s="21" t="n">
        <v>908.44</v>
      </c>
      <c r="P132" s="21" t="n">
        <v>907.75</v>
      </c>
      <c r="Q132" s="21" t="n">
        <v>891.2</v>
      </c>
      <c r="R132" s="21" t="n">
        <v>915.42</v>
      </c>
      <c r="S132" s="21" t="n">
        <v>940.09</v>
      </c>
      <c r="T132" s="21" t="n">
        <v>943.63</v>
      </c>
      <c r="U132" s="20"/>
      <c r="V132" s="20" t="s">
        <v>125</v>
      </c>
      <c r="W132" s="20" t="s">
        <v>97</v>
      </c>
      <c r="X132" s="20"/>
      <c r="Y132" s="20" t="s">
        <v>98</v>
      </c>
      <c r="Z132" s="20" t="s">
        <v>126</v>
      </c>
      <c r="AA132" s="20" t="s">
        <v>127</v>
      </c>
      <c r="AB132" s="20" t="s">
        <v>128</v>
      </c>
      <c r="AC132" s="20" t="s">
        <v>129</v>
      </c>
      <c r="AD132" s="20" t="s">
        <v>167</v>
      </c>
      <c r="AE132" s="20" t="s">
        <v>140</v>
      </c>
    </row>
    <row r="133" customFormat="false" ht="15" hidden="false" customHeight="false" outlineLevel="0" collapsed="false">
      <c r="A133" s="20" t="s">
        <v>166</v>
      </c>
      <c r="B133" s="20" t="s">
        <v>67</v>
      </c>
      <c r="C133" s="20" t="s">
        <v>122</v>
      </c>
      <c r="D133" s="20" t="s">
        <v>123</v>
      </c>
      <c r="E133" s="20" t="s">
        <v>124</v>
      </c>
      <c r="F133" s="21" t="n">
        <v>1893.81</v>
      </c>
      <c r="G133" s="21" t="n">
        <v>1725.9</v>
      </c>
      <c r="H133" s="21" t="n">
        <v>1913.21</v>
      </c>
      <c r="I133" s="21" t="n">
        <v>1705.37</v>
      </c>
      <c r="J133" s="21" t="n">
        <v>1551.63</v>
      </c>
      <c r="K133" s="21" t="n">
        <v>1353.4</v>
      </c>
      <c r="L133" s="21" t="n">
        <v>1443.62</v>
      </c>
      <c r="M133" s="21" t="n">
        <v>1638.72</v>
      </c>
      <c r="N133" s="21" t="n">
        <v>1885.9</v>
      </c>
      <c r="O133" s="21" t="n">
        <v>2167.9</v>
      </c>
      <c r="P133" s="21" t="n">
        <v>2439.54</v>
      </c>
      <c r="Q133" s="21" t="n">
        <v>2693.12</v>
      </c>
      <c r="R133" s="21" t="n">
        <v>2873.03</v>
      </c>
      <c r="S133" s="21" t="n">
        <v>3014.96</v>
      </c>
      <c r="T133" s="21" t="n">
        <v>3149.35</v>
      </c>
      <c r="U133" s="20"/>
      <c r="V133" s="20" t="s">
        <v>125</v>
      </c>
      <c r="W133" s="20" t="s">
        <v>97</v>
      </c>
      <c r="X133" s="20"/>
      <c r="Y133" s="20" t="s">
        <v>98</v>
      </c>
      <c r="Z133" s="20" t="s">
        <v>126</v>
      </c>
      <c r="AA133" s="20" t="s">
        <v>127</v>
      </c>
      <c r="AB133" s="20" t="s">
        <v>128</v>
      </c>
      <c r="AC133" s="20" t="s">
        <v>129</v>
      </c>
      <c r="AD133" s="20" t="s">
        <v>167</v>
      </c>
      <c r="AE133" s="20" t="s">
        <v>141</v>
      </c>
    </row>
    <row r="134" customFormat="false" ht="15" hidden="false" customHeight="false" outlineLevel="0" collapsed="false">
      <c r="A134" s="20" t="s">
        <v>166</v>
      </c>
      <c r="B134" s="20" t="s">
        <v>64</v>
      </c>
      <c r="C134" s="20" t="s">
        <v>122</v>
      </c>
      <c r="D134" s="20" t="s">
        <v>123</v>
      </c>
      <c r="E134" s="20" t="s">
        <v>124</v>
      </c>
      <c r="F134" s="21" t="n">
        <v>2155.64</v>
      </c>
      <c r="G134" s="21" t="n">
        <v>3375.99</v>
      </c>
      <c r="H134" s="21" t="n">
        <v>3156.97</v>
      </c>
      <c r="I134" s="21" t="n">
        <v>3460.04</v>
      </c>
      <c r="J134" s="21" t="n">
        <v>3490.78</v>
      </c>
      <c r="K134" s="21" t="n">
        <v>3535.32</v>
      </c>
      <c r="L134" s="21" t="n">
        <v>4034.63</v>
      </c>
      <c r="M134" s="21" t="n">
        <v>4341.65</v>
      </c>
      <c r="N134" s="21" t="n">
        <v>4559.05</v>
      </c>
      <c r="O134" s="21" t="n">
        <v>4654.67</v>
      </c>
      <c r="P134" s="21" t="n">
        <v>4696.08</v>
      </c>
      <c r="Q134" s="21" t="n">
        <v>4627.84</v>
      </c>
      <c r="R134" s="21" t="n">
        <v>4507.94</v>
      </c>
      <c r="S134" s="21" t="n">
        <v>4490.82</v>
      </c>
      <c r="T134" s="21" t="n">
        <v>4557.06</v>
      </c>
      <c r="U134" s="20"/>
      <c r="V134" s="20" t="s">
        <v>125</v>
      </c>
      <c r="W134" s="20" t="s">
        <v>97</v>
      </c>
      <c r="X134" s="20"/>
      <c r="Y134" s="20" t="s">
        <v>98</v>
      </c>
      <c r="Z134" s="20" t="s">
        <v>126</v>
      </c>
      <c r="AA134" s="20" t="s">
        <v>127</v>
      </c>
      <c r="AB134" s="20" t="s">
        <v>128</v>
      </c>
      <c r="AC134" s="20" t="s">
        <v>129</v>
      </c>
      <c r="AD134" s="20" t="s">
        <v>167</v>
      </c>
      <c r="AE134" s="20" t="s">
        <v>142</v>
      </c>
    </row>
    <row r="135" customFormat="false" ht="15" hidden="false" customHeight="false" outlineLevel="0" collapsed="false">
      <c r="A135" s="20" t="s">
        <v>166</v>
      </c>
      <c r="B135" s="20" t="s">
        <v>74</v>
      </c>
      <c r="C135" s="20" t="s">
        <v>122</v>
      </c>
      <c r="D135" s="20" t="s">
        <v>123</v>
      </c>
      <c r="E135" s="20" t="s">
        <v>124</v>
      </c>
      <c r="F135" s="21" t="n">
        <v>2515.88</v>
      </c>
      <c r="G135" s="21" t="n">
        <v>2500.95</v>
      </c>
      <c r="H135" s="21" t="n">
        <v>2163.83</v>
      </c>
      <c r="I135" s="21" t="n">
        <v>2210.71</v>
      </c>
      <c r="J135" s="21" t="n">
        <v>2336.75</v>
      </c>
      <c r="K135" s="21" t="n">
        <v>2404.86</v>
      </c>
      <c r="L135" s="21" t="n">
        <v>2523.73</v>
      </c>
      <c r="M135" s="21" t="n">
        <v>2564.83</v>
      </c>
      <c r="N135" s="21" t="n">
        <v>2582.05</v>
      </c>
      <c r="O135" s="21" t="n">
        <v>2575.33</v>
      </c>
      <c r="P135" s="21" t="n">
        <v>2615.09</v>
      </c>
      <c r="Q135" s="21" t="n">
        <v>2652.03</v>
      </c>
      <c r="R135" s="21" t="n">
        <v>2693.28</v>
      </c>
      <c r="S135" s="21" t="n">
        <v>2754.53</v>
      </c>
      <c r="T135" s="21" t="n">
        <v>2813.43</v>
      </c>
      <c r="U135" s="20"/>
      <c r="V135" s="20" t="s">
        <v>125</v>
      </c>
      <c r="W135" s="20" t="s">
        <v>97</v>
      </c>
      <c r="X135" s="20"/>
      <c r="Y135" s="20" t="s">
        <v>98</v>
      </c>
      <c r="Z135" s="20" t="s">
        <v>126</v>
      </c>
      <c r="AA135" s="20" t="s">
        <v>127</v>
      </c>
      <c r="AB135" s="20" t="s">
        <v>128</v>
      </c>
      <c r="AC135" s="20" t="s">
        <v>129</v>
      </c>
      <c r="AD135" s="20" t="s">
        <v>167</v>
      </c>
      <c r="AE135" s="20" t="s">
        <v>143</v>
      </c>
    </row>
    <row r="136" customFormat="false" ht="15" hidden="false" customHeight="false" outlineLevel="0" collapsed="false">
      <c r="A136" s="20" t="s">
        <v>166</v>
      </c>
      <c r="B136" s="20" t="s">
        <v>71</v>
      </c>
      <c r="C136" s="20" t="s">
        <v>122</v>
      </c>
      <c r="D136" s="20" t="s">
        <v>123</v>
      </c>
      <c r="E136" s="20" t="s">
        <v>124</v>
      </c>
      <c r="F136" s="21" t="n">
        <v>585.59</v>
      </c>
      <c r="G136" s="21" t="n">
        <v>934.99</v>
      </c>
      <c r="H136" s="21" t="n">
        <v>828.13</v>
      </c>
      <c r="I136" s="21" t="n">
        <v>1178.16</v>
      </c>
      <c r="J136" s="21" t="n">
        <v>1160.46</v>
      </c>
      <c r="K136" s="21" t="n">
        <v>1063.08</v>
      </c>
      <c r="L136" s="21" t="n">
        <v>1083.79</v>
      </c>
      <c r="M136" s="21" t="n">
        <v>1160.2</v>
      </c>
      <c r="N136" s="21" t="n">
        <v>1204.64</v>
      </c>
      <c r="O136" s="21" t="n">
        <v>1208.46</v>
      </c>
      <c r="P136" s="21" t="n">
        <v>1208.6</v>
      </c>
      <c r="Q136" s="21" t="n">
        <v>1178.68</v>
      </c>
      <c r="R136" s="21" t="n">
        <v>1140.48</v>
      </c>
      <c r="S136" s="21" t="n">
        <v>1139.12</v>
      </c>
      <c r="T136" s="21" t="n">
        <v>1157.18</v>
      </c>
      <c r="U136" s="20"/>
      <c r="V136" s="20" t="s">
        <v>125</v>
      </c>
      <c r="W136" s="20" t="s">
        <v>97</v>
      </c>
      <c r="X136" s="20"/>
      <c r="Y136" s="20" t="s">
        <v>98</v>
      </c>
      <c r="Z136" s="20" t="s">
        <v>126</v>
      </c>
      <c r="AA136" s="20" t="s">
        <v>127</v>
      </c>
      <c r="AB136" s="20" t="s">
        <v>128</v>
      </c>
      <c r="AC136" s="20" t="s">
        <v>129</v>
      </c>
      <c r="AD136" s="20" t="s">
        <v>167</v>
      </c>
      <c r="AE136" s="20" t="s">
        <v>144</v>
      </c>
    </row>
    <row r="137" customFormat="false" ht="15" hidden="false" customHeight="false" outlineLevel="0" collapsed="false">
      <c r="A137" s="20" t="s">
        <v>166</v>
      </c>
      <c r="B137" s="20" t="s">
        <v>78</v>
      </c>
      <c r="C137" s="20" t="s">
        <v>122</v>
      </c>
      <c r="D137" s="20" t="s">
        <v>123</v>
      </c>
      <c r="E137" s="20" t="s">
        <v>124</v>
      </c>
      <c r="F137" s="21" t="n">
        <v>921.05</v>
      </c>
      <c r="G137" s="21" t="n">
        <v>1097.99</v>
      </c>
      <c r="H137" s="21" t="n">
        <v>1291.65</v>
      </c>
      <c r="I137" s="21" t="n">
        <v>1345.69</v>
      </c>
      <c r="J137" s="21" t="n">
        <v>1276.62</v>
      </c>
      <c r="K137" s="21" t="n">
        <v>1277.36</v>
      </c>
      <c r="L137" s="21" t="n">
        <v>1261.39</v>
      </c>
      <c r="M137" s="21" t="n">
        <v>1290.6</v>
      </c>
      <c r="N137" s="21" t="n">
        <v>1332.07</v>
      </c>
      <c r="O137" s="21" t="n">
        <v>1381.18</v>
      </c>
      <c r="P137" s="21" t="n">
        <v>1425.95</v>
      </c>
      <c r="Q137" s="21" t="n">
        <v>1445.2</v>
      </c>
      <c r="R137" s="21" t="n">
        <v>1514.84</v>
      </c>
      <c r="S137" s="21" t="n">
        <v>1609.02</v>
      </c>
      <c r="T137" s="21" t="n">
        <v>1660.9</v>
      </c>
      <c r="U137" s="20"/>
      <c r="V137" s="20" t="s">
        <v>125</v>
      </c>
      <c r="W137" s="20" t="s">
        <v>97</v>
      </c>
      <c r="X137" s="20"/>
      <c r="Y137" s="20" t="s">
        <v>98</v>
      </c>
      <c r="Z137" s="20" t="s">
        <v>126</v>
      </c>
      <c r="AA137" s="20" t="s">
        <v>127</v>
      </c>
      <c r="AB137" s="20" t="s">
        <v>128</v>
      </c>
      <c r="AC137" s="20" t="s">
        <v>129</v>
      </c>
      <c r="AD137" s="20" t="s">
        <v>167</v>
      </c>
      <c r="AE137" s="20" t="s">
        <v>145</v>
      </c>
    </row>
    <row r="138" customFormat="false" ht="15" hidden="false" customHeight="false" outlineLevel="0" collapsed="false">
      <c r="A138" s="20" t="s">
        <v>166</v>
      </c>
      <c r="B138" s="20" t="s">
        <v>146</v>
      </c>
      <c r="C138" s="20" t="s">
        <v>122</v>
      </c>
      <c r="D138" s="20" t="s">
        <v>123</v>
      </c>
      <c r="E138" s="20" t="s">
        <v>124</v>
      </c>
      <c r="F138" s="21" t="n">
        <v>35.12</v>
      </c>
      <c r="G138" s="21" t="n">
        <v>19.19</v>
      </c>
      <c r="H138" s="21" t="n">
        <v>50.3</v>
      </c>
      <c r="I138" s="21" t="n">
        <v>69.19</v>
      </c>
      <c r="J138" s="21" t="n">
        <v>67.95</v>
      </c>
      <c r="K138" s="21" t="n">
        <v>84.65</v>
      </c>
      <c r="L138" s="21" t="n">
        <v>109.88</v>
      </c>
      <c r="M138" s="21" t="n">
        <v>112.88</v>
      </c>
      <c r="N138" s="21" t="n">
        <v>117.1</v>
      </c>
      <c r="O138" s="21" t="n">
        <v>119.92</v>
      </c>
      <c r="P138" s="21" t="n">
        <v>123.93</v>
      </c>
      <c r="Q138" s="21" t="n">
        <v>125.9</v>
      </c>
      <c r="R138" s="21" t="n">
        <v>128.55</v>
      </c>
      <c r="S138" s="21" t="n">
        <v>133.5</v>
      </c>
      <c r="T138" s="21" t="n">
        <v>137.29</v>
      </c>
      <c r="U138" s="20"/>
      <c r="V138" s="20" t="s">
        <v>125</v>
      </c>
      <c r="W138" s="20" t="s">
        <v>97</v>
      </c>
      <c r="X138" s="20"/>
      <c r="Y138" s="20" t="s">
        <v>98</v>
      </c>
      <c r="Z138" s="20" t="s">
        <v>126</v>
      </c>
      <c r="AA138" s="20" t="s">
        <v>127</v>
      </c>
      <c r="AB138" s="20" t="s">
        <v>128</v>
      </c>
      <c r="AC138" s="20" t="s">
        <v>129</v>
      </c>
      <c r="AD138" s="20" t="s">
        <v>167</v>
      </c>
      <c r="AE138" s="20" t="s">
        <v>147</v>
      </c>
    </row>
    <row r="139" customFormat="false" ht="15" hidden="false" customHeight="false" outlineLevel="0" collapsed="false">
      <c r="A139" s="20" t="s">
        <v>168</v>
      </c>
      <c r="B139" s="20" t="s">
        <v>121</v>
      </c>
      <c r="C139" s="20" t="s">
        <v>122</v>
      </c>
      <c r="D139" s="20" t="s">
        <v>123</v>
      </c>
      <c r="E139" s="20" t="s">
        <v>124</v>
      </c>
      <c r="F139" s="21" t="n">
        <v>2065.64</v>
      </c>
      <c r="G139" s="21" t="n">
        <v>2273.29</v>
      </c>
      <c r="H139" s="21" t="n">
        <v>2553.94</v>
      </c>
      <c r="I139" s="21" t="n">
        <v>2591.79</v>
      </c>
      <c r="J139" s="21" t="n">
        <v>2677.27</v>
      </c>
      <c r="K139" s="21" t="n">
        <v>2808.06</v>
      </c>
      <c r="L139" s="21" t="n">
        <v>2865.5</v>
      </c>
      <c r="M139" s="21" t="n">
        <v>2935.32</v>
      </c>
      <c r="N139" s="21" t="n">
        <v>2947.82</v>
      </c>
      <c r="O139" s="21" t="n">
        <v>2987.01</v>
      </c>
      <c r="P139" s="21" t="n">
        <v>3141.5</v>
      </c>
      <c r="Q139" s="21" t="n">
        <v>3219.02</v>
      </c>
      <c r="R139" s="21" t="n">
        <v>3263.23</v>
      </c>
      <c r="S139" s="21" t="n">
        <v>3364.13</v>
      </c>
      <c r="T139" s="21" t="n">
        <v>3414.13</v>
      </c>
      <c r="U139" s="20"/>
      <c r="V139" s="20" t="s">
        <v>125</v>
      </c>
      <c r="W139" s="20" t="s">
        <v>97</v>
      </c>
      <c r="X139" s="20"/>
      <c r="Y139" s="20" t="s">
        <v>98</v>
      </c>
      <c r="Z139" s="20" t="s">
        <v>126</v>
      </c>
      <c r="AA139" s="20" t="s">
        <v>127</v>
      </c>
      <c r="AB139" s="20" t="s">
        <v>128</v>
      </c>
      <c r="AC139" s="20" t="s">
        <v>129</v>
      </c>
      <c r="AD139" s="20" t="s">
        <v>169</v>
      </c>
      <c r="AE139" s="20" t="s">
        <v>131</v>
      </c>
    </row>
    <row r="140" customFormat="false" ht="15" hidden="false" customHeight="false" outlineLevel="0" collapsed="false">
      <c r="A140" s="20" t="s">
        <v>168</v>
      </c>
      <c r="B140" s="20" t="s">
        <v>132</v>
      </c>
      <c r="C140" s="20" t="s">
        <v>122</v>
      </c>
      <c r="D140" s="20" t="s">
        <v>123</v>
      </c>
      <c r="E140" s="20" t="s">
        <v>124</v>
      </c>
      <c r="F140" s="21" t="n">
        <v>2546.01</v>
      </c>
      <c r="G140" s="21" t="n">
        <v>2672.49</v>
      </c>
      <c r="H140" s="21" t="n">
        <v>2792.95</v>
      </c>
      <c r="I140" s="21" t="n">
        <v>2879.23</v>
      </c>
      <c r="J140" s="21" t="n">
        <v>3187.91</v>
      </c>
      <c r="K140" s="21" t="n">
        <v>3284.46</v>
      </c>
      <c r="L140" s="21" t="n">
        <v>3388.31</v>
      </c>
      <c r="M140" s="21" t="n">
        <v>3503.5</v>
      </c>
      <c r="N140" s="21" t="n">
        <v>3548.84</v>
      </c>
      <c r="O140" s="21" t="n">
        <v>3617.03</v>
      </c>
      <c r="P140" s="21" t="n">
        <v>3715.42</v>
      </c>
      <c r="Q140" s="21" t="n">
        <v>3823.84</v>
      </c>
      <c r="R140" s="21" t="n">
        <v>3921.18</v>
      </c>
      <c r="S140" s="21" t="n">
        <v>4007.88</v>
      </c>
      <c r="T140" s="21" t="n">
        <v>4105.67</v>
      </c>
      <c r="U140" s="20"/>
      <c r="V140" s="20" t="s">
        <v>125</v>
      </c>
      <c r="W140" s="20" t="s">
        <v>97</v>
      </c>
      <c r="X140" s="20"/>
      <c r="Y140" s="20" t="s">
        <v>98</v>
      </c>
      <c r="Z140" s="20" t="s">
        <v>126</v>
      </c>
      <c r="AA140" s="20" t="s">
        <v>127</v>
      </c>
      <c r="AB140" s="20" t="s">
        <v>128</v>
      </c>
      <c r="AC140" s="20" t="s">
        <v>129</v>
      </c>
      <c r="AD140" s="20" t="s">
        <v>169</v>
      </c>
      <c r="AE140" s="20" t="s">
        <v>133</v>
      </c>
    </row>
    <row r="141" customFormat="false" ht="15" hidden="false" customHeight="false" outlineLevel="0" collapsed="false">
      <c r="A141" s="20" t="s">
        <v>168</v>
      </c>
      <c r="B141" s="20" t="s">
        <v>134</v>
      </c>
      <c r="C141" s="20" t="s">
        <v>122</v>
      </c>
      <c r="D141" s="20" t="s">
        <v>123</v>
      </c>
      <c r="E141" s="20" t="s">
        <v>124</v>
      </c>
      <c r="F141" s="21" t="n">
        <v>5836.55</v>
      </c>
      <c r="G141" s="21" t="n">
        <v>6486.16</v>
      </c>
      <c r="H141" s="21" t="n">
        <v>7338.76</v>
      </c>
      <c r="I141" s="21" t="n">
        <v>7452.43</v>
      </c>
      <c r="J141" s="21" t="n">
        <v>7709.14</v>
      </c>
      <c r="K141" s="21" t="n">
        <v>8091.88</v>
      </c>
      <c r="L141" s="21" t="n">
        <v>8347.1</v>
      </c>
      <c r="M141" s="21" t="n">
        <v>8514.28</v>
      </c>
      <c r="N141" s="21" t="n">
        <v>8644.72</v>
      </c>
      <c r="O141" s="21" t="n">
        <v>8857.14</v>
      </c>
      <c r="P141" s="21" t="n">
        <v>9242.62</v>
      </c>
      <c r="Q141" s="21" t="n">
        <v>9526.55</v>
      </c>
      <c r="R141" s="21" t="n">
        <v>9690.81</v>
      </c>
      <c r="S141" s="21" t="n">
        <v>9951.39</v>
      </c>
      <c r="T141" s="21" t="n">
        <v>10143.05</v>
      </c>
      <c r="U141" s="20"/>
      <c r="V141" s="20" t="s">
        <v>125</v>
      </c>
      <c r="W141" s="20" t="s">
        <v>97</v>
      </c>
      <c r="X141" s="20"/>
      <c r="Y141" s="20" t="s">
        <v>98</v>
      </c>
      <c r="Z141" s="20" t="s">
        <v>126</v>
      </c>
      <c r="AA141" s="20" t="s">
        <v>127</v>
      </c>
      <c r="AB141" s="20" t="s">
        <v>128</v>
      </c>
      <c r="AC141" s="20" t="s">
        <v>129</v>
      </c>
      <c r="AD141" s="20" t="s">
        <v>169</v>
      </c>
      <c r="AE141" s="20" t="s">
        <v>135</v>
      </c>
    </row>
    <row r="142" customFormat="false" ht="15" hidden="false" customHeight="false" outlineLevel="0" collapsed="false">
      <c r="A142" s="20" t="s">
        <v>168</v>
      </c>
      <c r="B142" s="20" t="s">
        <v>136</v>
      </c>
      <c r="C142" s="20" t="s">
        <v>122</v>
      </c>
      <c r="D142" s="20" t="s">
        <v>123</v>
      </c>
      <c r="E142" s="20" t="s">
        <v>124</v>
      </c>
      <c r="F142" s="21" t="n">
        <v>1193.1</v>
      </c>
      <c r="G142" s="21" t="n">
        <v>1264.06</v>
      </c>
      <c r="H142" s="21" t="n">
        <v>1414.21</v>
      </c>
      <c r="I142" s="21" t="n">
        <v>1487.12</v>
      </c>
      <c r="J142" s="21" t="n">
        <v>1776.43</v>
      </c>
      <c r="K142" s="21" t="n">
        <v>1824.14</v>
      </c>
      <c r="L142" s="21" t="n">
        <v>1894.65</v>
      </c>
      <c r="M142" s="21" t="n">
        <v>1969.43</v>
      </c>
      <c r="N142" s="21" t="n">
        <v>2009.37</v>
      </c>
      <c r="O142" s="21" t="n">
        <v>2077.35</v>
      </c>
      <c r="P142" s="21" t="n">
        <v>2142.57</v>
      </c>
      <c r="Q142" s="21" t="n">
        <v>2203.27</v>
      </c>
      <c r="R142" s="21" t="n">
        <v>2244.74</v>
      </c>
      <c r="S142" s="21" t="n">
        <v>2275.16</v>
      </c>
      <c r="T142" s="21" t="n">
        <v>2308.35</v>
      </c>
      <c r="U142" s="20"/>
      <c r="V142" s="20" t="s">
        <v>125</v>
      </c>
      <c r="W142" s="20" t="s">
        <v>97</v>
      </c>
      <c r="X142" s="20"/>
      <c r="Y142" s="20" t="s">
        <v>98</v>
      </c>
      <c r="Z142" s="20" t="s">
        <v>126</v>
      </c>
      <c r="AA142" s="20" t="s">
        <v>127</v>
      </c>
      <c r="AB142" s="20" t="s">
        <v>128</v>
      </c>
      <c r="AC142" s="20" t="s">
        <v>129</v>
      </c>
      <c r="AD142" s="20" t="s">
        <v>169</v>
      </c>
      <c r="AE142" s="20" t="s">
        <v>137</v>
      </c>
    </row>
    <row r="143" customFormat="false" ht="15" hidden="false" customHeight="false" outlineLevel="0" collapsed="false">
      <c r="A143" s="20" t="s">
        <v>168</v>
      </c>
      <c r="B143" s="20" t="s">
        <v>60</v>
      </c>
      <c r="C143" s="20" t="s">
        <v>122</v>
      </c>
      <c r="D143" s="20" t="s">
        <v>123</v>
      </c>
      <c r="E143" s="20" t="s">
        <v>124</v>
      </c>
      <c r="F143" s="21" t="n">
        <v>9921.59</v>
      </c>
      <c r="G143" s="21" t="n">
        <v>12314.25</v>
      </c>
      <c r="H143" s="21" t="n">
        <v>12795.44</v>
      </c>
      <c r="I143" s="21" t="n">
        <v>15048.9</v>
      </c>
      <c r="J143" s="21" t="n">
        <v>16285.32</v>
      </c>
      <c r="K143" s="21" t="n">
        <v>15734.46</v>
      </c>
      <c r="L143" s="21" t="n">
        <v>15915</v>
      </c>
      <c r="M143" s="21" t="n">
        <v>15297.26</v>
      </c>
      <c r="N143" s="21" t="n">
        <v>15196.07</v>
      </c>
      <c r="O143" s="21" t="n">
        <v>15162</v>
      </c>
      <c r="P143" s="21" t="n">
        <v>15321.21</v>
      </c>
      <c r="Q143" s="21" t="n">
        <v>15401.06</v>
      </c>
      <c r="R143" s="21" t="n">
        <v>15418.88</v>
      </c>
      <c r="S143" s="21" t="n">
        <v>15343.81</v>
      </c>
      <c r="T143" s="21" t="n">
        <v>15300.84</v>
      </c>
      <c r="U143" s="20"/>
      <c r="V143" s="20" t="s">
        <v>125</v>
      </c>
      <c r="W143" s="20" t="s">
        <v>97</v>
      </c>
      <c r="X143" s="20"/>
      <c r="Y143" s="20" t="s">
        <v>98</v>
      </c>
      <c r="Z143" s="20" t="s">
        <v>126</v>
      </c>
      <c r="AA143" s="20" t="s">
        <v>127</v>
      </c>
      <c r="AB143" s="20" t="s">
        <v>128</v>
      </c>
      <c r="AC143" s="20" t="s">
        <v>129</v>
      </c>
      <c r="AD143" s="20" t="s">
        <v>169</v>
      </c>
      <c r="AE143" s="20" t="s">
        <v>138</v>
      </c>
    </row>
    <row r="144" customFormat="false" ht="15" hidden="false" customHeight="false" outlineLevel="0" collapsed="false">
      <c r="A144" s="20" t="s">
        <v>168</v>
      </c>
      <c r="B144" s="20" t="s">
        <v>139</v>
      </c>
      <c r="C144" s="20" t="s">
        <v>122</v>
      </c>
      <c r="D144" s="20" t="s">
        <v>123</v>
      </c>
      <c r="E144" s="20" t="s">
        <v>124</v>
      </c>
      <c r="F144" s="21" t="n">
        <v>3543.66</v>
      </c>
      <c r="G144" s="21" t="n">
        <v>3913.87</v>
      </c>
      <c r="H144" s="21" t="n">
        <v>4398.99</v>
      </c>
      <c r="I144" s="21" t="n">
        <v>4461.58</v>
      </c>
      <c r="J144" s="21" t="n">
        <v>4608.24</v>
      </c>
      <c r="K144" s="21" t="n">
        <v>4817.83</v>
      </c>
      <c r="L144" s="21" t="n">
        <v>4959.1</v>
      </c>
      <c r="M144" s="21" t="n">
        <v>5092.75</v>
      </c>
      <c r="N144" s="21" t="n">
        <v>5164.48</v>
      </c>
      <c r="O144" s="21" t="n">
        <v>5275.57</v>
      </c>
      <c r="P144" s="21" t="n">
        <v>5528.07</v>
      </c>
      <c r="Q144" s="21" t="n">
        <v>5689.05</v>
      </c>
      <c r="R144" s="21" t="n">
        <v>5748.6</v>
      </c>
      <c r="S144" s="21" t="n">
        <v>5887.15</v>
      </c>
      <c r="T144" s="21" t="n">
        <v>5956.54</v>
      </c>
      <c r="U144" s="20"/>
      <c r="V144" s="20" t="s">
        <v>125</v>
      </c>
      <c r="W144" s="20" t="s">
        <v>97</v>
      </c>
      <c r="X144" s="20"/>
      <c r="Y144" s="20" t="s">
        <v>98</v>
      </c>
      <c r="Z144" s="20" t="s">
        <v>126</v>
      </c>
      <c r="AA144" s="20" t="s">
        <v>127</v>
      </c>
      <c r="AB144" s="20" t="s">
        <v>128</v>
      </c>
      <c r="AC144" s="20" t="s">
        <v>129</v>
      </c>
      <c r="AD144" s="20" t="s">
        <v>169</v>
      </c>
      <c r="AE144" s="20" t="s">
        <v>140</v>
      </c>
    </row>
    <row r="145" customFormat="false" ht="15" hidden="false" customHeight="false" outlineLevel="0" collapsed="false">
      <c r="A145" s="20" t="s">
        <v>168</v>
      </c>
      <c r="B145" s="20" t="s">
        <v>67</v>
      </c>
      <c r="C145" s="20" t="s">
        <v>122</v>
      </c>
      <c r="D145" s="20" t="s">
        <v>123</v>
      </c>
      <c r="E145" s="20" t="s">
        <v>124</v>
      </c>
      <c r="F145" s="21" t="n">
        <v>6308.46</v>
      </c>
      <c r="G145" s="21" t="n">
        <v>7790.31</v>
      </c>
      <c r="H145" s="21" t="n">
        <v>8298.13</v>
      </c>
      <c r="I145" s="21" t="n">
        <v>9748.88</v>
      </c>
      <c r="J145" s="21" t="n">
        <v>10256.76</v>
      </c>
      <c r="K145" s="21" t="n">
        <v>10024.78</v>
      </c>
      <c r="L145" s="21" t="n">
        <v>10080.78</v>
      </c>
      <c r="M145" s="21" t="n">
        <v>9910.65</v>
      </c>
      <c r="N145" s="21" t="n">
        <v>10329.17</v>
      </c>
      <c r="O145" s="21" t="n">
        <v>10618.66</v>
      </c>
      <c r="P145" s="21" t="n">
        <v>10956.29</v>
      </c>
      <c r="Q145" s="21" t="n">
        <v>11133.42</v>
      </c>
      <c r="R145" s="21" t="n">
        <v>11254.92</v>
      </c>
      <c r="S145" s="21" t="n">
        <v>11272.4</v>
      </c>
      <c r="T145" s="21" t="n">
        <v>11287.69</v>
      </c>
      <c r="U145" s="20"/>
      <c r="V145" s="20" t="s">
        <v>125</v>
      </c>
      <c r="W145" s="20" t="s">
        <v>97</v>
      </c>
      <c r="X145" s="20"/>
      <c r="Y145" s="20" t="s">
        <v>98</v>
      </c>
      <c r="Z145" s="20" t="s">
        <v>126</v>
      </c>
      <c r="AA145" s="20" t="s">
        <v>127</v>
      </c>
      <c r="AB145" s="20" t="s">
        <v>128</v>
      </c>
      <c r="AC145" s="20" t="s">
        <v>129</v>
      </c>
      <c r="AD145" s="20" t="s">
        <v>169</v>
      </c>
      <c r="AE145" s="20" t="s">
        <v>141</v>
      </c>
    </row>
    <row r="146" customFormat="false" ht="15" hidden="false" customHeight="false" outlineLevel="0" collapsed="false">
      <c r="A146" s="20" t="s">
        <v>168</v>
      </c>
      <c r="B146" s="20" t="s">
        <v>64</v>
      </c>
      <c r="C146" s="20" t="s">
        <v>122</v>
      </c>
      <c r="D146" s="20" t="s">
        <v>123</v>
      </c>
      <c r="E146" s="20" t="s">
        <v>124</v>
      </c>
      <c r="F146" s="21" t="n">
        <v>50134.63</v>
      </c>
      <c r="G146" s="21" t="n">
        <v>67505.3</v>
      </c>
      <c r="H146" s="21" t="n">
        <v>85644.99</v>
      </c>
      <c r="I146" s="21" t="n">
        <v>92053.91</v>
      </c>
      <c r="J146" s="21" t="n">
        <v>87113.95</v>
      </c>
      <c r="K146" s="21" t="n">
        <v>83272.55</v>
      </c>
      <c r="L146" s="21" t="n">
        <v>81848.34</v>
      </c>
      <c r="M146" s="21" t="n">
        <v>80845.25</v>
      </c>
      <c r="N146" s="21" t="n">
        <v>80617.05</v>
      </c>
      <c r="O146" s="21" t="n">
        <v>82069.77</v>
      </c>
      <c r="P146" s="21" t="n">
        <v>83560.2</v>
      </c>
      <c r="Q146" s="21" t="n">
        <v>83143.81</v>
      </c>
      <c r="R146" s="21" t="n">
        <v>83604.9</v>
      </c>
      <c r="S146" s="21" t="n">
        <v>85193.84</v>
      </c>
      <c r="T146" s="21" t="n">
        <v>86996.95</v>
      </c>
      <c r="U146" s="20"/>
      <c r="V146" s="20" t="s">
        <v>125</v>
      </c>
      <c r="W146" s="20" t="s">
        <v>97</v>
      </c>
      <c r="X146" s="20"/>
      <c r="Y146" s="20" t="s">
        <v>98</v>
      </c>
      <c r="Z146" s="20" t="s">
        <v>126</v>
      </c>
      <c r="AA146" s="20" t="s">
        <v>127</v>
      </c>
      <c r="AB146" s="20" t="s">
        <v>128</v>
      </c>
      <c r="AC146" s="20" t="s">
        <v>129</v>
      </c>
      <c r="AD146" s="20" t="s">
        <v>169</v>
      </c>
      <c r="AE146" s="20" t="s">
        <v>142</v>
      </c>
    </row>
    <row r="147" customFormat="false" ht="15" hidden="false" customHeight="false" outlineLevel="0" collapsed="false">
      <c r="A147" s="20" t="s">
        <v>168</v>
      </c>
      <c r="B147" s="20" t="s">
        <v>74</v>
      </c>
      <c r="C147" s="20" t="s">
        <v>122</v>
      </c>
      <c r="D147" s="20" t="s">
        <v>123</v>
      </c>
      <c r="E147" s="20" t="s">
        <v>124</v>
      </c>
      <c r="F147" s="21" t="n">
        <v>4248.1</v>
      </c>
      <c r="G147" s="21" t="n">
        <v>4543.44</v>
      </c>
      <c r="H147" s="21" t="n">
        <v>5019.65</v>
      </c>
      <c r="I147" s="21" t="n">
        <v>5252.21</v>
      </c>
      <c r="J147" s="21" t="n">
        <v>5922.34</v>
      </c>
      <c r="K147" s="21" t="n">
        <v>6072.52</v>
      </c>
      <c r="L147" s="21" t="n">
        <v>6248.21</v>
      </c>
      <c r="M147" s="21" t="n">
        <v>6473.04</v>
      </c>
      <c r="N147" s="21" t="n">
        <v>6574.42</v>
      </c>
      <c r="O147" s="21" t="n">
        <v>6738.8</v>
      </c>
      <c r="P147" s="21" t="n">
        <v>6940.78</v>
      </c>
      <c r="Q147" s="21" t="n">
        <v>7146.89</v>
      </c>
      <c r="R147" s="21" t="n">
        <v>7318.79</v>
      </c>
      <c r="S147" s="21" t="n">
        <v>7463.7</v>
      </c>
      <c r="T147" s="21" t="n">
        <v>7622.26</v>
      </c>
      <c r="U147" s="20"/>
      <c r="V147" s="20" t="s">
        <v>125</v>
      </c>
      <c r="W147" s="20" t="s">
        <v>97</v>
      </c>
      <c r="X147" s="20"/>
      <c r="Y147" s="20" t="s">
        <v>98</v>
      </c>
      <c r="Z147" s="20" t="s">
        <v>126</v>
      </c>
      <c r="AA147" s="20" t="s">
        <v>127</v>
      </c>
      <c r="AB147" s="20" t="s">
        <v>128</v>
      </c>
      <c r="AC147" s="20" t="s">
        <v>129</v>
      </c>
      <c r="AD147" s="20" t="s">
        <v>169</v>
      </c>
      <c r="AE147" s="20" t="s">
        <v>143</v>
      </c>
    </row>
    <row r="148" customFormat="false" ht="15" hidden="false" customHeight="false" outlineLevel="0" collapsed="false">
      <c r="A148" s="20" t="s">
        <v>168</v>
      </c>
      <c r="B148" s="20" t="s">
        <v>71</v>
      </c>
      <c r="C148" s="20" t="s">
        <v>122</v>
      </c>
      <c r="D148" s="20" t="s">
        <v>123</v>
      </c>
      <c r="E148" s="20" t="s">
        <v>124</v>
      </c>
      <c r="F148" s="21" t="n">
        <v>37126.52</v>
      </c>
      <c r="G148" s="21" t="n">
        <v>50380.5</v>
      </c>
      <c r="H148" s="21" t="n">
        <v>64586.95</v>
      </c>
      <c r="I148" s="21" t="n">
        <v>68748.23</v>
      </c>
      <c r="J148" s="21" t="n">
        <v>64013.43</v>
      </c>
      <c r="K148" s="21" t="n">
        <v>61591.23</v>
      </c>
      <c r="L148" s="21" t="n">
        <v>61064.63</v>
      </c>
      <c r="M148" s="21" t="n">
        <v>61013.61</v>
      </c>
      <c r="N148" s="21" t="n">
        <v>61394.16</v>
      </c>
      <c r="O148" s="21" t="n">
        <v>62683.36</v>
      </c>
      <c r="P148" s="21" t="n">
        <v>63834.32</v>
      </c>
      <c r="Q148" s="21" t="n">
        <v>63643.21</v>
      </c>
      <c r="R148" s="21" t="n">
        <v>64148.59</v>
      </c>
      <c r="S148" s="21" t="n">
        <v>65526.16</v>
      </c>
      <c r="T148" s="21" t="n">
        <v>67065.17</v>
      </c>
      <c r="U148" s="20"/>
      <c r="V148" s="20" t="s">
        <v>125</v>
      </c>
      <c r="W148" s="20" t="s">
        <v>97</v>
      </c>
      <c r="X148" s="20"/>
      <c r="Y148" s="20" t="s">
        <v>98</v>
      </c>
      <c r="Z148" s="20" t="s">
        <v>126</v>
      </c>
      <c r="AA148" s="20" t="s">
        <v>127</v>
      </c>
      <c r="AB148" s="20" t="s">
        <v>128</v>
      </c>
      <c r="AC148" s="20" t="s">
        <v>129</v>
      </c>
      <c r="AD148" s="20" t="s">
        <v>169</v>
      </c>
      <c r="AE148" s="20" t="s">
        <v>144</v>
      </c>
    </row>
    <row r="149" customFormat="false" ht="15" hidden="false" customHeight="false" outlineLevel="0" collapsed="false">
      <c r="A149" s="20" t="s">
        <v>168</v>
      </c>
      <c r="B149" s="20" t="s">
        <v>78</v>
      </c>
      <c r="C149" s="20" t="s">
        <v>122</v>
      </c>
      <c r="D149" s="20" t="s">
        <v>123</v>
      </c>
      <c r="E149" s="20" t="s">
        <v>124</v>
      </c>
      <c r="F149" s="21" t="n">
        <v>11445.85</v>
      </c>
      <c r="G149" s="21" t="n">
        <v>12673.32</v>
      </c>
      <c r="H149" s="21" t="n">
        <v>14291.68</v>
      </c>
      <c r="I149" s="21" t="n">
        <v>14505.8</v>
      </c>
      <c r="J149" s="21" t="n">
        <v>14994.64</v>
      </c>
      <c r="K149" s="21" t="n">
        <v>15717.77</v>
      </c>
      <c r="L149" s="21" t="n">
        <v>16171.7</v>
      </c>
      <c r="M149" s="21" t="n">
        <v>16542.34</v>
      </c>
      <c r="N149" s="21" t="n">
        <v>16757.01</v>
      </c>
      <c r="O149" s="21" t="n">
        <v>17119.72</v>
      </c>
      <c r="P149" s="21" t="n">
        <v>17912.18</v>
      </c>
      <c r="Q149" s="21" t="n">
        <v>18434.62</v>
      </c>
      <c r="R149" s="21" t="n">
        <v>18702.64</v>
      </c>
      <c r="S149" s="21" t="n">
        <v>19202.68</v>
      </c>
      <c r="T149" s="21" t="n">
        <v>19513.71</v>
      </c>
      <c r="U149" s="20"/>
      <c r="V149" s="20" t="s">
        <v>125</v>
      </c>
      <c r="W149" s="20" t="s">
        <v>97</v>
      </c>
      <c r="X149" s="20"/>
      <c r="Y149" s="20" t="s">
        <v>98</v>
      </c>
      <c r="Z149" s="20" t="s">
        <v>126</v>
      </c>
      <c r="AA149" s="20" t="s">
        <v>127</v>
      </c>
      <c r="AB149" s="20" t="s">
        <v>128</v>
      </c>
      <c r="AC149" s="20" t="s">
        <v>129</v>
      </c>
      <c r="AD149" s="20" t="s">
        <v>169</v>
      </c>
      <c r="AE149" s="20" t="s">
        <v>145</v>
      </c>
    </row>
    <row r="150" customFormat="false" ht="15" hidden="false" customHeight="false" outlineLevel="0" collapsed="false">
      <c r="A150" s="20" t="s">
        <v>168</v>
      </c>
      <c r="B150" s="20" t="s">
        <v>146</v>
      </c>
      <c r="C150" s="20" t="s">
        <v>122</v>
      </c>
      <c r="D150" s="20" t="s">
        <v>123</v>
      </c>
      <c r="E150" s="20" t="s">
        <v>124</v>
      </c>
      <c r="F150" s="21" t="n">
        <v>508.98</v>
      </c>
      <c r="G150" s="21" t="n">
        <v>606.9</v>
      </c>
      <c r="H150" s="21" t="n">
        <v>812.5</v>
      </c>
      <c r="I150" s="21" t="n">
        <v>885.86</v>
      </c>
      <c r="J150" s="21" t="n">
        <v>958</v>
      </c>
      <c r="K150" s="21" t="n">
        <v>963.93</v>
      </c>
      <c r="L150" s="21" t="n">
        <v>965.25</v>
      </c>
      <c r="M150" s="21" t="n">
        <v>1000.1</v>
      </c>
      <c r="N150" s="21" t="n">
        <v>1016.22</v>
      </c>
      <c r="O150" s="21" t="n">
        <v>1044.42</v>
      </c>
      <c r="P150" s="21" t="n">
        <v>1082.79</v>
      </c>
      <c r="Q150" s="21" t="n">
        <v>1119.78</v>
      </c>
      <c r="R150" s="21" t="n">
        <v>1152.88</v>
      </c>
      <c r="S150" s="21" t="n">
        <v>1180.65</v>
      </c>
      <c r="T150" s="21" t="n">
        <v>1208.24</v>
      </c>
      <c r="U150" s="20"/>
      <c r="V150" s="20" t="s">
        <v>125</v>
      </c>
      <c r="W150" s="20" t="s">
        <v>97</v>
      </c>
      <c r="X150" s="20"/>
      <c r="Y150" s="20" t="s">
        <v>98</v>
      </c>
      <c r="Z150" s="20" t="s">
        <v>126</v>
      </c>
      <c r="AA150" s="20" t="s">
        <v>127</v>
      </c>
      <c r="AB150" s="20" t="s">
        <v>128</v>
      </c>
      <c r="AC150" s="20" t="s">
        <v>129</v>
      </c>
      <c r="AD150" s="20" t="s">
        <v>169</v>
      </c>
      <c r="AE150" s="20" t="s">
        <v>147</v>
      </c>
    </row>
    <row r="151" customFormat="false" ht="15" hidden="false" customHeight="false" outlineLevel="0" collapsed="false">
      <c r="A151" s="20" t="s">
        <v>170</v>
      </c>
      <c r="B151" s="20" t="s">
        <v>121</v>
      </c>
      <c r="C151" s="20" t="s">
        <v>122</v>
      </c>
      <c r="D151" s="20" t="s">
        <v>123</v>
      </c>
      <c r="E151" s="20" t="s">
        <v>124</v>
      </c>
      <c r="F151" s="21" t="n">
        <v>347.44</v>
      </c>
      <c r="G151" s="21" t="n">
        <v>337.48</v>
      </c>
      <c r="H151" s="21" t="n">
        <v>371.49</v>
      </c>
      <c r="I151" s="21" t="n">
        <v>374.59</v>
      </c>
      <c r="J151" s="21" t="n">
        <v>355.58</v>
      </c>
      <c r="K151" s="21" t="n">
        <v>357.05</v>
      </c>
      <c r="L151" s="21" t="n">
        <v>357.1</v>
      </c>
      <c r="M151" s="21" t="n">
        <v>364.1</v>
      </c>
      <c r="N151" s="21" t="n">
        <v>376.45</v>
      </c>
      <c r="O151" s="21" t="n">
        <v>393.56</v>
      </c>
      <c r="P151" s="21" t="n">
        <v>412.68</v>
      </c>
      <c r="Q151" s="21" t="n">
        <v>426.65</v>
      </c>
      <c r="R151" s="21" t="n">
        <v>440.44</v>
      </c>
      <c r="S151" s="21" t="n">
        <v>456.36</v>
      </c>
      <c r="T151" s="21" t="n">
        <v>467.08</v>
      </c>
      <c r="U151" s="20"/>
      <c r="V151" s="20" t="s">
        <v>125</v>
      </c>
      <c r="W151" s="20" t="s">
        <v>97</v>
      </c>
      <c r="X151" s="20"/>
      <c r="Y151" s="20" t="s">
        <v>98</v>
      </c>
      <c r="Z151" s="20" t="s">
        <v>126</v>
      </c>
      <c r="AA151" s="20" t="s">
        <v>127</v>
      </c>
      <c r="AB151" s="20" t="s">
        <v>128</v>
      </c>
      <c r="AC151" s="20" t="s">
        <v>129</v>
      </c>
      <c r="AD151" s="20" t="s">
        <v>171</v>
      </c>
      <c r="AE151" s="20" t="s">
        <v>131</v>
      </c>
    </row>
    <row r="152" customFormat="false" ht="15" hidden="false" customHeight="false" outlineLevel="0" collapsed="false">
      <c r="A152" s="20" t="s">
        <v>170</v>
      </c>
      <c r="B152" s="20" t="s">
        <v>132</v>
      </c>
      <c r="C152" s="20" t="s">
        <v>122</v>
      </c>
      <c r="D152" s="20" t="s">
        <v>123</v>
      </c>
      <c r="E152" s="20" t="s">
        <v>124</v>
      </c>
      <c r="F152" s="21" t="n">
        <v>2105.53</v>
      </c>
      <c r="G152" s="21" t="n">
        <v>2392.49</v>
      </c>
      <c r="H152" s="21" t="n">
        <v>2520.98</v>
      </c>
      <c r="I152" s="21" t="n">
        <v>2606.58</v>
      </c>
      <c r="J152" s="21" t="n">
        <v>2486.1</v>
      </c>
      <c r="K152" s="21" t="n">
        <v>2499.86</v>
      </c>
      <c r="L152" s="21" t="n">
        <v>2558.53</v>
      </c>
      <c r="M152" s="21" t="n">
        <v>2617.99</v>
      </c>
      <c r="N152" s="21" t="n">
        <v>2666.88</v>
      </c>
      <c r="O152" s="21" t="n">
        <v>2728.8</v>
      </c>
      <c r="P152" s="21" t="n">
        <v>2786.6</v>
      </c>
      <c r="Q152" s="21" t="n">
        <v>2863.99</v>
      </c>
      <c r="R152" s="21" t="n">
        <v>2939.76</v>
      </c>
      <c r="S152" s="21" t="n">
        <v>2999.39</v>
      </c>
      <c r="T152" s="21" t="n">
        <v>3054.46</v>
      </c>
      <c r="U152" s="20"/>
      <c r="V152" s="20" t="s">
        <v>125</v>
      </c>
      <c r="W152" s="20" t="s">
        <v>97</v>
      </c>
      <c r="X152" s="20"/>
      <c r="Y152" s="20" t="s">
        <v>98</v>
      </c>
      <c r="Z152" s="20" t="s">
        <v>126</v>
      </c>
      <c r="AA152" s="20" t="s">
        <v>127</v>
      </c>
      <c r="AB152" s="20" t="s">
        <v>128</v>
      </c>
      <c r="AC152" s="20" t="s">
        <v>129</v>
      </c>
      <c r="AD152" s="20" t="s">
        <v>171</v>
      </c>
      <c r="AE152" s="20" t="s">
        <v>133</v>
      </c>
    </row>
    <row r="153" customFormat="false" ht="15" hidden="false" customHeight="false" outlineLevel="0" collapsed="false">
      <c r="A153" s="20" t="s">
        <v>170</v>
      </c>
      <c r="B153" s="20" t="s">
        <v>134</v>
      </c>
      <c r="C153" s="20" t="s">
        <v>122</v>
      </c>
      <c r="D153" s="20" t="s">
        <v>123</v>
      </c>
      <c r="E153" s="20" t="s">
        <v>124</v>
      </c>
      <c r="F153" s="21" t="n">
        <v>2017.11</v>
      </c>
      <c r="G153" s="21" t="n">
        <v>2027.2</v>
      </c>
      <c r="H153" s="21" t="n">
        <v>2295.83</v>
      </c>
      <c r="I153" s="21" t="n">
        <v>2337.29</v>
      </c>
      <c r="J153" s="21" t="n">
        <v>2234.6</v>
      </c>
      <c r="K153" s="21" t="n">
        <v>2235.32</v>
      </c>
      <c r="L153" s="21" t="n">
        <v>2255.33</v>
      </c>
      <c r="M153" s="21" t="n">
        <v>2342.51</v>
      </c>
      <c r="N153" s="21" t="n">
        <v>2434.36</v>
      </c>
      <c r="O153" s="21" t="n">
        <v>2526.6</v>
      </c>
      <c r="P153" s="21" t="n">
        <v>2634.11</v>
      </c>
      <c r="Q153" s="21" t="n">
        <v>2709.59</v>
      </c>
      <c r="R153" s="21" t="n">
        <v>2786.04</v>
      </c>
      <c r="S153" s="21" t="n">
        <v>2879.62</v>
      </c>
      <c r="T153" s="21" t="n">
        <v>2920.65</v>
      </c>
      <c r="U153" s="20"/>
      <c r="V153" s="20" t="s">
        <v>125</v>
      </c>
      <c r="W153" s="20" t="s">
        <v>97</v>
      </c>
      <c r="X153" s="20"/>
      <c r="Y153" s="20" t="s">
        <v>98</v>
      </c>
      <c r="Z153" s="20" t="s">
        <v>126</v>
      </c>
      <c r="AA153" s="20" t="s">
        <v>127</v>
      </c>
      <c r="AB153" s="20" t="s">
        <v>128</v>
      </c>
      <c r="AC153" s="20" t="s">
        <v>129</v>
      </c>
      <c r="AD153" s="20" t="s">
        <v>171</v>
      </c>
      <c r="AE153" s="20" t="s">
        <v>135</v>
      </c>
    </row>
    <row r="154" customFormat="false" ht="15" hidden="false" customHeight="false" outlineLevel="0" collapsed="false">
      <c r="A154" s="20" t="s">
        <v>170</v>
      </c>
      <c r="B154" s="20" t="s">
        <v>136</v>
      </c>
      <c r="C154" s="20" t="s">
        <v>122</v>
      </c>
      <c r="D154" s="20" t="s">
        <v>123</v>
      </c>
      <c r="E154" s="20" t="s">
        <v>124</v>
      </c>
      <c r="F154" s="21" t="n">
        <v>1000.15</v>
      </c>
      <c r="G154" s="21" t="n">
        <v>1067.93</v>
      </c>
      <c r="H154" s="21" t="n">
        <v>1011.74</v>
      </c>
      <c r="I154" s="21" t="n">
        <v>955.29</v>
      </c>
      <c r="J154" s="21" t="n">
        <v>864.08</v>
      </c>
      <c r="K154" s="21" t="n">
        <v>876.98</v>
      </c>
      <c r="L154" s="21" t="n">
        <v>912.05</v>
      </c>
      <c r="M154" s="21" t="n">
        <v>926.16</v>
      </c>
      <c r="N154" s="21" t="n">
        <v>936.14</v>
      </c>
      <c r="O154" s="21" t="n">
        <v>949.06</v>
      </c>
      <c r="P154" s="21" t="n">
        <v>958.87</v>
      </c>
      <c r="Q154" s="21" t="n">
        <v>973</v>
      </c>
      <c r="R154" s="21" t="n">
        <v>986.65</v>
      </c>
      <c r="S154" s="21" t="n">
        <v>996.28</v>
      </c>
      <c r="T154" s="21" t="n">
        <v>1005.05</v>
      </c>
      <c r="U154" s="20"/>
      <c r="V154" s="20" t="s">
        <v>125</v>
      </c>
      <c r="W154" s="20" t="s">
        <v>97</v>
      </c>
      <c r="X154" s="20"/>
      <c r="Y154" s="20" t="s">
        <v>98</v>
      </c>
      <c r="Z154" s="20" t="s">
        <v>126</v>
      </c>
      <c r="AA154" s="20" t="s">
        <v>127</v>
      </c>
      <c r="AB154" s="20" t="s">
        <v>128</v>
      </c>
      <c r="AC154" s="20" t="s">
        <v>129</v>
      </c>
      <c r="AD154" s="20" t="s">
        <v>171</v>
      </c>
      <c r="AE154" s="20" t="s">
        <v>137</v>
      </c>
    </row>
    <row r="155" customFormat="false" ht="15" hidden="false" customHeight="false" outlineLevel="0" collapsed="false">
      <c r="A155" s="20" t="s">
        <v>170</v>
      </c>
      <c r="B155" s="20" t="s">
        <v>60</v>
      </c>
      <c r="C155" s="20" t="s">
        <v>122</v>
      </c>
      <c r="D155" s="20" t="s">
        <v>123</v>
      </c>
      <c r="E155" s="20" t="s">
        <v>124</v>
      </c>
      <c r="F155" s="21" t="n">
        <v>20413.19</v>
      </c>
      <c r="G155" s="21" t="n">
        <v>22328.2</v>
      </c>
      <c r="H155" s="21" t="n">
        <v>22927.47</v>
      </c>
      <c r="I155" s="21" t="n">
        <v>22167.54</v>
      </c>
      <c r="J155" s="21" t="n">
        <v>21274.81</v>
      </c>
      <c r="K155" s="21" t="n">
        <v>21557.5</v>
      </c>
      <c r="L155" s="21" t="n">
        <v>22181.62</v>
      </c>
      <c r="M155" s="21" t="n">
        <v>22315.39</v>
      </c>
      <c r="N155" s="21" t="n">
        <v>22847.52</v>
      </c>
      <c r="O155" s="21" t="n">
        <v>23490.63</v>
      </c>
      <c r="P155" s="21" t="n">
        <v>24130.88</v>
      </c>
      <c r="Q155" s="21" t="n">
        <v>24601.82</v>
      </c>
      <c r="R155" s="21" t="n">
        <v>24956.13</v>
      </c>
      <c r="S155" s="21" t="n">
        <v>25202.57</v>
      </c>
      <c r="T155" s="21" t="n">
        <v>25439.79</v>
      </c>
      <c r="U155" s="20"/>
      <c r="V155" s="20" t="s">
        <v>125</v>
      </c>
      <c r="W155" s="20" t="s">
        <v>97</v>
      </c>
      <c r="X155" s="20"/>
      <c r="Y155" s="20" t="s">
        <v>98</v>
      </c>
      <c r="Z155" s="20" t="s">
        <v>126</v>
      </c>
      <c r="AA155" s="20" t="s">
        <v>127</v>
      </c>
      <c r="AB155" s="20" t="s">
        <v>128</v>
      </c>
      <c r="AC155" s="20" t="s">
        <v>129</v>
      </c>
      <c r="AD155" s="20" t="s">
        <v>171</v>
      </c>
      <c r="AE155" s="20" t="s">
        <v>138</v>
      </c>
    </row>
    <row r="156" customFormat="false" ht="15" hidden="false" customHeight="false" outlineLevel="0" collapsed="false">
      <c r="A156" s="20" t="s">
        <v>170</v>
      </c>
      <c r="B156" s="20" t="s">
        <v>139</v>
      </c>
      <c r="C156" s="20" t="s">
        <v>122</v>
      </c>
      <c r="D156" s="20" t="s">
        <v>123</v>
      </c>
      <c r="E156" s="20" t="s">
        <v>124</v>
      </c>
      <c r="F156" s="21" t="n">
        <v>1912.14</v>
      </c>
      <c r="G156" s="21" t="n">
        <v>1864.89</v>
      </c>
      <c r="H156" s="21" t="n">
        <v>2059.29</v>
      </c>
      <c r="I156" s="21" t="n">
        <v>2054.49</v>
      </c>
      <c r="J156" s="21" t="n">
        <v>1912.23</v>
      </c>
      <c r="K156" s="21" t="n">
        <v>1921.76</v>
      </c>
      <c r="L156" s="21" t="n">
        <v>1931.78</v>
      </c>
      <c r="M156" s="21" t="n">
        <v>1951.76</v>
      </c>
      <c r="N156" s="21" t="n">
        <v>2004.74</v>
      </c>
      <c r="O156" s="21" t="n">
        <v>2077.52</v>
      </c>
      <c r="P156" s="21" t="n">
        <v>2171.34</v>
      </c>
      <c r="Q156" s="21" t="n">
        <v>2228.23</v>
      </c>
      <c r="R156" s="21" t="n">
        <v>2275.49</v>
      </c>
      <c r="S156" s="21" t="n">
        <v>2345.15</v>
      </c>
      <c r="T156" s="21" t="n">
        <v>2378.44</v>
      </c>
      <c r="U156" s="20"/>
      <c r="V156" s="20" t="s">
        <v>125</v>
      </c>
      <c r="W156" s="20" t="s">
        <v>97</v>
      </c>
      <c r="X156" s="20"/>
      <c r="Y156" s="20" t="s">
        <v>98</v>
      </c>
      <c r="Z156" s="20" t="s">
        <v>126</v>
      </c>
      <c r="AA156" s="20" t="s">
        <v>127</v>
      </c>
      <c r="AB156" s="20" t="s">
        <v>128</v>
      </c>
      <c r="AC156" s="20" t="s">
        <v>129</v>
      </c>
      <c r="AD156" s="20" t="s">
        <v>171</v>
      </c>
      <c r="AE156" s="20" t="s">
        <v>140</v>
      </c>
    </row>
    <row r="157" customFormat="false" ht="15" hidden="false" customHeight="false" outlineLevel="0" collapsed="false">
      <c r="A157" s="20" t="s">
        <v>170</v>
      </c>
      <c r="B157" s="20" t="s">
        <v>67</v>
      </c>
      <c r="C157" s="20" t="s">
        <v>122</v>
      </c>
      <c r="D157" s="20" t="s">
        <v>123</v>
      </c>
      <c r="E157" s="20" t="s">
        <v>124</v>
      </c>
      <c r="F157" s="21" t="n">
        <v>8324.93</v>
      </c>
      <c r="G157" s="21" t="n">
        <v>9309.14</v>
      </c>
      <c r="H157" s="21" t="n">
        <v>10420.12</v>
      </c>
      <c r="I157" s="21" t="n">
        <v>10998.27</v>
      </c>
      <c r="J157" s="21" t="n">
        <v>10220.12</v>
      </c>
      <c r="K157" s="21" t="n">
        <v>10295.11</v>
      </c>
      <c r="L157" s="21" t="n">
        <v>10596.68</v>
      </c>
      <c r="M157" s="21" t="n">
        <v>10761.41</v>
      </c>
      <c r="N157" s="21" t="n">
        <v>11022.96</v>
      </c>
      <c r="O157" s="21" t="n">
        <v>11337.7</v>
      </c>
      <c r="P157" s="21" t="n">
        <v>11655.15</v>
      </c>
      <c r="Q157" s="21" t="n">
        <v>11845.42</v>
      </c>
      <c r="R157" s="21" t="n">
        <v>11952.87</v>
      </c>
      <c r="S157" s="21" t="n">
        <v>12040.7</v>
      </c>
      <c r="T157" s="21" t="n">
        <v>12126.9</v>
      </c>
      <c r="U157" s="20"/>
      <c r="V157" s="20" t="s">
        <v>125</v>
      </c>
      <c r="W157" s="20" t="s">
        <v>97</v>
      </c>
      <c r="X157" s="20"/>
      <c r="Y157" s="20" t="s">
        <v>98</v>
      </c>
      <c r="Z157" s="20" t="s">
        <v>126</v>
      </c>
      <c r="AA157" s="20" t="s">
        <v>127</v>
      </c>
      <c r="AB157" s="20" t="s">
        <v>128</v>
      </c>
      <c r="AC157" s="20" t="s">
        <v>129</v>
      </c>
      <c r="AD157" s="20" t="s">
        <v>171</v>
      </c>
      <c r="AE157" s="20" t="s">
        <v>141</v>
      </c>
    </row>
    <row r="158" customFormat="false" ht="15" hidden="false" customHeight="false" outlineLevel="0" collapsed="false">
      <c r="A158" s="20" t="s">
        <v>170</v>
      </c>
      <c r="B158" s="20" t="s">
        <v>64</v>
      </c>
      <c r="C158" s="20" t="s">
        <v>122</v>
      </c>
      <c r="D158" s="20" t="s">
        <v>123</v>
      </c>
      <c r="E158" s="20" t="s">
        <v>124</v>
      </c>
      <c r="F158" s="21" t="n">
        <v>20693.18</v>
      </c>
      <c r="G158" s="21" t="n">
        <v>20746.67</v>
      </c>
      <c r="H158" s="21" t="n">
        <v>21959.36</v>
      </c>
      <c r="I158" s="21" t="n">
        <v>23448.82</v>
      </c>
      <c r="J158" s="21" t="n">
        <v>23897.59</v>
      </c>
      <c r="K158" s="21" t="n">
        <v>23907.84</v>
      </c>
      <c r="L158" s="21" t="n">
        <v>24205.16</v>
      </c>
      <c r="M158" s="21" t="n">
        <v>24790.18</v>
      </c>
      <c r="N158" s="21" t="n">
        <v>26192.2</v>
      </c>
      <c r="O158" s="21" t="n">
        <v>27432</v>
      </c>
      <c r="P158" s="21" t="n">
        <v>28371.6</v>
      </c>
      <c r="Q158" s="21" t="n">
        <v>28958.47</v>
      </c>
      <c r="R158" s="21" t="n">
        <v>29405.12</v>
      </c>
      <c r="S158" s="21" t="n">
        <v>29870.42</v>
      </c>
      <c r="T158" s="21" t="n">
        <v>30213.39</v>
      </c>
      <c r="U158" s="20"/>
      <c r="V158" s="20" t="s">
        <v>125</v>
      </c>
      <c r="W158" s="20" t="s">
        <v>97</v>
      </c>
      <c r="X158" s="20"/>
      <c r="Y158" s="20" t="s">
        <v>98</v>
      </c>
      <c r="Z158" s="20" t="s">
        <v>126</v>
      </c>
      <c r="AA158" s="20" t="s">
        <v>127</v>
      </c>
      <c r="AB158" s="20" t="s">
        <v>128</v>
      </c>
      <c r="AC158" s="20" t="s">
        <v>129</v>
      </c>
      <c r="AD158" s="20" t="s">
        <v>171</v>
      </c>
      <c r="AE158" s="20" t="s">
        <v>142</v>
      </c>
    </row>
    <row r="159" customFormat="false" ht="15" hidden="false" customHeight="false" outlineLevel="0" collapsed="false">
      <c r="A159" s="20" t="s">
        <v>170</v>
      </c>
      <c r="B159" s="20" t="s">
        <v>74</v>
      </c>
      <c r="C159" s="20" t="s">
        <v>122</v>
      </c>
      <c r="D159" s="20" t="s">
        <v>123</v>
      </c>
      <c r="E159" s="20" t="s">
        <v>124</v>
      </c>
      <c r="F159" s="21" t="n">
        <v>3265.05</v>
      </c>
      <c r="G159" s="21" t="n">
        <v>3651.65</v>
      </c>
      <c r="H159" s="21" t="n">
        <v>3849.1</v>
      </c>
      <c r="I159" s="21" t="n">
        <v>3912.95</v>
      </c>
      <c r="J159" s="21" t="n">
        <v>3680.73</v>
      </c>
      <c r="K159" s="21" t="n">
        <v>3699.5</v>
      </c>
      <c r="L159" s="21" t="n">
        <v>3788.21</v>
      </c>
      <c r="M159" s="21" t="n">
        <v>3864.83</v>
      </c>
      <c r="N159" s="21" t="n">
        <v>3927.02</v>
      </c>
      <c r="O159" s="21" t="n">
        <v>4010.73</v>
      </c>
      <c r="P159" s="21" t="n">
        <v>4087.94</v>
      </c>
      <c r="Q159" s="21" t="n">
        <v>4188.25</v>
      </c>
      <c r="R159" s="21" t="n">
        <v>4285.2</v>
      </c>
      <c r="S159" s="21" t="n">
        <v>4359.11</v>
      </c>
      <c r="T159" s="21" t="n">
        <v>4426.53</v>
      </c>
      <c r="U159" s="20"/>
      <c r="V159" s="20" t="s">
        <v>125</v>
      </c>
      <c r="W159" s="20" t="s">
        <v>97</v>
      </c>
      <c r="X159" s="20"/>
      <c r="Y159" s="20" t="s">
        <v>98</v>
      </c>
      <c r="Z159" s="20" t="s">
        <v>126</v>
      </c>
      <c r="AA159" s="20" t="s">
        <v>127</v>
      </c>
      <c r="AB159" s="20" t="s">
        <v>128</v>
      </c>
      <c r="AC159" s="20" t="s">
        <v>129</v>
      </c>
      <c r="AD159" s="20" t="s">
        <v>171</v>
      </c>
      <c r="AE159" s="20" t="s">
        <v>143</v>
      </c>
    </row>
    <row r="160" customFormat="false" ht="15" hidden="false" customHeight="false" outlineLevel="0" collapsed="false">
      <c r="A160" s="20" t="s">
        <v>170</v>
      </c>
      <c r="B160" s="20" t="s">
        <v>71</v>
      </c>
      <c r="C160" s="20" t="s">
        <v>122</v>
      </c>
      <c r="D160" s="20" t="s">
        <v>123</v>
      </c>
      <c r="E160" s="20" t="s">
        <v>124</v>
      </c>
      <c r="F160" s="21" t="n">
        <v>5920.44</v>
      </c>
      <c r="G160" s="21" t="n">
        <v>5663.64</v>
      </c>
      <c r="H160" s="21" t="n">
        <v>5525.57</v>
      </c>
      <c r="I160" s="21" t="n">
        <v>5274.07</v>
      </c>
      <c r="J160" s="21" t="n">
        <v>5954.23</v>
      </c>
      <c r="K160" s="21" t="n">
        <v>6040.97</v>
      </c>
      <c r="L160" s="21" t="n">
        <v>6277.69</v>
      </c>
      <c r="M160" s="21" t="n">
        <v>6442.73</v>
      </c>
      <c r="N160" s="21" t="n">
        <v>6803.74</v>
      </c>
      <c r="O160" s="21" t="n">
        <v>7208.15</v>
      </c>
      <c r="P160" s="21" t="n">
        <v>7454.72</v>
      </c>
      <c r="Q160" s="21" t="n">
        <v>7669.82</v>
      </c>
      <c r="R160" s="21" t="n">
        <v>7884.05</v>
      </c>
      <c r="S160" s="21" t="n">
        <v>8075.75</v>
      </c>
      <c r="T160" s="21" t="n">
        <v>8237.95</v>
      </c>
      <c r="U160" s="20"/>
      <c r="V160" s="20" t="s">
        <v>125</v>
      </c>
      <c r="W160" s="20" t="s">
        <v>97</v>
      </c>
      <c r="X160" s="20"/>
      <c r="Y160" s="20" t="s">
        <v>98</v>
      </c>
      <c r="Z160" s="20" t="s">
        <v>126</v>
      </c>
      <c r="AA160" s="20" t="s">
        <v>127</v>
      </c>
      <c r="AB160" s="20" t="s">
        <v>128</v>
      </c>
      <c r="AC160" s="20" t="s">
        <v>129</v>
      </c>
      <c r="AD160" s="20" t="s">
        <v>171</v>
      </c>
      <c r="AE160" s="20" t="s">
        <v>144</v>
      </c>
    </row>
    <row r="161" customFormat="false" ht="15" hidden="false" customHeight="false" outlineLevel="0" collapsed="false">
      <c r="A161" s="20" t="s">
        <v>170</v>
      </c>
      <c r="B161" s="20" t="s">
        <v>78</v>
      </c>
      <c r="C161" s="20" t="s">
        <v>122</v>
      </c>
      <c r="D161" s="20" t="s">
        <v>123</v>
      </c>
      <c r="E161" s="20" t="s">
        <v>124</v>
      </c>
      <c r="F161" s="21" t="n">
        <v>4276.7</v>
      </c>
      <c r="G161" s="21" t="n">
        <v>4229.57</v>
      </c>
      <c r="H161" s="21" t="n">
        <v>4726.61</v>
      </c>
      <c r="I161" s="21" t="n">
        <v>4766.38</v>
      </c>
      <c r="J161" s="21" t="n">
        <v>4502.41</v>
      </c>
      <c r="K161" s="21" t="n">
        <v>4514.14</v>
      </c>
      <c r="L161" s="21" t="n">
        <v>4544.21</v>
      </c>
      <c r="M161" s="21" t="n">
        <v>4658.36</v>
      </c>
      <c r="N161" s="21" t="n">
        <v>4815.55</v>
      </c>
      <c r="O161" s="21" t="n">
        <v>4997.68</v>
      </c>
      <c r="P161" s="21" t="n">
        <v>5218.13</v>
      </c>
      <c r="Q161" s="21" t="n">
        <v>5364.47</v>
      </c>
      <c r="R161" s="21" t="n">
        <v>5501.98</v>
      </c>
      <c r="S161" s="21" t="n">
        <v>5681.14</v>
      </c>
      <c r="T161" s="21" t="n">
        <v>5766.18</v>
      </c>
      <c r="U161" s="20"/>
      <c r="V161" s="20" t="s">
        <v>125</v>
      </c>
      <c r="W161" s="20" t="s">
        <v>97</v>
      </c>
      <c r="X161" s="20"/>
      <c r="Y161" s="20" t="s">
        <v>98</v>
      </c>
      <c r="Z161" s="20" t="s">
        <v>126</v>
      </c>
      <c r="AA161" s="20" t="s">
        <v>127</v>
      </c>
      <c r="AB161" s="20" t="s">
        <v>128</v>
      </c>
      <c r="AC161" s="20" t="s">
        <v>129</v>
      </c>
      <c r="AD161" s="20" t="s">
        <v>171</v>
      </c>
      <c r="AE161" s="20" t="s">
        <v>145</v>
      </c>
    </row>
    <row r="162" customFormat="false" ht="15" hidden="false" customHeight="false" outlineLevel="0" collapsed="false">
      <c r="A162" s="20" t="s">
        <v>170</v>
      </c>
      <c r="B162" s="20" t="s">
        <v>146</v>
      </c>
      <c r="C162" s="20" t="s">
        <v>122</v>
      </c>
      <c r="D162" s="20" t="s">
        <v>123</v>
      </c>
      <c r="E162" s="20" t="s">
        <v>124</v>
      </c>
      <c r="F162" s="21" t="n">
        <v>159.37</v>
      </c>
      <c r="G162" s="21" t="n">
        <v>191.23</v>
      </c>
      <c r="H162" s="21" t="n">
        <v>316.38</v>
      </c>
      <c r="I162" s="21" t="n">
        <v>351.08</v>
      </c>
      <c r="J162" s="21" t="n">
        <v>330.55</v>
      </c>
      <c r="K162" s="21" t="n">
        <v>322.65</v>
      </c>
      <c r="L162" s="21" t="n">
        <v>317.62</v>
      </c>
      <c r="M162" s="21" t="n">
        <v>320.67</v>
      </c>
      <c r="N162" s="21" t="n">
        <v>324</v>
      </c>
      <c r="O162" s="21" t="n">
        <v>332.86</v>
      </c>
      <c r="P162" s="21" t="n">
        <v>342.47</v>
      </c>
      <c r="Q162" s="21" t="n">
        <v>351.27</v>
      </c>
      <c r="R162" s="21" t="n">
        <v>358.79</v>
      </c>
      <c r="S162" s="21" t="n">
        <v>363.44</v>
      </c>
      <c r="T162" s="21" t="n">
        <v>367.02</v>
      </c>
      <c r="U162" s="20"/>
      <c r="V162" s="20" t="s">
        <v>125</v>
      </c>
      <c r="W162" s="20" t="s">
        <v>97</v>
      </c>
      <c r="X162" s="20"/>
      <c r="Y162" s="20" t="s">
        <v>98</v>
      </c>
      <c r="Z162" s="20" t="s">
        <v>126</v>
      </c>
      <c r="AA162" s="20" t="s">
        <v>127</v>
      </c>
      <c r="AB162" s="20" t="s">
        <v>128</v>
      </c>
      <c r="AC162" s="20" t="s">
        <v>129</v>
      </c>
      <c r="AD162" s="20" t="s">
        <v>171</v>
      </c>
      <c r="AE162" s="20" t="s">
        <v>147</v>
      </c>
    </row>
    <row r="163" customFormat="false" ht="15" hidden="false" customHeight="false" outlineLevel="0" collapsed="false">
      <c r="A163" s="20" t="s">
        <v>172</v>
      </c>
      <c r="B163" s="20" t="s">
        <v>121</v>
      </c>
      <c r="C163" s="20" t="s">
        <v>122</v>
      </c>
      <c r="D163" s="20" t="s">
        <v>123</v>
      </c>
      <c r="E163" s="20" t="s">
        <v>124</v>
      </c>
      <c r="F163" s="21" t="n">
        <v>408.5</v>
      </c>
      <c r="G163" s="21" t="n">
        <v>421.41</v>
      </c>
      <c r="H163" s="21" t="n">
        <v>428.22</v>
      </c>
      <c r="I163" s="21" t="n">
        <v>416.9</v>
      </c>
      <c r="J163" s="21" t="n">
        <v>423.68</v>
      </c>
      <c r="K163" s="21" t="n">
        <v>415.71</v>
      </c>
      <c r="L163" s="21" t="n">
        <v>409.95</v>
      </c>
      <c r="M163" s="21" t="n">
        <v>414.47</v>
      </c>
      <c r="N163" s="21" t="n">
        <v>422.24</v>
      </c>
      <c r="O163" s="21" t="n">
        <v>435.82</v>
      </c>
      <c r="P163" s="21" t="n">
        <v>455.98</v>
      </c>
      <c r="Q163" s="21" t="n">
        <v>460.14</v>
      </c>
      <c r="R163" s="21" t="n">
        <v>464.96</v>
      </c>
      <c r="S163" s="21" t="n">
        <v>479.81</v>
      </c>
      <c r="T163" s="21" t="n">
        <v>485.24</v>
      </c>
      <c r="U163" s="20"/>
      <c r="V163" s="20" t="s">
        <v>125</v>
      </c>
      <c r="W163" s="20" t="s">
        <v>97</v>
      </c>
      <c r="X163" s="20"/>
      <c r="Y163" s="20" t="s">
        <v>98</v>
      </c>
      <c r="Z163" s="20" t="s">
        <v>126</v>
      </c>
      <c r="AA163" s="20" t="s">
        <v>127</v>
      </c>
      <c r="AB163" s="20" t="s">
        <v>128</v>
      </c>
      <c r="AC163" s="20" t="s">
        <v>129</v>
      </c>
      <c r="AD163" s="20" t="s">
        <v>173</v>
      </c>
      <c r="AE163" s="20" t="s">
        <v>131</v>
      </c>
    </row>
    <row r="164" customFormat="false" ht="15" hidden="false" customHeight="false" outlineLevel="0" collapsed="false">
      <c r="A164" s="20" t="s">
        <v>172</v>
      </c>
      <c r="B164" s="20" t="s">
        <v>132</v>
      </c>
      <c r="C164" s="20" t="s">
        <v>122</v>
      </c>
      <c r="D164" s="20" t="s">
        <v>123</v>
      </c>
      <c r="E164" s="20" t="s">
        <v>124</v>
      </c>
      <c r="F164" s="21" t="n">
        <v>1481.93</v>
      </c>
      <c r="G164" s="21" t="n">
        <v>1421.86</v>
      </c>
      <c r="H164" s="21" t="n">
        <v>1427.44</v>
      </c>
      <c r="I164" s="21" t="n">
        <v>1219.33</v>
      </c>
      <c r="J164" s="21" t="n">
        <v>968.99</v>
      </c>
      <c r="K164" s="21" t="n">
        <v>949.64</v>
      </c>
      <c r="L164" s="21" t="n">
        <v>966.92</v>
      </c>
      <c r="M164" s="21" t="n">
        <v>1004.82</v>
      </c>
      <c r="N164" s="21" t="n">
        <v>1034.93</v>
      </c>
      <c r="O164" s="21" t="n">
        <v>1069.21</v>
      </c>
      <c r="P164" s="21" t="n">
        <v>1098.63</v>
      </c>
      <c r="Q164" s="21" t="n">
        <v>1117.11</v>
      </c>
      <c r="R164" s="21" t="n">
        <v>1130.54</v>
      </c>
      <c r="S164" s="21" t="n">
        <v>1144.72</v>
      </c>
      <c r="T164" s="21" t="n">
        <v>1160.3</v>
      </c>
      <c r="U164" s="20"/>
      <c r="V164" s="20" t="s">
        <v>125</v>
      </c>
      <c r="W164" s="20" t="s">
        <v>97</v>
      </c>
      <c r="X164" s="20"/>
      <c r="Y164" s="20" t="s">
        <v>98</v>
      </c>
      <c r="Z164" s="20" t="s">
        <v>126</v>
      </c>
      <c r="AA164" s="20" t="s">
        <v>127</v>
      </c>
      <c r="AB164" s="20" t="s">
        <v>128</v>
      </c>
      <c r="AC164" s="20" t="s">
        <v>129</v>
      </c>
      <c r="AD164" s="20" t="s">
        <v>173</v>
      </c>
      <c r="AE164" s="20" t="s">
        <v>133</v>
      </c>
    </row>
    <row r="165" customFormat="false" ht="15" hidden="false" customHeight="false" outlineLevel="0" collapsed="false">
      <c r="A165" s="20" t="s">
        <v>172</v>
      </c>
      <c r="B165" s="20" t="s">
        <v>134</v>
      </c>
      <c r="C165" s="20" t="s">
        <v>122</v>
      </c>
      <c r="D165" s="20" t="s">
        <v>123</v>
      </c>
      <c r="E165" s="20" t="s">
        <v>124</v>
      </c>
      <c r="F165" s="21" t="n">
        <v>2127.17</v>
      </c>
      <c r="G165" s="21" t="n">
        <v>2232.79</v>
      </c>
      <c r="H165" s="21" t="n">
        <v>2295.2</v>
      </c>
      <c r="I165" s="21" t="n">
        <v>2243.36</v>
      </c>
      <c r="J165" s="21" t="n">
        <v>2283.36</v>
      </c>
      <c r="K165" s="21" t="n">
        <v>2251.93</v>
      </c>
      <c r="L165" s="21" t="n">
        <v>2261.33</v>
      </c>
      <c r="M165" s="21" t="n">
        <v>2291.56</v>
      </c>
      <c r="N165" s="21" t="n">
        <v>2343.34</v>
      </c>
      <c r="O165" s="21" t="n">
        <v>2428.13</v>
      </c>
      <c r="P165" s="21" t="n">
        <v>2556.36</v>
      </c>
      <c r="Q165" s="21" t="n">
        <v>2578.24</v>
      </c>
      <c r="R165" s="21" t="n">
        <v>2611.27</v>
      </c>
      <c r="S165" s="21" t="n">
        <v>2685.71</v>
      </c>
      <c r="T165" s="21" t="n">
        <v>2709.85</v>
      </c>
      <c r="U165" s="20"/>
      <c r="V165" s="20" t="s">
        <v>125</v>
      </c>
      <c r="W165" s="20" t="s">
        <v>97</v>
      </c>
      <c r="X165" s="20"/>
      <c r="Y165" s="20" t="s">
        <v>98</v>
      </c>
      <c r="Z165" s="20" t="s">
        <v>126</v>
      </c>
      <c r="AA165" s="20" t="s">
        <v>127</v>
      </c>
      <c r="AB165" s="20" t="s">
        <v>128</v>
      </c>
      <c r="AC165" s="20" t="s">
        <v>129</v>
      </c>
      <c r="AD165" s="20" t="s">
        <v>173</v>
      </c>
      <c r="AE165" s="20" t="s">
        <v>135</v>
      </c>
    </row>
    <row r="166" customFormat="false" ht="15" hidden="false" customHeight="false" outlineLevel="0" collapsed="false">
      <c r="A166" s="20" t="s">
        <v>172</v>
      </c>
      <c r="B166" s="20" t="s">
        <v>136</v>
      </c>
      <c r="C166" s="20" t="s">
        <v>122</v>
      </c>
      <c r="D166" s="20" t="s">
        <v>123</v>
      </c>
      <c r="E166" s="20" t="s">
        <v>124</v>
      </c>
      <c r="F166" s="21" t="n">
        <v>730.21</v>
      </c>
      <c r="G166" s="21" t="n">
        <v>879.9</v>
      </c>
      <c r="H166" s="21" t="n">
        <v>984.12</v>
      </c>
      <c r="I166" s="21" t="n">
        <v>956.39</v>
      </c>
      <c r="J166" s="21" t="n">
        <v>772.43</v>
      </c>
      <c r="K166" s="21" t="n">
        <v>753.54</v>
      </c>
      <c r="L166" s="21" t="n">
        <v>768.52</v>
      </c>
      <c r="M166" s="21" t="n">
        <v>800.34</v>
      </c>
      <c r="N166" s="21" t="n">
        <v>833.97</v>
      </c>
      <c r="O166" s="21" t="n">
        <v>868.07</v>
      </c>
      <c r="P166" s="21" t="n">
        <v>893.98</v>
      </c>
      <c r="Q166" s="21" t="n">
        <v>915.57</v>
      </c>
      <c r="R166" s="21" t="n">
        <v>934.48</v>
      </c>
      <c r="S166" s="21" t="n">
        <v>953.04</v>
      </c>
      <c r="T166" s="21" t="n">
        <v>970.47</v>
      </c>
      <c r="U166" s="20"/>
      <c r="V166" s="20" t="s">
        <v>125</v>
      </c>
      <c r="W166" s="20" t="s">
        <v>97</v>
      </c>
      <c r="X166" s="20"/>
      <c r="Y166" s="20" t="s">
        <v>98</v>
      </c>
      <c r="Z166" s="20" t="s">
        <v>126</v>
      </c>
      <c r="AA166" s="20" t="s">
        <v>127</v>
      </c>
      <c r="AB166" s="20" t="s">
        <v>128</v>
      </c>
      <c r="AC166" s="20" t="s">
        <v>129</v>
      </c>
      <c r="AD166" s="20" t="s">
        <v>173</v>
      </c>
      <c r="AE166" s="20" t="s">
        <v>137</v>
      </c>
    </row>
    <row r="167" customFormat="false" ht="15" hidden="false" customHeight="false" outlineLevel="0" collapsed="false">
      <c r="A167" s="20" t="s">
        <v>172</v>
      </c>
      <c r="B167" s="20" t="s">
        <v>60</v>
      </c>
      <c r="C167" s="20" t="s">
        <v>122</v>
      </c>
      <c r="D167" s="20" t="s">
        <v>123</v>
      </c>
      <c r="E167" s="20" t="s">
        <v>124</v>
      </c>
      <c r="F167" s="21" t="n">
        <v>5578.33</v>
      </c>
      <c r="G167" s="21" t="n">
        <v>5796.16</v>
      </c>
      <c r="H167" s="21" t="n">
        <v>5696.87</v>
      </c>
      <c r="I167" s="21" t="n">
        <v>4864.39</v>
      </c>
      <c r="J167" s="21" t="n">
        <v>4116.85</v>
      </c>
      <c r="K167" s="21" t="n">
        <v>3999.66</v>
      </c>
      <c r="L167" s="21" t="n">
        <v>4230.27</v>
      </c>
      <c r="M167" s="21" t="n">
        <v>4083.8</v>
      </c>
      <c r="N167" s="21" t="n">
        <v>4148.21</v>
      </c>
      <c r="O167" s="21" t="n">
        <v>4262.79</v>
      </c>
      <c r="P167" s="21" t="n">
        <v>4340.62</v>
      </c>
      <c r="Q167" s="21" t="n">
        <v>4417.21</v>
      </c>
      <c r="R167" s="21" t="n">
        <v>4515.99</v>
      </c>
      <c r="S167" s="21" t="n">
        <v>4637.07</v>
      </c>
      <c r="T167" s="21" t="n">
        <v>4776.25</v>
      </c>
      <c r="U167" s="20"/>
      <c r="V167" s="20" t="s">
        <v>125</v>
      </c>
      <c r="W167" s="20" t="s">
        <v>97</v>
      </c>
      <c r="X167" s="20"/>
      <c r="Y167" s="20" t="s">
        <v>98</v>
      </c>
      <c r="Z167" s="20" t="s">
        <v>126</v>
      </c>
      <c r="AA167" s="20" t="s">
        <v>127</v>
      </c>
      <c r="AB167" s="20" t="s">
        <v>128</v>
      </c>
      <c r="AC167" s="20" t="s">
        <v>129</v>
      </c>
      <c r="AD167" s="20" t="s">
        <v>173</v>
      </c>
      <c r="AE167" s="20" t="s">
        <v>138</v>
      </c>
    </row>
    <row r="168" customFormat="false" ht="15" hidden="false" customHeight="false" outlineLevel="0" collapsed="false">
      <c r="A168" s="20" t="s">
        <v>172</v>
      </c>
      <c r="B168" s="20" t="s">
        <v>139</v>
      </c>
      <c r="C168" s="20" t="s">
        <v>122</v>
      </c>
      <c r="D168" s="20" t="s">
        <v>123</v>
      </c>
      <c r="E168" s="20" t="s">
        <v>124</v>
      </c>
      <c r="F168" s="21" t="n">
        <v>1340.55</v>
      </c>
      <c r="G168" s="21" t="n">
        <v>1397.94</v>
      </c>
      <c r="H168" s="21" t="n">
        <v>1438.22</v>
      </c>
      <c r="I168" s="21" t="n">
        <v>1413.92</v>
      </c>
      <c r="J168" s="21" t="n">
        <v>1447.97</v>
      </c>
      <c r="K168" s="21" t="n">
        <v>1430.37</v>
      </c>
      <c r="L168" s="21" t="n">
        <v>1438.36</v>
      </c>
      <c r="M168" s="21" t="n">
        <v>1464.45</v>
      </c>
      <c r="N168" s="21" t="n">
        <v>1502.81</v>
      </c>
      <c r="O168" s="21" t="n">
        <v>1554.96</v>
      </c>
      <c r="P168" s="21" t="n">
        <v>1637.94</v>
      </c>
      <c r="Q168" s="21" t="n">
        <v>1670.09</v>
      </c>
      <c r="R168" s="21" t="n">
        <v>1688.54</v>
      </c>
      <c r="S168" s="21" t="n">
        <v>1741.51</v>
      </c>
      <c r="T168" s="21" t="n">
        <v>1757.69</v>
      </c>
      <c r="U168" s="20"/>
      <c r="V168" s="20" t="s">
        <v>125</v>
      </c>
      <c r="W168" s="20" t="s">
        <v>97</v>
      </c>
      <c r="X168" s="20"/>
      <c r="Y168" s="20" t="s">
        <v>98</v>
      </c>
      <c r="Z168" s="20" t="s">
        <v>126</v>
      </c>
      <c r="AA168" s="20" t="s">
        <v>127</v>
      </c>
      <c r="AB168" s="20" t="s">
        <v>128</v>
      </c>
      <c r="AC168" s="20" t="s">
        <v>129</v>
      </c>
      <c r="AD168" s="20" t="s">
        <v>173</v>
      </c>
      <c r="AE168" s="20" t="s">
        <v>140</v>
      </c>
    </row>
    <row r="169" customFormat="false" ht="15" hidden="false" customHeight="false" outlineLevel="0" collapsed="false">
      <c r="A169" s="20" t="s">
        <v>172</v>
      </c>
      <c r="B169" s="20" t="s">
        <v>67</v>
      </c>
      <c r="C169" s="20" t="s">
        <v>122</v>
      </c>
      <c r="D169" s="20" t="s">
        <v>123</v>
      </c>
      <c r="E169" s="20" t="s">
        <v>124</v>
      </c>
      <c r="F169" s="21" t="n">
        <v>3791.56</v>
      </c>
      <c r="G169" s="21" t="n">
        <v>3863.18</v>
      </c>
      <c r="H169" s="21" t="n">
        <v>3861.41</v>
      </c>
      <c r="I169" s="21" t="n">
        <v>3441.05</v>
      </c>
      <c r="J169" s="21" t="n">
        <v>2969.12</v>
      </c>
      <c r="K169" s="21" t="n">
        <v>2928.46</v>
      </c>
      <c r="L169" s="21" t="n">
        <v>3204.73</v>
      </c>
      <c r="M169" s="21" t="n">
        <v>3032.06</v>
      </c>
      <c r="N169" s="21" t="n">
        <v>3006.22</v>
      </c>
      <c r="O169" s="21" t="n">
        <v>3043.48</v>
      </c>
      <c r="P169" s="21" t="n">
        <v>3068.34</v>
      </c>
      <c r="Q169" s="21" t="n">
        <v>3111.88</v>
      </c>
      <c r="R169" s="21" t="n">
        <v>3186.67</v>
      </c>
      <c r="S169" s="21" t="n">
        <v>3277.02</v>
      </c>
      <c r="T169" s="21" t="n">
        <v>3381.31</v>
      </c>
      <c r="U169" s="20"/>
      <c r="V169" s="20" t="s">
        <v>125</v>
      </c>
      <c r="W169" s="20" t="s">
        <v>97</v>
      </c>
      <c r="X169" s="20"/>
      <c r="Y169" s="20" t="s">
        <v>98</v>
      </c>
      <c r="Z169" s="20" t="s">
        <v>126</v>
      </c>
      <c r="AA169" s="20" t="s">
        <v>127</v>
      </c>
      <c r="AB169" s="20" t="s">
        <v>128</v>
      </c>
      <c r="AC169" s="20" t="s">
        <v>129</v>
      </c>
      <c r="AD169" s="20" t="s">
        <v>173</v>
      </c>
      <c r="AE169" s="20" t="s">
        <v>141</v>
      </c>
    </row>
    <row r="170" customFormat="false" ht="15" hidden="false" customHeight="false" outlineLevel="0" collapsed="false">
      <c r="A170" s="20" t="s">
        <v>172</v>
      </c>
      <c r="B170" s="20" t="s">
        <v>64</v>
      </c>
      <c r="C170" s="20" t="s">
        <v>122</v>
      </c>
      <c r="D170" s="20" t="s">
        <v>123</v>
      </c>
      <c r="E170" s="20" t="s">
        <v>124</v>
      </c>
      <c r="F170" s="21" t="n">
        <v>5686.23</v>
      </c>
      <c r="G170" s="21" t="n">
        <v>5532.06</v>
      </c>
      <c r="H170" s="21" t="n">
        <v>5769.61</v>
      </c>
      <c r="I170" s="21" t="n">
        <v>6412.23</v>
      </c>
      <c r="J170" s="21" t="n">
        <v>6549.95</v>
      </c>
      <c r="K170" s="21" t="n">
        <v>6119.32</v>
      </c>
      <c r="L170" s="21" t="n">
        <v>5871.16</v>
      </c>
      <c r="M170" s="21" t="n">
        <v>5848.62</v>
      </c>
      <c r="N170" s="21" t="n">
        <v>6031.45</v>
      </c>
      <c r="O170" s="21" t="n">
        <v>6292.1</v>
      </c>
      <c r="P170" s="21" t="n">
        <v>6647.53</v>
      </c>
      <c r="Q170" s="21" t="n">
        <v>6768.3</v>
      </c>
      <c r="R170" s="21" t="n">
        <v>6839.46</v>
      </c>
      <c r="S170" s="21" t="n">
        <v>7004.68</v>
      </c>
      <c r="T170" s="21" t="n">
        <v>7189.66</v>
      </c>
      <c r="U170" s="20"/>
      <c r="V170" s="20" t="s">
        <v>125</v>
      </c>
      <c r="W170" s="20" t="s">
        <v>97</v>
      </c>
      <c r="X170" s="20"/>
      <c r="Y170" s="20" t="s">
        <v>98</v>
      </c>
      <c r="Z170" s="20" t="s">
        <v>126</v>
      </c>
      <c r="AA170" s="20" t="s">
        <v>127</v>
      </c>
      <c r="AB170" s="20" t="s">
        <v>128</v>
      </c>
      <c r="AC170" s="20" t="s">
        <v>129</v>
      </c>
      <c r="AD170" s="20" t="s">
        <v>173</v>
      </c>
      <c r="AE170" s="20" t="s">
        <v>142</v>
      </c>
    </row>
    <row r="171" customFormat="false" ht="15" hidden="false" customHeight="false" outlineLevel="0" collapsed="false">
      <c r="A171" s="20" t="s">
        <v>172</v>
      </c>
      <c r="B171" s="20" t="s">
        <v>74</v>
      </c>
      <c r="C171" s="20" t="s">
        <v>122</v>
      </c>
      <c r="D171" s="20" t="s">
        <v>123</v>
      </c>
      <c r="E171" s="20" t="s">
        <v>124</v>
      </c>
      <c r="F171" s="21" t="n">
        <v>2367.33</v>
      </c>
      <c r="G171" s="21" t="n">
        <v>2471.15</v>
      </c>
      <c r="H171" s="21" t="n">
        <v>2647</v>
      </c>
      <c r="I171" s="21" t="n">
        <v>2387</v>
      </c>
      <c r="J171" s="21" t="n">
        <v>1912.7</v>
      </c>
      <c r="K171" s="21" t="n">
        <v>1878.74</v>
      </c>
      <c r="L171" s="21" t="n">
        <v>1930.68</v>
      </c>
      <c r="M171" s="21" t="n">
        <v>2016.58</v>
      </c>
      <c r="N171" s="21" t="n">
        <v>2085.94</v>
      </c>
      <c r="O171" s="21" t="n">
        <v>2162.4</v>
      </c>
      <c r="P171" s="21" t="n">
        <v>2229.24</v>
      </c>
      <c r="Q171" s="21" t="n">
        <v>2275.51</v>
      </c>
      <c r="R171" s="21" t="n">
        <v>2312.11</v>
      </c>
      <c r="S171" s="21" t="n">
        <v>2348.99</v>
      </c>
      <c r="T171" s="21" t="n">
        <v>2385.96</v>
      </c>
      <c r="U171" s="20"/>
      <c r="V171" s="20" t="s">
        <v>125</v>
      </c>
      <c r="W171" s="20" t="s">
        <v>97</v>
      </c>
      <c r="X171" s="20"/>
      <c r="Y171" s="20" t="s">
        <v>98</v>
      </c>
      <c r="Z171" s="20" t="s">
        <v>126</v>
      </c>
      <c r="AA171" s="20" t="s">
        <v>127</v>
      </c>
      <c r="AB171" s="20" t="s">
        <v>128</v>
      </c>
      <c r="AC171" s="20" t="s">
        <v>129</v>
      </c>
      <c r="AD171" s="20" t="s">
        <v>173</v>
      </c>
      <c r="AE171" s="20" t="s">
        <v>143</v>
      </c>
    </row>
    <row r="172" customFormat="false" ht="15" hidden="false" customHeight="false" outlineLevel="0" collapsed="false">
      <c r="A172" s="20" t="s">
        <v>172</v>
      </c>
      <c r="B172" s="20" t="s">
        <v>71</v>
      </c>
      <c r="C172" s="20" t="s">
        <v>122</v>
      </c>
      <c r="D172" s="20" t="s">
        <v>123</v>
      </c>
      <c r="E172" s="20" t="s">
        <v>124</v>
      </c>
      <c r="F172" s="21" t="n">
        <v>2577.95</v>
      </c>
      <c r="G172" s="21" t="n">
        <v>2561.59</v>
      </c>
      <c r="H172" s="21" t="n">
        <v>2742.28</v>
      </c>
      <c r="I172" s="21" t="n">
        <v>3077.35</v>
      </c>
      <c r="J172" s="21" t="n">
        <v>3185.56</v>
      </c>
      <c r="K172" s="21" t="n">
        <v>2865.6</v>
      </c>
      <c r="L172" s="21" t="n">
        <v>2812.3</v>
      </c>
      <c r="M172" s="21" t="n">
        <v>2792.99</v>
      </c>
      <c r="N172" s="21" t="n">
        <v>2851.19</v>
      </c>
      <c r="O172" s="21" t="n">
        <v>3031.94</v>
      </c>
      <c r="P172" s="21" t="n">
        <v>3279.76</v>
      </c>
      <c r="Q172" s="21" t="n">
        <v>3370.13</v>
      </c>
      <c r="R172" s="21" t="n">
        <v>3426.23</v>
      </c>
      <c r="S172" s="21" t="n">
        <v>3522.63</v>
      </c>
      <c r="T172" s="21" t="n">
        <v>3621.99</v>
      </c>
      <c r="U172" s="20"/>
      <c r="V172" s="20" t="s">
        <v>125</v>
      </c>
      <c r="W172" s="20" t="s">
        <v>97</v>
      </c>
      <c r="X172" s="20"/>
      <c r="Y172" s="20" t="s">
        <v>98</v>
      </c>
      <c r="Z172" s="20" t="s">
        <v>126</v>
      </c>
      <c r="AA172" s="20" t="s">
        <v>127</v>
      </c>
      <c r="AB172" s="20" t="s">
        <v>128</v>
      </c>
      <c r="AC172" s="20" t="s">
        <v>129</v>
      </c>
      <c r="AD172" s="20" t="s">
        <v>173</v>
      </c>
      <c r="AE172" s="20" t="s">
        <v>144</v>
      </c>
    </row>
    <row r="173" customFormat="false" ht="15" hidden="false" customHeight="false" outlineLevel="0" collapsed="false">
      <c r="A173" s="20" t="s">
        <v>172</v>
      </c>
      <c r="B173" s="20" t="s">
        <v>78</v>
      </c>
      <c r="C173" s="20" t="s">
        <v>122</v>
      </c>
      <c r="D173" s="20" t="s">
        <v>123</v>
      </c>
      <c r="E173" s="20" t="s">
        <v>124</v>
      </c>
      <c r="F173" s="21" t="n">
        <v>3876.21</v>
      </c>
      <c r="G173" s="21" t="n">
        <v>4052.14</v>
      </c>
      <c r="H173" s="21" t="n">
        <v>4161.64</v>
      </c>
      <c r="I173" s="21" t="n">
        <v>4074.17</v>
      </c>
      <c r="J173" s="21" t="n">
        <v>4155.02</v>
      </c>
      <c r="K173" s="21" t="n">
        <v>4098</v>
      </c>
      <c r="L173" s="21" t="n">
        <v>4109.64</v>
      </c>
      <c r="M173" s="21" t="n">
        <v>4170.48</v>
      </c>
      <c r="N173" s="21" t="n">
        <v>4268.38</v>
      </c>
      <c r="O173" s="21" t="n">
        <v>4418.92</v>
      </c>
      <c r="P173" s="21" t="n">
        <v>4650.29</v>
      </c>
      <c r="Q173" s="21" t="n">
        <v>4708.47</v>
      </c>
      <c r="R173" s="21" t="n">
        <v>4764.77</v>
      </c>
      <c r="S173" s="21" t="n">
        <v>4907.03</v>
      </c>
      <c r="T173" s="21" t="n">
        <v>4952.79</v>
      </c>
      <c r="U173" s="20"/>
      <c r="V173" s="20" t="s">
        <v>125</v>
      </c>
      <c r="W173" s="20" t="s">
        <v>97</v>
      </c>
      <c r="X173" s="20"/>
      <c r="Y173" s="20" t="s">
        <v>98</v>
      </c>
      <c r="Z173" s="20" t="s">
        <v>126</v>
      </c>
      <c r="AA173" s="20" t="s">
        <v>127</v>
      </c>
      <c r="AB173" s="20" t="s">
        <v>128</v>
      </c>
      <c r="AC173" s="20" t="s">
        <v>129</v>
      </c>
      <c r="AD173" s="20" t="s">
        <v>173</v>
      </c>
      <c r="AE173" s="20" t="s">
        <v>145</v>
      </c>
    </row>
    <row r="174" customFormat="false" ht="15" hidden="false" customHeight="false" outlineLevel="0" collapsed="false">
      <c r="A174" s="20" t="s">
        <v>172</v>
      </c>
      <c r="B174" s="20" t="s">
        <v>146</v>
      </c>
      <c r="C174" s="20" t="s">
        <v>122</v>
      </c>
      <c r="D174" s="20" t="s">
        <v>123</v>
      </c>
      <c r="E174" s="20" t="s">
        <v>124</v>
      </c>
      <c r="F174" s="21" t="n">
        <v>155.18</v>
      </c>
      <c r="G174" s="21" t="n">
        <v>169.4</v>
      </c>
      <c r="H174" s="21" t="n">
        <v>235.44</v>
      </c>
      <c r="I174" s="21" t="n">
        <v>211.28</v>
      </c>
      <c r="J174" s="21" t="n">
        <v>171.28</v>
      </c>
      <c r="K174" s="21" t="n">
        <v>175.56</v>
      </c>
      <c r="L174" s="21" t="n">
        <v>195.24</v>
      </c>
      <c r="M174" s="21" t="n">
        <v>211.42</v>
      </c>
      <c r="N174" s="21" t="n">
        <v>217.04</v>
      </c>
      <c r="O174" s="21" t="n">
        <v>225.12</v>
      </c>
      <c r="P174" s="21" t="n">
        <v>236.63</v>
      </c>
      <c r="Q174" s="21" t="n">
        <v>242.83</v>
      </c>
      <c r="R174" s="21" t="n">
        <v>247.09</v>
      </c>
      <c r="S174" s="21" t="n">
        <v>251.22</v>
      </c>
      <c r="T174" s="21" t="n">
        <v>255.18</v>
      </c>
      <c r="U174" s="20"/>
      <c r="V174" s="20" t="s">
        <v>125</v>
      </c>
      <c r="W174" s="20" t="s">
        <v>97</v>
      </c>
      <c r="X174" s="20"/>
      <c r="Y174" s="20" t="s">
        <v>98</v>
      </c>
      <c r="Z174" s="20" t="s">
        <v>126</v>
      </c>
      <c r="AA174" s="20" t="s">
        <v>127</v>
      </c>
      <c r="AB174" s="20" t="s">
        <v>128</v>
      </c>
      <c r="AC174" s="20" t="s">
        <v>129</v>
      </c>
      <c r="AD174" s="20" t="s">
        <v>173</v>
      </c>
      <c r="AE174" s="20" t="s">
        <v>147</v>
      </c>
    </row>
    <row r="175" customFormat="false" ht="15" hidden="false" customHeight="false" outlineLevel="0" collapsed="false">
      <c r="A175" s="20" t="s">
        <v>174</v>
      </c>
      <c r="B175" s="20" t="s">
        <v>121</v>
      </c>
      <c r="C175" s="20" t="s">
        <v>122</v>
      </c>
      <c r="D175" s="20" t="s">
        <v>123</v>
      </c>
      <c r="E175" s="20" t="s">
        <v>124</v>
      </c>
      <c r="F175" s="21" t="n">
        <v>187.59</v>
      </c>
      <c r="G175" s="21" t="n">
        <v>178.35</v>
      </c>
      <c r="H175" s="21" t="n">
        <v>183.6</v>
      </c>
      <c r="I175" s="21" t="n">
        <v>175.73</v>
      </c>
      <c r="J175" s="21" t="n">
        <v>178.76</v>
      </c>
      <c r="K175" s="21" t="n">
        <v>184.47</v>
      </c>
      <c r="L175" s="21" t="n">
        <v>196.11</v>
      </c>
      <c r="M175" s="21" t="n">
        <v>204.1</v>
      </c>
      <c r="N175" s="21" t="n">
        <v>214.17</v>
      </c>
      <c r="O175" s="21" t="n">
        <v>225.98</v>
      </c>
      <c r="P175" s="21" t="n">
        <v>235.57</v>
      </c>
      <c r="Q175" s="21" t="n">
        <v>242.49</v>
      </c>
      <c r="R175" s="21" t="n">
        <v>248.51</v>
      </c>
      <c r="S175" s="21" t="n">
        <v>255.43</v>
      </c>
      <c r="T175" s="21" t="n">
        <v>262.38</v>
      </c>
      <c r="U175" s="20"/>
      <c r="V175" s="20" t="s">
        <v>125</v>
      </c>
      <c r="W175" s="20" t="s">
        <v>97</v>
      </c>
      <c r="X175" s="20"/>
      <c r="Y175" s="20" t="s">
        <v>98</v>
      </c>
      <c r="Z175" s="20" t="s">
        <v>126</v>
      </c>
      <c r="AA175" s="20" t="s">
        <v>127</v>
      </c>
      <c r="AB175" s="20" t="s">
        <v>128</v>
      </c>
      <c r="AC175" s="20" t="s">
        <v>129</v>
      </c>
      <c r="AD175" s="20" t="s">
        <v>175</v>
      </c>
      <c r="AE175" s="20" t="s">
        <v>131</v>
      </c>
    </row>
    <row r="176" customFormat="false" ht="15" hidden="false" customHeight="false" outlineLevel="0" collapsed="false">
      <c r="A176" s="20" t="s">
        <v>174</v>
      </c>
      <c r="B176" s="20" t="s">
        <v>132</v>
      </c>
      <c r="C176" s="20" t="s">
        <v>122</v>
      </c>
      <c r="D176" s="20" t="s">
        <v>123</v>
      </c>
      <c r="E176" s="20" t="s">
        <v>124</v>
      </c>
      <c r="F176" s="21" t="n">
        <v>2480.65</v>
      </c>
      <c r="G176" s="21" t="n">
        <v>2895.45</v>
      </c>
      <c r="H176" s="21" t="n">
        <v>3057.2</v>
      </c>
      <c r="I176" s="21" t="n">
        <v>3128.13</v>
      </c>
      <c r="J176" s="21" t="n">
        <v>2979.83</v>
      </c>
      <c r="K176" s="21" t="n">
        <v>3060.31</v>
      </c>
      <c r="L176" s="21" t="n">
        <v>3177.3</v>
      </c>
      <c r="M176" s="21" t="n">
        <v>3321.22</v>
      </c>
      <c r="N176" s="21" t="n">
        <v>3384.25</v>
      </c>
      <c r="O176" s="21" t="n">
        <v>3480.87</v>
      </c>
      <c r="P176" s="21" t="n">
        <v>3532.28</v>
      </c>
      <c r="Q176" s="21" t="n">
        <v>3573.13</v>
      </c>
      <c r="R176" s="21" t="n">
        <v>3622.35</v>
      </c>
      <c r="S176" s="21" t="n">
        <v>3680.47</v>
      </c>
      <c r="T176" s="21" t="n">
        <v>3740.7</v>
      </c>
      <c r="U176" s="20"/>
      <c r="V176" s="20" t="s">
        <v>125</v>
      </c>
      <c r="W176" s="20" t="s">
        <v>97</v>
      </c>
      <c r="X176" s="20"/>
      <c r="Y176" s="20" t="s">
        <v>98</v>
      </c>
      <c r="Z176" s="20" t="s">
        <v>126</v>
      </c>
      <c r="AA176" s="20" t="s">
        <v>127</v>
      </c>
      <c r="AB176" s="20" t="s">
        <v>128</v>
      </c>
      <c r="AC176" s="20" t="s">
        <v>129</v>
      </c>
      <c r="AD176" s="20" t="s">
        <v>175</v>
      </c>
      <c r="AE176" s="20" t="s">
        <v>133</v>
      </c>
    </row>
    <row r="177" customFormat="false" ht="15" hidden="false" customHeight="false" outlineLevel="0" collapsed="false">
      <c r="A177" s="20" t="s">
        <v>174</v>
      </c>
      <c r="B177" s="20" t="s">
        <v>134</v>
      </c>
      <c r="C177" s="20" t="s">
        <v>122</v>
      </c>
      <c r="D177" s="20" t="s">
        <v>123</v>
      </c>
      <c r="E177" s="20" t="s">
        <v>124</v>
      </c>
      <c r="F177" s="21" t="n">
        <v>1579.53</v>
      </c>
      <c r="G177" s="21" t="n">
        <v>1604.8</v>
      </c>
      <c r="H177" s="21" t="n">
        <v>1565.49</v>
      </c>
      <c r="I177" s="21" t="n">
        <v>1482.07</v>
      </c>
      <c r="J177" s="21" t="n">
        <v>1571.79</v>
      </c>
      <c r="K177" s="21" t="n">
        <v>1516.6</v>
      </c>
      <c r="L177" s="21" t="n">
        <v>1668.74</v>
      </c>
      <c r="M177" s="21" t="n">
        <v>1705.43</v>
      </c>
      <c r="N177" s="21" t="n">
        <v>1769.88</v>
      </c>
      <c r="O177" s="21" t="n">
        <v>1833.05</v>
      </c>
      <c r="P177" s="21" t="n">
        <v>1881.35</v>
      </c>
      <c r="Q177" s="21" t="n">
        <v>1923.47</v>
      </c>
      <c r="R177" s="21" t="n">
        <v>1969.48</v>
      </c>
      <c r="S177" s="21" t="n">
        <v>2021.21</v>
      </c>
      <c r="T177" s="21" t="n">
        <v>2075.46</v>
      </c>
      <c r="U177" s="20"/>
      <c r="V177" s="20" t="s">
        <v>125</v>
      </c>
      <c r="W177" s="20" t="s">
        <v>97</v>
      </c>
      <c r="X177" s="20"/>
      <c r="Y177" s="20" t="s">
        <v>98</v>
      </c>
      <c r="Z177" s="20" t="s">
        <v>126</v>
      </c>
      <c r="AA177" s="20" t="s">
        <v>127</v>
      </c>
      <c r="AB177" s="20" t="s">
        <v>128</v>
      </c>
      <c r="AC177" s="20" t="s">
        <v>129</v>
      </c>
      <c r="AD177" s="20" t="s">
        <v>175</v>
      </c>
      <c r="AE177" s="20" t="s">
        <v>135</v>
      </c>
    </row>
    <row r="178" customFormat="false" ht="15" hidden="false" customHeight="false" outlineLevel="0" collapsed="false">
      <c r="A178" s="20" t="s">
        <v>174</v>
      </c>
      <c r="B178" s="20" t="s">
        <v>136</v>
      </c>
      <c r="C178" s="20" t="s">
        <v>122</v>
      </c>
      <c r="D178" s="20" t="s">
        <v>123</v>
      </c>
      <c r="E178" s="20" t="s">
        <v>124</v>
      </c>
      <c r="F178" s="21" t="n">
        <v>2123.44</v>
      </c>
      <c r="G178" s="21" t="n">
        <v>1782.4</v>
      </c>
      <c r="H178" s="21" t="n">
        <v>1507.97</v>
      </c>
      <c r="I178" s="21" t="n">
        <v>1397.15</v>
      </c>
      <c r="J178" s="21" t="n">
        <v>1378.22</v>
      </c>
      <c r="K178" s="21" t="n">
        <v>1342.43</v>
      </c>
      <c r="L178" s="21" t="n">
        <v>1450.91</v>
      </c>
      <c r="M178" s="21" t="n">
        <v>1468.65</v>
      </c>
      <c r="N178" s="21" t="n">
        <v>1476.97</v>
      </c>
      <c r="O178" s="21" t="n">
        <v>1511.38</v>
      </c>
      <c r="P178" s="21" t="n">
        <v>1548.39</v>
      </c>
      <c r="Q178" s="21" t="n">
        <v>1586.87</v>
      </c>
      <c r="R178" s="21" t="n">
        <v>1619.71</v>
      </c>
      <c r="S178" s="21" t="n">
        <v>1642.9</v>
      </c>
      <c r="T178" s="21" t="n">
        <v>1662.72</v>
      </c>
      <c r="U178" s="20"/>
      <c r="V178" s="20" t="s">
        <v>125</v>
      </c>
      <c r="W178" s="20" t="s">
        <v>97</v>
      </c>
      <c r="X178" s="20"/>
      <c r="Y178" s="20" t="s">
        <v>98</v>
      </c>
      <c r="Z178" s="20" t="s">
        <v>126</v>
      </c>
      <c r="AA178" s="20" t="s">
        <v>127</v>
      </c>
      <c r="AB178" s="20" t="s">
        <v>128</v>
      </c>
      <c r="AC178" s="20" t="s">
        <v>129</v>
      </c>
      <c r="AD178" s="20" t="s">
        <v>175</v>
      </c>
      <c r="AE178" s="20" t="s">
        <v>137</v>
      </c>
    </row>
    <row r="179" customFormat="false" ht="15" hidden="false" customHeight="false" outlineLevel="0" collapsed="false">
      <c r="A179" s="20" t="s">
        <v>174</v>
      </c>
      <c r="B179" s="20" t="s">
        <v>60</v>
      </c>
      <c r="C179" s="20" t="s">
        <v>122</v>
      </c>
      <c r="D179" s="20" t="s">
        <v>123</v>
      </c>
      <c r="E179" s="20" t="s">
        <v>124</v>
      </c>
      <c r="F179" s="21" t="n">
        <v>17306.06</v>
      </c>
      <c r="G179" s="21" t="n">
        <v>18869.3</v>
      </c>
      <c r="H179" s="21" t="n">
        <v>20069.81</v>
      </c>
      <c r="I179" s="21" t="n">
        <v>18607.57</v>
      </c>
      <c r="J179" s="21" t="n">
        <v>16468.46</v>
      </c>
      <c r="K179" s="21" t="n">
        <v>15846.29</v>
      </c>
      <c r="L179" s="21" t="n">
        <v>15384.85</v>
      </c>
      <c r="M179" s="21" t="n">
        <v>15135.03</v>
      </c>
      <c r="N179" s="21" t="n">
        <v>15527.79</v>
      </c>
      <c r="O179" s="21" t="n">
        <v>16228.18</v>
      </c>
      <c r="P179" s="21" t="n">
        <v>17053.93</v>
      </c>
      <c r="Q179" s="21" t="n">
        <v>17694.41</v>
      </c>
      <c r="R179" s="21" t="n">
        <v>18263.26</v>
      </c>
      <c r="S179" s="21" t="n">
        <v>18760.13</v>
      </c>
      <c r="T179" s="21" t="n">
        <v>19193.41</v>
      </c>
      <c r="U179" s="20"/>
      <c r="V179" s="20" t="s">
        <v>125</v>
      </c>
      <c r="W179" s="20" t="s">
        <v>97</v>
      </c>
      <c r="X179" s="20"/>
      <c r="Y179" s="20" t="s">
        <v>98</v>
      </c>
      <c r="Z179" s="20" t="s">
        <v>126</v>
      </c>
      <c r="AA179" s="20" t="s">
        <v>127</v>
      </c>
      <c r="AB179" s="20" t="s">
        <v>128</v>
      </c>
      <c r="AC179" s="20" t="s">
        <v>129</v>
      </c>
      <c r="AD179" s="20" t="s">
        <v>175</v>
      </c>
      <c r="AE179" s="20" t="s">
        <v>138</v>
      </c>
    </row>
    <row r="180" customFormat="false" ht="15" hidden="false" customHeight="false" outlineLevel="0" collapsed="false">
      <c r="A180" s="20" t="s">
        <v>174</v>
      </c>
      <c r="B180" s="20" t="s">
        <v>139</v>
      </c>
      <c r="C180" s="20" t="s">
        <v>122</v>
      </c>
      <c r="D180" s="20" t="s">
        <v>123</v>
      </c>
      <c r="E180" s="20" t="s">
        <v>124</v>
      </c>
      <c r="F180" s="21" t="n">
        <v>992.43</v>
      </c>
      <c r="G180" s="21" t="n">
        <v>982.66</v>
      </c>
      <c r="H180" s="21" t="n">
        <v>931.78</v>
      </c>
      <c r="I180" s="21" t="n">
        <v>887.52</v>
      </c>
      <c r="J180" s="21" t="n">
        <v>920.26</v>
      </c>
      <c r="K180" s="21" t="n">
        <v>868.09</v>
      </c>
      <c r="L180" s="21" t="n">
        <v>942.83</v>
      </c>
      <c r="M180" s="21" t="n">
        <v>956.33</v>
      </c>
      <c r="N180" s="21" t="n">
        <v>991.67</v>
      </c>
      <c r="O180" s="21" t="n">
        <v>1041.84</v>
      </c>
      <c r="P180" s="21" t="n">
        <v>1090.21</v>
      </c>
      <c r="Q180" s="21" t="n">
        <v>1127.55</v>
      </c>
      <c r="R180" s="21" t="n">
        <v>1160.15</v>
      </c>
      <c r="S180" s="21" t="n">
        <v>1192.16</v>
      </c>
      <c r="T180" s="21" t="n">
        <v>1224.51</v>
      </c>
      <c r="U180" s="20"/>
      <c r="V180" s="20" t="s">
        <v>125</v>
      </c>
      <c r="W180" s="20" t="s">
        <v>97</v>
      </c>
      <c r="X180" s="20"/>
      <c r="Y180" s="20" t="s">
        <v>98</v>
      </c>
      <c r="Z180" s="20" t="s">
        <v>126</v>
      </c>
      <c r="AA180" s="20" t="s">
        <v>127</v>
      </c>
      <c r="AB180" s="20" t="s">
        <v>128</v>
      </c>
      <c r="AC180" s="20" t="s">
        <v>129</v>
      </c>
      <c r="AD180" s="20" t="s">
        <v>175</v>
      </c>
      <c r="AE180" s="20" t="s">
        <v>140</v>
      </c>
    </row>
    <row r="181" customFormat="false" ht="15" hidden="false" customHeight="false" outlineLevel="0" collapsed="false">
      <c r="A181" s="20" t="s">
        <v>174</v>
      </c>
      <c r="B181" s="20" t="s">
        <v>67</v>
      </c>
      <c r="C181" s="20" t="s">
        <v>122</v>
      </c>
      <c r="D181" s="20" t="s">
        <v>123</v>
      </c>
      <c r="E181" s="20" t="s">
        <v>124</v>
      </c>
      <c r="F181" s="21" t="n">
        <v>10857.69</v>
      </c>
      <c r="G181" s="21" t="n">
        <v>11656.38</v>
      </c>
      <c r="H181" s="21" t="n">
        <v>12984.09</v>
      </c>
      <c r="I181" s="21" t="n">
        <v>12679.89</v>
      </c>
      <c r="J181" s="21" t="n">
        <v>11189.5</v>
      </c>
      <c r="K181" s="21" t="n">
        <v>11018.25</v>
      </c>
      <c r="L181" s="21" t="n">
        <v>10903.37</v>
      </c>
      <c r="M181" s="21" t="n">
        <v>10732.34</v>
      </c>
      <c r="N181" s="21" t="n">
        <v>10921</v>
      </c>
      <c r="O181" s="21" t="n">
        <v>11345.72</v>
      </c>
      <c r="P181" s="21" t="n">
        <v>11918.13</v>
      </c>
      <c r="Q181" s="21" t="n">
        <v>12393.63</v>
      </c>
      <c r="R181" s="21" t="n">
        <v>12805.61</v>
      </c>
      <c r="S181" s="21" t="n">
        <v>13167.54</v>
      </c>
      <c r="T181" s="21" t="n">
        <v>13487.34</v>
      </c>
      <c r="U181" s="20"/>
      <c r="V181" s="20" t="s">
        <v>125</v>
      </c>
      <c r="W181" s="20" t="s">
        <v>97</v>
      </c>
      <c r="X181" s="20"/>
      <c r="Y181" s="20" t="s">
        <v>98</v>
      </c>
      <c r="Z181" s="20" t="s">
        <v>126</v>
      </c>
      <c r="AA181" s="20" t="s">
        <v>127</v>
      </c>
      <c r="AB181" s="20" t="s">
        <v>128</v>
      </c>
      <c r="AC181" s="20" t="s">
        <v>129</v>
      </c>
      <c r="AD181" s="20" t="s">
        <v>175</v>
      </c>
      <c r="AE181" s="20" t="s">
        <v>141</v>
      </c>
    </row>
    <row r="182" customFormat="false" ht="15" hidden="false" customHeight="false" outlineLevel="0" collapsed="false">
      <c r="A182" s="20" t="s">
        <v>174</v>
      </c>
      <c r="B182" s="20" t="s">
        <v>64</v>
      </c>
      <c r="C182" s="20" t="s">
        <v>122</v>
      </c>
      <c r="D182" s="20" t="s">
        <v>123</v>
      </c>
      <c r="E182" s="20" t="s">
        <v>124</v>
      </c>
      <c r="F182" s="21" t="n">
        <v>9484.67</v>
      </c>
      <c r="G182" s="21" t="n">
        <v>10795.83</v>
      </c>
      <c r="H182" s="21" t="n">
        <v>11719.16</v>
      </c>
      <c r="I182" s="21" t="n">
        <v>11899.84</v>
      </c>
      <c r="J182" s="21" t="n">
        <v>10397.73</v>
      </c>
      <c r="K182" s="21" t="n">
        <v>10590.21</v>
      </c>
      <c r="L182" s="21" t="n">
        <v>12638.75</v>
      </c>
      <c r="M182" s="21" t="n">
        <v>14307.44</v>
      </c>
      <c r="N182" s="21" t="n">
        <v>14483.69</v>
      </c>
      <c r="O182" s="21" t="n">
        <v>14226.39</v>
      </c>
      <c r="P182" s="21" t="n">
        <v>13864.38</v>
      </c>
      <c r="Q182" s="21" t="n">
        <v>13581.22</v>
      </c>
      <c r="R182" s="21" t="n">
        <v>13540.24</v>
      </c>
      <c r="S182" s="21" t="n">
        <v>13621.77</v>
      </c>
      <c r="T182" s="21" t="n">
        <v>13771.12</v>
      </c>
      <c r="U182" s="20"/>
      <c r="V182" s="20" t="s">
        <v>125</v>
      </c>
      <c r="W182" s="20" t="s">
        <v>97</v>
      </c>
      <c r="X182" s="20"/>
      <c r="Y182" s="20" t="s">
        <v>98</v>
      </c>
      <c r="Z182" s="20" t="s">
        <v>126</v>
      </c>
      <c r="AA182" s="20" t="s">
        <v>127</v>
      </c>
      <c r="AB182" s="20" t="s">
        <v>128</v>
      </c>
      <c r="AC182" s="20" t="s">
        <v>129</v>
      </c>
      <c r="AD182" s="20" t="s">
        <v>175</v>
      </c>
      <c r="AE182" s="20" t="s">
        <v>142</v>
      </c>
    </row>
    <row r="183" customFormat="false" ht="15" hidden="false" customHeight="false" outlineLevel="0" collapsed="false">
      <c r="A183" s="20" t="s">
        <v>174</v>
      </c>
      <c r="B183" s="20" t="s">
        <v>74</v>
      </c>
      <c r="C183" s="20" t="s">
        <v>122</v>
      </c>
      <c r="D183" s="20" t="s">
        <v>123</v>
      </c>
      <c r="E183" s="20" t="s">
        <v>124</v>
      </c>
      <c r="F183" s="21" t="n">
        <v>4876.04</v>
      </c>
      <c r="G183" s="21" t="n">
        <v>5001.89</v>
      </c>
      <c r="H183" s="21" t="n">
        <v>4952.9</v>
      </c>
      <c r="I183" s="21" t="n">
        <v>4922.45</v>
      </c>
      <c r="J183" s="21" t="n">
        <v>4715.36</v>
      </c>
      <c r="K183" s="21" t="n">
        <v>4741.85</v>
      </c>
      <c r="L183" s="21" t="n">
        <v>4989.19</v>
      </c>
      <c r="M183" s="21" t="n">
        <v>5160.29</v>
      </c>
      <c r="N183" s="21" t="n">
        <v>5245.15</v>
      </c>
      <c r="O183" s="21" t="n">
        <v>5396.16</v>
      </c>
      <c r="P183" s="21" t="n">
        <v>5502.57</v>
      </c>
      <c r="Q183" s="21" t="n">
        <v>5595.89</v>
      </c>
      <c r="R183" s="21" t="n">
        <v>5687.13</v>
      </c>
      <c r="S183" s="21" t="n">
        <v>5776.06</v>
      </c>
      <c r="T183" s="21" t="n">
        <v>5863.32</v>
      </c>
      <c r="U183" s="20"/>
      <c r="V183" s="20" t="s">
        <v>125</v>
      </c>
      <c r="W183" s="20" t="s">
        <v>97</v>
      </c>
      <c r="X183" s="20"/>
      <c r="Y183" s="20" t="s">
        <v>98</v>
      </c>
      <c r="Z183" s="20" t="s">
        <v>126</v>
      </c>
      <c r="AA183" s="20" t="s">
        <v>127</v>
      </c>
      <c r="AB183" s="20" t="s">
        <v>128</v>
      </c>
      <c r="AC183" s="20" t="s">
        <v>129</v>
      </c>
      <c r="AD183" s="20" t="s">
        <v>175</v>
      </c>
      <c r="AE183" s="20" t="s">
        <v>143</v>
      </c>
    </row>
    <row r="184" customFormat="false" ht="15" hidden="false" customHeight="false" outlineLevel="0" collapsed="false">
      <c r="A184" s="20" t="s">
        <v>174</v>
      </c>
      <c r="B184" s="20" t="s">
        <v>71</v>
      </c>
      <c r="C184" s="20" t="s">
        <v>122</v>
      </c>
      <c r="D184" s="20" t="s">
        <v>123</v>
      </c>
      <c r="E184" s="20" t="s">
        <v>124</v>
      </c>
      <c r="F184" s="21" t="n">
        <v>4529.18</v>
      </c>
      <c r="G184" s="21" t="n">
        <v>5266.88</v>
      </c>
      <c r="H184" s="21" t="n">
        <v>5614.81</v>
      </c>
      <c r="I184" s="21" t="n">
        <v>5571.32</v>
      </c>
      <c r="J184" s="21" t="n">
        <v>4970.94</v>
      </c>
      <c r="K184" s="21" t="n">
        <v>5088.97</v>
      </c>
      <c r="L184" s="21" t="n">
        <v>6115.1</v>
      </c>
      <c r="M184" s="21" t="n">
        <v>7174.13</v>
      </c>
      <c r="N184" s="21" t="n">
        <v>7340.5</v>
      </c>
      <c r="O184" s="21" t="n">
        <v>7102.51</v>
      </c>
      <c r="P184" s="21" t="n">
        <v>6827.13</v>
      </c>
      <c r="Q184" s="21" t="n">
        <v>6581.72</v>
      </c>
      <c r="R184" s="21" t="n">
        <v>6480.32</v>
      </c>
      <c r="S184" s="21" t="n">
        <v>6466.48</v>
      </c>
      <c r="T184" s="21" t="n">
        <v>6499.61</v>
      </c>
      <c r="U184" s="20"/>
      <c r="V184" s="20" t="s">
        <v>125</v>
      </c>
      <c r="W184" s="20" t="s">
        <v>97</v>
      </c>
      <c r="X184" s="20"/>
      <c r="Y184" s="20" t="s">
        <v>98</v>
      </c>
      <c r="Z184" s="20" t="s">
        <v>126</v>
      </c>
      <c r="AA184" s="20" t="s">
        <v>127</v>
      </c>
      <c r="AB184" s="20" t="s">
        <v>128</v>
      </c>
      <c r="AC184" s="20" t="s">
        <v>129</v>
      </c>
      <c r="AD184" s="20" t="s">
        <v>175</v>
      </c>
      <c r="AE184" s="20" t="s">
        <v>144</v>
      </c>
    </row>
    <row r="185" customFormat="false" ht="15" hidden="false" customHeight="false" outlineLevel="0" collapsed="false">
      <c r="A185" s="20" t="s">
        <v>174</v>
      </c>
      <c r="B185" s="20" t="s">
        <v>78</v>
      </c>
      <c r="C185" s="20" t="s">
        <v>122</v>
      </c>
      <c r="D185" s="20" t="s">
        <v>123</v>
      </c>
      <c r="E185" s="20" t="s">
        <v>124</v>
      </c>
      <c r="F185" s="21" t="n">
        <v>2759.55</v>
      </c>
      <c r="G185" s="21" t="n">
        <v>2765.81</v>
      </c>
      <c r="H185" s="21" t="n">
        <v>2680.87</v>
      </c>
      <c r="I185" s="21" t="n">
        <v>2545.33</v>
      </c>
      <c r="J185" s="21" t="n">
        <v>2670.8</v>
      </c>
      <c r="K185" s="21" t="n">
        <v>2569.16</v>
      </c>
      <c r="L185" s="21" t="n">
        <v>2807.68</v>
      </c>
      <c r="M185" s="21" t="n">
        <v>2865.85</v>
      </c>
      <c r="N185" s="21" t="n">
        <v>2975.73</v>
      </c>
      <c r="O185" s="21" t="n">
        <v>3100.86</v>
      </c>
      <c r="P185" s="21" t="n">
        <v>3207.13</v>
      </c>
      <c r="Q185" s="21" t="n">
        <v>3293.51</v>
      </c>
      <c r="R185" s="21" t="n">
        <v>3378.14</v>
      </c>
      <c r="S185" s="21" t="n">
        <v>3468.8</v>
      </c>
      <c r="T185" s="21" t="n">
        <v>3562.36</v>
      </c>
      <c r="U185" s="20"/>
      <c r="V185" s="20" t="s">
        <v>125</v>
      </c>
      <c r="W185" s="20" t="s">
        <v>97</v>
      </c>
      <c r="X185" s="20"/>
      <c r="Y185" s="20" t="s">
        <v>98</v>
      </c>
      <c r="Z185" s="20" t="s">
        <v>126</v>
      </c>
      <c r="AA185" s="20" t="s">
        <v>127</v>
      </c>
      <c r="AB185" s="20" t="s">
        <v>128</v>
      </c>
      <c r="AC185" s="20" t="s">
        <v>129</v>
      </c>
      <c r="AD185" s="20" t="s">
        <v>175</v>
      </c>
      <c r="AE185" s="20" t="s">
        <v>145</v>
      </c>
    </row>
    <row r="186" customFormat="false" ht="15" hidden="false" customHeight="false" outlineLevel="0" collapsed="false">
      <c r="A186" s="20" t="s">
        <v>174</v>
      </c>
      <c r="B186" s="20" t="s">
        <v>146</v>
      </c>
      <c r="C186" s="20" t="s">
        <v>122</v>
      </c>
      <c r="D186" s="20" t="s">
        <v>123</v>
      </c>
      <c r="E186" s="20" t="s">
        <v>124</v>
      </c>
      <c r="F186" s="21" t="n">
        <v>271.95</v>
      </c>
      <c r="G186" s="21" t="n">
        <v>324.04</v>
      </c>
      <c r="H186" s="21" t="n">
        <v>387.73</v>
      </c>
      <c r="I186" s="21" t="n">
        <v>397.17</v>
      </c>
      <c r="J186" s="21" t="n">
        <v>357.31</v>
      </c>
      <c r="K186" s="21" t="n">
        <v>339.11</v>
      </c>
      <c r="L186" s="21" t="n">
        <v>360.97</v>
      </c>
      <c r="M186" s="21" t="n">
        <v>370.43</v>
      </c>
      <c r="N186" s="21" t="n">
        <v>383.93</v>
      </c>
      <c r="O186" s="21" t="n">
        <v>403.91</v>
      </c>
      <c r="P186" s="21" t="n">
        <v>421.91</v>
      </c>
      <c r="Q186" s="21" t="n">
        <v>435.89</v>
      </c>
      <c r="R186" s="21" t="n">
        <v>445.07</v>
      </c>
      <c r="S186" s="21" t="n">
        <v>452.7</v>
      </c>
      <c r="T186" s="21" t="n">
        <v>459.9</v>
      </c>
      <c r="U186" s="20"/>
      <c r="V186" s="20" t="s">
        <v>125</v>
      </c>
      <c r="W186" s="20" t="s">
        <v>97</v>
      </c>
      <c r="X186" s="20"/>
      <c r="Y186" s="20" t="s">
        <v>98</v>
      </c>
      <c r="Z186" s="20" t="s">
        <v>126</v>
      </c>
      <c r="AA186" s="20" t="s">
        <v>127</v>
      </c>
      <c r="AB186" s="20" t="s">
        <v>128</v>
      </c>
      <c r="AC186" s="20" t="s">
        <v>129</v>
      </c>
      <c r="AD186" s="20" t="s">
        <v>175</v>
      </c>
      <c r="AE186" s="20" t="s">
        <v>147</v>
      </c>
    </row>
    <row r="187" customFormat="false" ht="15" hidden="false" customHeight="false" outlineLevel="0" collapsed="false">
      <c r="A187" s="20" t="s">
        <v>176</v>
      </c>
      <c r="B187" s="20" t="s">
        <v>121</v>
      </c>
      <c r="C187" s="20" t="s">
        <v>122</v>
      </c>
      <c r="D187" s="20" t="s">
        <v>123</v>
      </c>
      <c r="E187" s="20" t="s">
        <v>124</v>
      </c>
      <c r="F187" s="21" t="n">
        <v>92.75</v>
      </c>
      <c r="G187" s="21" t="n">
        <v>105.97</v>
      </c>
      <c r="H187" s="21" t="n">
        <v>109.52</v>
      </c>
      <c r="I187" s="21" t="n">
        <v>113.08</v>
      </c>
      <c r="J187" s="21" t="n">
        <v>114.91</v>
      </c>
      <c r="K187" s="21" t="n">
        <v>102.11</v>
      </c>
      <c r="L187" s="21" t="n">
        <v>97.57</v>
      </c>
      <c r="M187" s="21" t="n">
        <v>96.31</v>
      </c>
      <c r="N187" s="21" t="n">
        <v>95.85</v>
      </c>
      <c r="O187" s="21" t="n">
        <v>96.1</v>
      </c>
      <c r="P187" s="21" t="n">
        <v>97.67</v>
      </c>
      <c r="Q187" s="21" t="n">
        <v>99.53</v>
      </c>
      <c r="R187" s="21" t="n">
        <v>101.44</v>
      </c>
      <c r="S187" s="21" t="n">
        <v>103.65</v>
      </c>
      <c r="T187" s="21" t="n">
        <v>106.04</v>
      </c>
      <c r="U187" s="20"/>
      <c r="V187" s="20" t="s">
        <v>125</v>
      </c>
      <c r="W187" s="20" t="s">
        <v>97</v>
      </c>
      <c r="X187" s="20"/>
      <c r="Y187" s="20" t="s">
        <v>98</v>
      </c>
      <c r="Z187" s="20" t="s">
        <v>126</v>
      </c>
      <c r="AA187" s="20" t="s">
        <v>127</v>
      </c>
      <c r="AB187" s="20" t="s">
        <v>128</v>
      </c>
      <c r="AC187" s="20" t="s">
        <v>129</v>
      </c>
      <c r="AD187" s="20" t="s">
        <v>177</v>
      </c>
      <c r="AE187" s="20" t="s">
        <v>131</v>
      </c>
    </row>
    <row r="188" customFormat="false" ht="15" hidden="false" customHeight="false" outlineLevel="0" collapsed="false">
      <c r="A188" s="20" t="s">
        <v>176</v>
      </c>
      <c r="B188" s="20" t="s">
        <v>132</v>
      </c>
      <c r="C188" s="20" t="s">
        <v>122</v>
      </c>
      <c r="D188" s="20" t="s">
        <v>123</v>
      </c>
      <c r="E188" s="20" t="s">
        <v>124</v>
      </c>
      <c r="F188" s="21" t="n">
        <v>691.8</v>
      </c>
      <c r="G188" s="21" t="n">
        <v>694.31</v>
      </c>
      <c r="H188" s="21" t="n">
        <v>645.97</v>
      </c>
      <c r="I188" s="21" t="n">
        <v>633.37</v>
      </c>
      <c r="J188" s="21" t="n">
        <v>661.91</v>
      </c>
      <c r="K188" s="21" t="n">
        <v>647.19</v>
      </c>
      <c r="L188" s="21" t="n">
        <v>692.62</v>
      </c>
      <c r="M188" s="21" t="n">
        <v>703.23</v>
      </c>
      <c r="N188" s="21" t="n">
        <v>706.3</v>
      </c>
      <c r="O188" s="21" t="n">
        <v>707.48</v>
      </c>
      <c r="P188" s="21" t="n">
        <v>722.97</v>
      </c>
      <c r="Q188" s="21" t="n">
        <v>735.51</v>
      </c>
      <c r="R188" s="21" t="n">
        <v>751.48</v>
      </c>
      <c r="S188" s="21" t="n">
        <v>768.92</v>
      </c>
      <c r="T188" s="21" t="n">
        <v>787.8</v>
      </c>
      <c r="U188" s="20"/>
      <c r="V188" s="20" t="s">
        <v>125</v>
      </c>
      <c r="W188" s="20" t="s">
        <v>97</v>
      </c>
      <c r="X188" s="20"/>
      <c r="Y188" s="20" t="s">
        <v>98</v>
      </c>
      <c r="Z188" s="20" t="s">
        <v>126</v>
      </c>
      <c r="AA188" s="20" t="s">
        <v>127</v>
      </c>
      <c r="AB188" s="20" t="s">
        <v>128</v>
      </c>
      <c r="AC188" s="20" t="s">
        <v>129</v>
      </c>
      <c r="AD188" s="20" t="s">
        <v>177</v>
      </c>
      <c r="AE188" s="20" t="s">
        <v>133</v>
      </c>
    </row>
    <row r="189" customFormat="false" ht="15" hidden="false" customHeight="false" outlineLevel="0" collapsed="false">
      <c r="A189" s="20" t="s">
        <v>176</v>
      </c>
      <c r="B189" s="20" t="s">
        <v>134</v>
      </c>
      <c r="C189" s="20" t="s">
        <v>122</v>
      </c>
      <c r="D189" s="20" t="s">
        <v>123</v>
      </c>
      <c r="E189" s="20" t="s">
        <v>124</v>
      </c>
      <c r="F189" s="21" t="n">
        <v>250.63</v>
      </c>
      <c r="G189" s="21" t="n">
        <v>292.13</v>
      </c>
      <c r="H189" s="21" t="n">
        <v>298.8</v>
      </c>
      <c r="I189" s="21" t="n">
        <v>304.45</v>
      </c>
      <c r="J189" s="21" t="n">
        <v>307.28</v>
      </c>
      <c r="K189" s="21" t="n">
        <v>284.37</v>
      </c>
      <c r="L189" s="21" t="n">
        <v>287.11</v>
      </c>
      <c r="M189" s="21" t="n">
        <v>287.76</v>
      </c>
      <c r="N189" s="21" t="n">
        <v>289.13</v>
      </c>
      <c r="O189" s="21" t="n">
        <v>289.65</v>
      </c>
      <c r="P189" s="21" t="n">
        <v>294.26</v>
      </c>
      <c r="Q189" s="21" t="n">
        <v>296.89</v>
      </c>
      <c r="R189" s="21" t="n">
        <v>301</v>
      </c>
      <c r="S189" s="21" t="n">
        <v>305.89</v>
      </c>
      <c r="T189" s="21" t="n">
        <v>311.41</v>
      </c>
      <c r="U189" s="20"/>
      <c r="V189" s="20" t="s">
        <v>125</v>
      </c>
      <c r="W189" s="20" t="s">
        <v>97</v>
      </c>
      <c r="X189" s="20"/>
      <c r="Y189" s="20" t="s">
        <v>98</v>
      </c>
      <c r="Z189" s="20" t="s">
        <v>126</v>
      </c>
      <c r="AA189" s="20" t="s">
        <v>127</v>
      </c>
      <c r="AB189" s="20" t="s">
        <v>128</v>
      </c>
      <c r="AC189" s="20" t="s">
        <v>129</v>
      </c>
      <c r="AD189" s="20" t="s">
        <v>177</v>
      </c>
      <c r="AE189" s="20" t="s">
        <v>135</v>
      </c>
    </row>
    <row r="190" customFormat="false" ht="15" hidden="false" customHeight="false" outlineLevel="0" collapsed="false">
      <c r="A190" s="20" t="s">
        <v>176</v>
      </c>
      <c r="B190" s="20" t="s">
        <v>136</v>
      </c>
      <c r="C190" s="20" t="s">
        <v>122</v>
      </c>
      <c r="D190" s="20" t="s">
        <v>123</v>
      </c>
      <c r="E190" s="20" t="s">
        <v>124</v>
      </c>
      <c r="F190" s="21" t="n">
        <v>469.58</v>
      </c>
      <c r="G190" s="21" t="n">
        <v>452.82</v>
      </c>
      <c r="H190" s="21" t="n">
        <v>461.48</v>
      </c>
      <c r="I190" s="21" t="n">
        <v>468.43</v>
      </c>
      <c r="J190" s="21" t="n">
        <v>491.4</v>
      </c>
      <c r="K190" s="21" t="n">
        <v>452.87</v>
      </c>
      <c r="L190" s="21" t="n">
        <v>443.59</v>
      </c>
      <c r="M190" s="21" t="n">
        <v>439.7</v>
      </c>
      <c r="N190" s="21" t="n">
        <v>441.07</v>
      </c>
      <c r="O190" s="21" t="n">
        <v>446.13</v>
      </c>
      <c r="P190" s="21" t="n">
        <v>458.7</v>
      </c>
      <c r="Q190" s="21" t="n">
        <v>469.06</v>
      </c>
      <c r="R190" s="21" t="n">
        <v>480.65</v>
      </c>
      <c r="S190" s="21" t="n">
        <v>493.46</v>
      </c>
      <c r="T190" s="21" t="n">
        <v>507.12</v>
      </c>
      <c r="U190" s="20"/>
      <c r="V190" s="20" t="s">
        <v>125</v>
      </c>
      <c r="W190" s="20" t="s">
        <v>97</v>
      </c>
      <c r="X190" s="20"/>
      <c r="Y190" s="20" t="s">
        <v>98</v>
      </c>
      <c r="Z190" s="20" t="s">
        <v>126</v>
      </c>
      <c r="AA190" s="20" t="s">
        <v>127</v>
      </c>
      <c r="AB190" s="20" t="s">
        <v>128</v>
      </c>
      <c r="AC190" s="20" t="s">
        <v>129</v>
      </c>
      <c r="AD190" s="20" t="s">
        <v>177</v>
      </c>
      <c r="AE190" s="20" t="s">
        <v>137</v>
      </c>
    </row>
    <row r="191" customFormat="false" ht="15" hidden="false" customHeight="false" outlineLevel="0" collapsed="false">
      <c r="A191" s="20" t="s">
        <v>176</v>
      </c>
      <c r="B191" s="20" t="s">
        <v>60</v>
      </c>
      <c r="C191" s="20" t="s">
        <v>122</v>
      </c>
      <c r="D191" s="20" t="s">
        <v>123</v>
      </c>
      <c r="E191" s="20" t="s">
        <v>124</v>
      </c>
      <c r="F191" s="21" t="n">
        <v>2723.89</v>
      </c>
      <c r="G191" s="21" t="n">
        <v>2807.78</v>
      </c>
      <c r="H191" s="21" t="n">
        <v>2853.15</v>
      </c>
      <c r="I191" s="21" t="n">
        <v>2904.81</v>
      </c>
      <c r="J191" s="21" t="n">
        <v>2981.78</v>
      </c>
      <c r="K191" s="21" t="n">
        <v>3358.34</v>
      </c>
      <c r="L191" s="21" t="n">
        <v>3728.85</v>
      </c>
      <c r="M191" s="21" t="n">
        <v>3854.73</v>
      </c>
      <c r="N191" s="21" t="n">
        <v>3930.7</v>
      </c>
      <c r="O191" s="21" t="n">
        <v>4025.71</v>
      </c>
      <c r="P191" s="21" t="n">
        <v>4148.52</v>
      </c>
      <c r="Q191" s="21" t="n">
        <v>4241.19</v>
      </c>
      <c r="R191" s="21" t="n">
        <v>4298.43</v>
      </c>
      <c r="S191" s="21" t="n">
        <v>4345.02</v>
      </c>
      <c r="T191" s="21" t="n">
        <v>4394.18</v>
      </c>
      <c r="U191" s="20"/>
      <c r="V191" s="20" t="s">
        <v>125</v>
      </c>
      <c r="W191" s="20" t="s">
        <v>97</v>
      </c>
      <c r="X191" s="20"/>
      <c r="Y191" s="20" t="s">
        <v>98</v>
      </c>
      <c r="Z191" s="20" t="s">
        <v>126</v>
      </c>
      <c r="AA191" s="20" t="s">
        <v>127</v>
      </c>
      <c r="AB191" s="20" t="s">
        <v>128</v>
      </c>
      <c r="AC191" s="20" t="s">
        <v>129</v>
      </c>
      <c r="AD191" s="20" t="s">
        <v>177</v>
      </c>
      <c r="AE191" s="20" t="s">
        <v>138</v>
      </c>
    </row>
    <row r="192" customFormat="false" ht="15" hidden="false" customHeight="false" outlineLevel="0" collapsed="false">
      <c r="A192" s="20" t="s">
        <v>176</v>
      </c>
      <c r="B192" s="20" t="s">
        <v>139</v>
      </c>
      <c r="C192" s="20" t="s">
        <v>122</v>
      </c>
      <c r="D192" s="20" t="s">
        <v>123</v>
      </c>
      <c r="E192" s="20" t="s">
        <v>124</v>
      </c>
      <c r="F192" s="21" t="n">
        <v>287.6</v>
      </c>
      <c r="G192" s="21" t="n">
        <v>325.67</v>
      </c>
      <c r="H192" s="21" t="n">
        <v>328.16</v>
      </c>
      <c r="I192" s="21" t="n">
        <v>329.65</v>
      </c>
      <c r="J192" s="21" t="n">
        <v>328.99</v>
      </c>
      <c r="K192" s="21" t="n">
        <v>305.11</v>
      </c>
      <c r="L192" s="21" t="n">
        <v>304.87</v>
      </c>
      <c r="M192" s="21" t="n">
        <v>307.37</v>
      </c>
      <c r="N192" s="21" t="n">
        <v>311.82</v>
      </c>
      <c r="O192" s="21" t="n">
        <v>316.51</v>
      </c>
      <c r="P192" s="21" t="n">
        <v>325.22</v>
      </c>
      <c r="Q192" s="21" t="n">
        <v>332.16</v>
      </c>
      <c r="R192" s="21" t="n">
        <v>340.01</v>
      </c>
      <c r="S192" s="21" t="n">
        <v>348.65</v>
      </c>
      <c r="T192" s="21" t="n">
        <v>357.79</v>
      </c>
      <c r="U192" s="20"/>
      <c r="V192" s="20" t="s">
        <v>125</v>
      </c>
      <c r="W192" s="20" t="s">
        <v>97</v>
      </c>
      <c r="X192" s="20"/>
      <c r="Y192" s="20" t="s">
        <v>98</v>
      </c>
      <c r="Z192" s="20" t="s">
        <v>126</v>
      </c>
      <c r="AA192" s="20" t="s">
        <v>127</v>
      </c>
      <c r="AB192" s="20" t="s">
        <v>128</v>
      </c>
      <c r="AC192" s="20" t="s">
        <v>129</v>
      </c>
      <c r="AD192" s="20" t="s">
        <v>177</v>
      </c>
      <c r="AE192" s="20" t="s">
        <v>140</v>
      </c>
    </row>
    <row r="193" customFormat="false" ht="15" hidden="false" customHeight="false" outlineLevel="0" collapsed="false">
      <c r="A193" s="20" t="s">
        <v>176</v>
      </c>
      <c r="B193" s="20" t="s">
        <v>67</v>
      </c>
      <c r="C193" s="20" t="s">
        <v>122</v>
      </c>
      <c r="D193" s="20" t="s">
        <v>123</v>
      </c>
      <c r="E193" s="20" t="s">
        <v>124</v>
      </c>
      <c r="F193" s="21" t="n">
        <v>1485.18</v>
      </c>
      <c r="G193" s="21" t="n">
        <v>1881.88</v>
      </c>
      <c r="H193" s="21" t="n">
        <v>2341.98</v>
      </c>
      <c r="I193" s="21" t="n">
        <v>2299.56</v>
      </c>
      <c r="J193" s="21" t="n">
        <v>2315.02</v>
      </c>
      <c r="K193" s="21" t="n">
        <v>2547.07</v>
      </c>
      <c r="L193" s="21" t="n">
        <v>2848.12</v>
      </c>
      <c r="M193" s="21" t="n">
        <v>2959.66</v>
      </c>
      <c r="N193" s="21" t="n">
        <v>3036.89</v>
      </c>
      <c r="O193" s="21" t="n">
        <v>3119.63</v>
      </c>
      <c r="P193" s="21" t="n">
        <v>3215.54</v>
      </c>
      <c r="Q193" s="21" t="n">
        <v>3282.41</v>
      </c>
      <c r="R193" s="21" t="n">
        <v>3319.95</v>
      </c>
      <c r="S193" s="21" t="n">
        <v>3349.27</v>
      </c>
      <c r="T193" s="21" t="n">
        <v>3381.4</v>
      </c>
      <c r="U193" s="20"/>
      <c r="V193" s="20" t="s">
        <v>125</v>
      </c>
      <c r="W193" s="20" t="s">
        <v>97</v>
      </c>
      <c r="X193" s="20"/>
      <c r="Y193" s="20" t="s">
        <v>98</v>
      </c>
      <c r="Z193" s="20" t="s">
        <v>126</v>
      </c>
      <c r="AA193" s="20" t="s">
        <v>127</v>
      </c>
      <c r="AB193" s="20" t="s">
        <v>128</v>
      </c>
      <c r="AC193" s="20" t="s">
        <v>129</v>
      </c>
      <c r="AD193" s="20" t="s">
        <v>177</v>
      </c>
      <c r="AE193" s="20" t="s">
        <v>141</v>
      </c>
    </row>
    <row r="194" customFormat="false" ht="15" hidden="false" customHeight="false" outlineLevel="0" collapsed="false">
      <c r="A194" s="20" t="s">
        <v>176</v>
      </c>
      <c r="B194" s="20" t="s">
        <v>64</v>
      </c>
      <c r="C194" s="20" t="s">
        <v>122</v>
      </c>
      <c r="D194" s="20" t="s">
        <v>123</v>
      </c>
      <c r="E194" s="20" t="s">
        <v>124</v>
      </c>
      <c r="F194" s="21" t="n">
        <v>5758.66</v>
      </c>
      <c r="G194" s="21" t="n">
        <v>6098.82</v>
      </c>
      <c r="H194" s="21" t="n">
        <v>6182.89</v>
      </c>
      <c r="I194" s="21" t="n">
        <v>6290.66</v>
      </c>
      <c r="J194" s="21" t="n">
        <v>6399.47</v>
      </c>
      <c r="K194" s="21" t="n">
        <v>7026.06</v>
      </c>
      <c r="L194" s="21" t="n">
        <v>7525.7</v>
      </c>
      <c r="M194" s="21" t="n">
        <v>7841.8</v>
      </c>
      <c r="N194" s="21" t="n">
        <v>7961.97</v>
      </c>
      <c r="O194" s="21" t="n">
        <v>8039</v>
      </c>
      <c r="P194" s="21" t="n">
        <v>8134.11</v>
      </c>
      <c r="Q194" s="21" t="n">
        <v>8270.6</v>
      </c>
      <c r="R194" s="21" t="n">
        <v>8385.52</v>
      </c>
      <c r="S194" s="21" t="n">
        <v>8505.77</v>
      </c>
      <c r="T194" s="21" t="n">
        <v>8643.37</v>
      </c>
      <c r="U194" s="20"/>
      <c r="V194" s="20" t="s">
        <v>125</v>
      </c>
      <c r="W194" s="20" t="s">
        <v>97</v>
      </c>
      <c r="X194" s="20"/>
      <c r="Y194" s="20" t="s">
        <v>98</v>
      </c>
      <c r="Z194" s="20" t="s">
        <v>126</v>
      </c>
      <c r="AA194" s="20" t="s">
        <v>127</v>
      </c>
      <c r="AB194" s="20" t="s">
        <v>128</v>
      </c>
      <c r="AC194" s="20" t="s">
        <v>129</v>
      </c>
      <c r="AD194" s="20" t="s">
        <v>177</v>
      </c>
      <c r="AE194" s="20" t="s">
        <v>142</v>
      </c>
    </row>
    <row r="195" customFormat="false" ht="15" hidden="false" customHeight="false" outlineLevel="0" collapsed="false">
      <c r="A195" s="20" t="s">
        <v>176</v>
      </c>
      <c r="B195" s="20" t="s">
        <v>74</v>
      </c>
      <c r="C195" s="20" t="s">
        <v>122</v>
      </c>
      <c r="D195" s="20" t="s">
        <v>123</v>
      </c>
      <c r="E195" s="20" t="s">
        <v>124</v>
      </c>
      <c r="F195" s="21" t="n">
        <v>1326.7</v>
      </c>
      <c r="G195" s="21" t="n">
        <v>1324.46</v>
      </c>
      <c r="H195" s="21" t="n">
        <v>1350.49</v>
      </c>
      <c r="I195" s="21" t="n">
        <v>1380.63</v>
      </c>
      <c r="J195" s="21" t="n">
        <v>1445.58</v>
      </c>
      <c r="K195" s="21" t="n">
        <v>1329.28</v>
      </c>
      <c r="L195" s="21" t="n">
        <v>1342.18</v>
      </c>
      <c r="M195" s="21" t="n">
        <v>1342.38</v>
      </c>
      <c r="N195" s="21" t="n">
        <v>1346.99</v>
      </c>
      <c r="O195" s="21" t="n">
        <v>1354.96</v>
      </c>
      <c r="P195" s="21" t="n">
        <v>1387.99</v>
      </c>
      <c r="Q195" s="21" t="n">
        <v>1416.47</v>
      </c>
      <c r="R195" s="21" t="n">
        <v>1449.5</v>
      </c>
      <c r="S195" s="21" t="n">
        <v>1485.66</v>
      </c>
      <c r="T195" s="21" t="n">
        <v>1524.47</v>
      </c>
      <c r="U195" s="20"/>
      <c r="V195" s="20" t="s">
        <v>125</v>
      </c>
      <c r="W195" s="20" t="s">
        <v>97</v>
      </c>
      <c r="X195" s="20"/>
      <c r="Y195" s="20" t="s">
        <v>98</v>
      </c>
      <c r="Z195" s="20" t="s">
        <v>126</v>
      </c>
      <c r="AA195" s="20" t="s">
        <v>127</v>
      </c>
      <c r="AB195" s="20" t="s">
        <v>128</v>
      </c>
      <c r="AC195" s="20" t="s">
        <v>129</v>
      </c>
      <c r="AD195" s="20" t="s">
        <v>177</v>
      </c>
      <c r="AE195" s="20" t="s">
        <v>143</v>
      </c>
    </row>
    <row r="196" customFormat="false" ht="15" hidden="false" customHeight="false" outlineLevel="0" collapsed="false">
      <c r="A196" s="20" t="s">
        <v>176</v>
      </c>
      <c r="B196" s="20" t="s">
        <v>71</v>
      </c>
      <c r="C196" s="20" t="s">
        <v>122</v>
      </c>
      <c r="D196" s="20" t="s">
        <v>123</v>
      </c>
      <c r="E196" s="20" t="s">
        <v>124</v>
      </c>
      <c r="F196" s="21" t="n">
        <v>3574.96</v>
      </c>
      <c r="G196" s="21" t="n">
        <v>3488.01</v>
      </c>
      <c r="H196" s="21" t="n">
        <v>3149.44</v>
      </c>
      <c r="I196" s="21" t="n">
        <v>3286.51</v>
      </c>
      <c r="J196" s="21" t="n">
        <v>3407.22</v>
      </c>
      <c r="K196" s="21" t="n">
        <v>3865.84</v>
      </c>
      <c r="L196" s="21" t="n">
        <v>4267.05</v>
      </c>
      <c r="M196" s="21" t="n">
        <v>4592.26</v>
      </c>
      <c r="N196" s="21" t="n">
        <v>4743.6</v>
      </c>
      <c r="O196" s="21" t="n">
        <v>4837.77</v>
      </c>
      <c r="P196" s="21" t="n">
        <v>4927.76</v>
      </c>
      <c r="Q196" s="21" t="n">
        <v>5049.64</v>
      </c>
      <c r="R196" s="21" t="n">
        <v>5164.3</v>
      </c>
      <c r="S196" s="21" t="n">
        <v>5285.71</v>
      </c>
      <c r="T196" s="21" t="n">
        <v>5418.9</v>
      </c>
      <c r="U196" s="20"/>
      <c r="V196" s="20" t="s">
        <v>125</v>
      </c>
      <c r="W196" s="20" t="s">
        <v>97</v>
      </c>
      <c r="X196" s="20"/>
      <c r="Y196" s="20" t="s">
        <v>98</v>
      </c>
      <c r="Z196" s="20" t="s">
        <v>126</v>
      </c>
      <c r="AA196" s="20" t="s">
        <v>127</v>
      </c>
      <c r="AB196" s="20" t="s">
        <v>128</v>
      </c>
      <c r="AC196" s="20" t="s">
        <v>129</v>
      </c>
      <c r="AD196" s="20" t="s">
        <v>177</v>
      </c>
      <c r="AE196" s="20" t="s">
        <v>144</v>
      </c>
    </row>
    <row r="197" customFormat="false" ht="15" hidden="false" customHeight="false" outlineLevel="0" collapsed="false">
      <c r="A197" s="20" t="s">
        <v>176</v>
      </c>
      <c r="B197" s="20" t="s">
        <v>78</v>
      </c>
      <c r="C197" s="20" t="s">
        <v>122</v>
      </c>
      <c r="D197" s="20" t="s">
        <v>123</v>
      </c>
      <c r="E197" s="20" t="s">
        <v>124</v>
      </c>
      <c r="F197" s="21" t="n">
        <v>630.98</v>
      </c>
      <c r="G197" s="21" t="n">
        <v>723.77</v>
      </c>
      <c r="H197" s="21" t="n">
        <v>736.47</v>
      </c>
      <c r="I197" s="21" t="n">
        <v>747.18</v>
      </c>
      <c r="J197" s="21" t="n">
        <v>751.18</v>
      </c>
      <c r="K197" s="21" t="n">
        <v>691.59</v>
      </c>
      <c r="L197" s="21" t="n">
        <v>689.55</v>
      </c>
      <c r="M197" s="21" t="n">
        <v>691.44</v>
      </c>
      <c r="N197" s="21" t="n">
        <v>696.8</v>
      </c>
      <c r="O197" s="21" t="n">
        <v>702.26</v>
      </c>
      <c r="P197" s="21" t="n">
        <v>717.14</v>
      </c>
      <c r="Q197" s="21" t="n">
        <v>728.58</v>
      </c>
      <c r="R197" s="21" t="n">
        <v>742.45</v>
      </c>
      <c r="S197" s="21" t="n">
        <v>758.19</v>
      </c>
      <c r="T197" s="21" t="n">
        <v>775.24</v>
      </c>
      <c r="U197" s="20"/>
      <c r="V197" s="20" t="s">
        <v>125</v>
      </c>
      <c r="W197" s="20" t="s">
        <v>97</v>
      </c>
      <c r="X197" s="20"/>
      <c r="Y197" s="20" t="s">
        <v>98</v>
      </c>
      <c r="Z197" s="20" t="s">
        <v>126</v>
      </c>
      <c r="AA197" s="20" t="s">
        <v>127</v>
      </c>
      <c r="AB197" s="20" t="s">
        <v>128</v>
      </c>
      <c r="AC197" s="20" t="s">
        <v>129</v>
      </c>
      <c r="AD197" s="20" t="s">
        <v>177</v>
      </c>
      <c r="AE197" s="20" t="s">
        <v>145</v>
      </c>
    </row>
    <row r="198" customFormat="false" ht="15" hidden="false" customHeight="false" outlineLevel="0" collapsed="false">
      <c r="A198" s="20" t="s">
        <v>176</v>
      </c>
      <c r="B198" s="20" t="s">
        <v>146</v>
      </c>
      <c r="C198" s="20" t="s">
        <v>122</v>
      </c>
      <c r="D198" s="20" t="s">
        <v>123</v>
      </c>
      <c r="E198" s="20" t="s">
        <v>124</v>
      </c>
      <c r="F198" s="21" t="n">
        <v>165.32</v>
      </c>
      <c r="G198" s="21" t="n">
        <v>177.33</v>
      </c>
      <c r="H198" s="21" t="n">
        <v>243.05</v>
      </c>
      <c r="I198" s="21" t="n">
        <v>278.84</v>
      </c>
      <c r="J198" s="21" t="n">
        <v>292.27</v>
      </c>
      <c r="K198" s="21" t="n">
        <v>229.23</v>
      </c>
      <c r="L198" s="21" t="n">
        <v>205.96</v>
      </c>
      <c r="M198" s="21" t="n">
        <v>199.44</v>
      </c>
      <c r="N198" s="21" t="n">
        <v>199.61</v>
      </c>
      <c r="O198" s="21" t="n">
        <v>201.34</v>
      </c>
      <c r="P198" s="21" t="n">
        <v>206.33</v>
      </c>
      <c r="Q198" s="21" t="n">
        <v>211.9</v>
      </c>
      <c r="R198" s="21" t="n">
        <v>217.37</v>
      </c>
      <c r="S198" s="21" t="n">
        <v>223.29</v>
      </c>
      <c r="T198" s="21" t="n">
        <v>229.55</v>
      </c>
      <c r="U198" s="20"/>
      <c r="V198" s="20" t="s">
        <v>125</v>
      </c>
      <c r="W198" s="20" t="s">
        <v>97</v>
      </c>
      <c r="X198" s="20"/>
      <c r="Y198" s="20" t="s">
        <v>98</v>
      </c>
      <c r="Z198" s="20" t="s">
        <v>126</v>
      </c>
      <c r="AA198" s="20" t="s">
        <v>127</v>
      </c>
      <c r="AB198" s="20" t="s">
        <v>128</v>
      </c>
      <c r="AC198" s="20" t="s">
        <v>129</v>
      </c>
      <c r="AD198" s="20" t="s">
        <v>177</v>
      </c>
      <c r="AE198" s="20" t="s">
        <v>147</v>
      </c>
    </row>
    <row r="199" customFormat="false" ht="15" hidden="false" customHeight="false" outlineLevel="0" collapsed="false">
      <c r="A199" s="20" t="s">
        <v>178</v>
      </c>
      <c r="B199" s="20" t="s">
        <v>121</v>
      </c>
      <c r="C199" s="20" t="s">
        <v>122</v>
      </c>
      <c r="D199" s="20" t="s">
        <v>123</v>
      </c>
      <c r="E199" s="20" t="s">
        <v>124</v>
      </c>
      <c r="F199" s="21" t="n">
        <v>30.11</v>
      </c>
      <c r="G199" s="21" t="n">
        <v>34.53</v>
      </c>
      <c r="H199" s="21" t="n">
        <v>35.31</v>
      </c>
      <c r="I199" s="21" t="n">
        <v>34.17</v>
      </c>
      <c r="J199" s="21" t="n">
        <v>37.11</v>
      </c>
      <c r="K199" s="21" t="n">
        <v>39.72</v>
      </c>
      <c r="L199" s="21" t="n">
        <v>41.19</v>
      </c>
      <c r="M199" s="21" t="n">
        <v>45.03</v>
      </c>
      <c r="N199" s="21" t="n">
        <v>45.78</v>
      </c>
      <c r="O199" s="21" t="n">
        <v>47.32</v>
      </c>
      <c r="P199" s="21" t="n">
        <v>48.71</v>
      </c>
      <c r="Q199" s="21" t="n">
        <v>48.72</v>
      </c>
      <c r="R199" s="21" t="n">
        <v>48.72</v>
      </c>
      <c r="S199" s="21" t="n">
        <v>48.78</v>
      </c>
      <c r="T199" s="21" t="n">
        <v>48.93</v>
      </c>
      <c r="U199" s="20"/>
      <c r="V199" s="20" t="s">
        <v>125</v>
      </c>
      <c r="W199" s="20" t="s">
        <v>97</v>
      </c>
      <c r="X199" s="20"/>
      <c r="Y199" s="20" t="s">
        <v>98</v>
      </c>
      <c r="Z199" s="20" t="s">
        <v>126</v>
      </c>
      <c r="AA199" s="20" t="s">
        <v>127</v>
      </c>
      <c r="AB199" s="20" t="s">
        <v>128</v>
      </c>
      <c r="AC199" s="20" t="s">
        <v>129</v>
      </c>
      <c r="AD199" s="20" t="s">
        <v>179</v>
      </c>
      <c r="AE199" s="20" t="s">
        <v>131</v>
      </c>
    </row>
    <row r="200" customFormat="false" ht="15" hidden="false" customHeight="false" outlineLevel="0" collapsed="false">
      <c r="A200" s="20" t="s">
        <v>178</v>
      </c>
      <c r="B200" s="20" t="s">
        <v>132</v>
      </c>
      <c r="C200" s="20" t="s">
        <v>122</v>
      </c>
      <c r="D200" s="20" t="s">
        <v>123</v>
      </c>
      <c r="E200" s="20" t="s">
        <v>124</v>
      </c>
      <c r="F200" s="21" t="n">
        <v>344.94</v>
      </c>
      <c r="G200" s="21" t="n">
        <v>399.72</v>
      </c>
      <c r="H200" s="21" t="n">
        <v>377.72</v>
      </c>
      <c r="I200" s="21" t="n">
        <v>378.76</v>
      </c>
      <c r="J200" s="21" t="n">
        <v>402.83</v>
      </c>
      <c r="K200" s="21" t="n">
        <v>414.57</v>
      </c>
      <c r="L200" s="21" t="n">
        <v>409.68</v>
      </c>
      <c r="M200" s="21" t="n">
        <v>447.81</v>
      </c>
      <c r="N200" s="21" t="n">
        <v>464.79</v>
      </c>
      <c r="O200" s="21" t="n">
        <v>492.25</v>
      </c>
      <c r="P200" s="21" t="n">
        <v>517.08</v>
      </c>
      <c r="Q200" s="21" t="n">
        <v>524.04</v>
      </c>
      <c r="R200" s="21" t="n">
        <v>530.89</v>
      </c>
      <c r="S200" s="21" t="n">
        <v>539.09</v>
      </c>
      <c r="T200" s="21" t="n">
        <v>549</v>
      </c>
      <c r="U200" s="20"/>
      <c r="V200" s="20" t="s">
        <v>125</v>
      </c>
      <c r="W200" s="20" t="s">
        <v>97</v>
      </c>
      <c r="X200" s="20"/>
      <c r="Y200" s="20" t="s">
        <v>98</v>
      </c>
      <c r="Z200" s="20" t="s">
        <v>126</v>
      </c>
      <c r="AA200" s="20" t="s">
        <v>127</v>
      </c>
      <c r="AB200" s="20" t="s">
        <v>128</v>
      </c>
      <c r="AC200" s="20" t="s">
        <v>129</v>
      </c>
      <c r="AD200" s="20" t="s">
        <v>179</v>
      </c>
      <c r="AE200" s="20" t="s">
        <v>133</v>
      </c>
    </row>
    <row r="201" customFormat="false" ht="15" hidden="false" customHeight="false" outlineLevel="0" collapsed="false">
      <c r="A201" s="20" t="s">
        <v>178</v>
      </c>
      <c r="B201" s="20" t="s">
        <v>134</v>
      </c>
      <c r="C201" s="20" t="s">
        <v>122</v>
      </c>
      <c r="D201" s="20" t="s">
        <v>123</v>
      </c>
      <c r="E201" s="20" t="s">
        <v>124</v>
      </c>
      <c r="F201" s="21" t="n">
        <v>344.95</v>
      </c>
      <c r="G201" s="21" t="n">
        <v>392.54</v>
      </c>
      <c r="H201" s="21" t="n">
        <v>398.91</v>
      </c>
      <c r="I201" s="21" t="n">
        <v>377.4</v>
      </c>
      <c r="J201" s="21" t="n">
        <v>403.85</v>
      </c>
      <c r="K201" s="21" t="n">
        <v>428.09</v>
      </c>
      <c r="L201" s="21" t="n">
        <v>430.22</v>
      </c>
      <c r="M201" s="21" t="n">
        <v>469.6</v>
      </c>
      <c r="N201" s="21" t="n">
        <v>482.97</v>
      </c>
      <c r="O201" s="21" t="n">
        <v>506.58</v>
      </c>
      <c r="P201" s="21" t="n">
        <v>528.64</v>
      </c>
      <c r="Q201" s="21" t="n">
        <v>534.96</v>
      </c>
      <c r="R201" s="21" t="n">
        <v>540.22</v>
      </c>
      <c r="S201" s="21" t="n">
        <v>545.81</v>
      </c>
      <c r="T201" s="21" t="n">
        <v>552.16</v>
      </c>
      <c r="U201" s="20"/>
      <c r="V201" s="20" t="s">
        <v>125</v>
      </c>
      <c r="W201" s="20" t="s">
        <v>97</v>
      </c>
      <c r="X201" s="20"/>
      <c r="Y201" s="20" t="s">
        <v>98</v>
      </c>
      <c r="Z201" s="20" t="s">
        <v>126</v>
      </c>
      <c r="AA201" s="20" t="s">
        <v>127</v>
      </c>
      <c r="AB201" s="20" t="s">
        <v>128</v>
      </c>
      <c r="AC201" s="20" t="s">
        <v>129</v>
      </c>
      <c r="AD201" s="20" t="s">
        <v>179</v>
      </c>
      <c r="AE201" s="20" t="s">
        <v>135</v>
      </c>
    </row>
    <row r="202" customFormat="false" ht="15" hidden="false" customHeight="false" outlineLevel="0" collapsed="false">
      <c r="A202" s="20" t="s">
        <v>178</v>
      </c>
      <c r="B202" s="20" t="s">
        <v>136</v>
      </c>
      <c r="C202" s="20" t="s">
        <v>122</v>
      </c>
      <c r="D202" s="20" t="s">
        <v>123</v>
      </c>
      <c r="E202" s="20" t="s">
        <v>124</v>
      </c>
      <c r="F202" s="21" t="n">
        <v>459.19</v>
      </c>
      <c r="G202" s="21" t="n">
        <v>447.19</v>
      </c>
      <c r="H202" s="21" t="n">
        <v>443.17</v>
      </c>
      <c r="I202" s="21" t="n">
        <v>432.28</v>
      </c>
      <c r="J202" s="21" t="n">
        <v>421.71</v>
      </c>
      <c r="K202" s="21" t="n">
        <v>433.74</v>
      </c>
      <c r="L202" s="21" t="n">
        <v>433.75</v>
      </c>
      <c r="M202" s="21" t="n">
        <v>471.68</v>
      </c>
      <c r="N202" s="21" t="n">
        <v>485.22</v>
      </c>
      <c r="O202" s="21" t="n">
        <v>511.84</v>
      </c>
      <c r="P202" s="21" t="n">
        <v>537.85</v>
      </c>
      <c r="Q202" s="21" t="n">
        <v>545.31</v>
      </c>
      <c r="R202" s="21" t="n">
        <v>553.23</v>
      </c>
      <c r="S202" s="21" t="n">
        <v>563.14</v>
      </c>
      <c r="T202" s="21" t="n">
        <v>574.66</v>
      </c>
      <c r="U202" s="20"/>
      <c r="V202" s="20" t="s">
        <v>125</v>
      </c>
      <c r="W202" s="20" t="s">
        <v>97</v>
      </c>
      <c r="X202" s="20"/>
      <c r="Y202" s="20" t="s">
        <v>98</v>
      </c>
      <c r="Z202" s="20" t="s">
        <v>126</v>
      </c>
      <c r="AA202" s="20" t="s">
        <v>127</v>
      </c>
      <c r="AB202" s="20" t="s">
        <v>128</v>
      </c>
      <c r="AC202" s="20" t="s">
        <v>129</v>
      </c>
      <c r="AD202" s="20" t="s">
        <v>179</v>
      </c>
      <c r="AE202" s="20" t="s">
        <v>137</v>
      </c>
    </row>
    <row r="203" customFormat="false" ht="15" hidden="false" customHeight="false" outlineLevel="0" collapsed="false">
      <c r="A203" s="20" t="s">
        <v>178</v>
      </c>
      <c r="B203" s="20" t="s">
        <v>60</v>
      </c>
      <c r="C203" s="20" t="s">
        <v>122</v>
      </c>
      <c r="D203" s="20" t="s">
        <v>123</v>
      </c>
      <c r="E203" s="20" t="s">
        <v>124</v>
      </c>
      <c r="F203" s="21" t="n">
        <v>4526.02</v>
      </c>
      <c r="G203" s="21" t="n">
        <v>4711.76</v>
      </c>
      <c r="H203" s="21" t="n">
        <v>4864.04</v>
      </c>
      <c r="I203" s="21" t="n">
        <v>4534.3</v>
      </c>
      <c r="J203" s="21" t="n">
        <v>4199.37</v>
      </c>
      <c r="K203" s="21" t="n">
        <v>3970.85</v>
      </c>
      <c r="L203" s="21" t="n">
        <v>2861.54</v>
      </c>
      <c r="M203" s="21" t="n">
        <v>2517.78</v>
      </c>
      <c r="N203" s="21" t="n">
        <v>2574.43</v>
      </c>
      <c r="O203" s="21" t="n">
        <v>2509.67</v>
      </c>
      <c r="P203" s="21" t="n">
        <v>2682.64</v>
      </c>
      <c r="Q203" s="21" t="n">
        <v>2819.66</v>
      </c>
      <c r="R203" s="21" t="n">
        <v>2932.17</v>
      </c>
      <c r="S203" s="21" t="n">
        <v>3015.68</v>
      </c>
      <c r="T203" s="21" t="n">
        <v>3054.98</v>
      </c>
      <c r="U203" s="20"/>
      <c r="V203" s="20" t="s">
        <v>125</v>
      </c>
      <c r="W203" s="20" t="s">
        <v>97</v>
      </c>
      <c r="X203" s="20"/>
      <c r="Y203" s="20" t="s">
        <v>98</v>
      </c>
      <c r="Z203" s="20" t="s">
        <v>126</v>
      </c>
      <c r="AA203" s="20" t="s">
        <v>127</v>
      </c>
      <c r="AB203" s="20" t="s">
        <v>128</v>
      </c>
      <c r="AC203" s="20" t="s">
        <v>129</v>
      </c>
      <c r="AD203" s="20" t="s">
        <v>179</v>
      </c>
      <c r="AE203" s="20" t="s">
        <v>138</v>
      </c>
    </row>
    <row r="204" customFormat="false" ht="15" hidden="false" customHeight="false" outlineLevel="0" collapsed="false">
      <c r="A204" s="20" t="s">
        <v>178</v>
      </c>
      <c r="B204" s="20" t="s">
        <v>139</v>
      </c>
      <c r="C204" s="20" t="s">
        <v>122</v>
      </c>
      <c r="D204" s="20" t="s">
        <v>123</v>
      </c>
      <c r="E204" s="20" t="s">
        <v>124</v>
      </c>
      <c r="F204" s="21" t="n">
        <v>328.95</v>
      </c>
      <c r="G204" s="21" t="n">
        <v>376.7</v>
      </c>
      <c r="H204" s="21" t="n">
        <v>383.89</v>
      </c>
      <c r="I204" s="21" t="n">
        <v>365.18</v>
      </c>
      <c r="J204" s="21" t="n">
        <v>392.44</v>
      </c>
      <c r="K204" s="21" t="n">
        <v>417.37</v>
      </c>
      <c r="L204" s="21" t="n">
        <v>419.22</v>
      </c>
      <c r="M204" s="21" t="n">
        <v>455.76</v>
      </c>
      <c r="N204" s="21" t="n">
        <v>466.32</v>
      </c>
      <c r="O204" s="21" t="n">
        <v>487.29</v>
      </c>
      <c r="P204" s="21" t="n">
        <v>507.4</v>
      </c>
      <c r="Q204" s="21" t="n">
        <v>512.56</v>
      </c>
      <c r="R204" s="21" t="n">
        <v>516.9</v>
      </c>
      <c r="S204" s="21" t="n">
        <v>521.72</v>
      </c>
      <c r="T204" s="21" t="n">
        <v>527.31</v>
      </c>
      <c r="U204" s="20"/>
      <c r="V204" s="20" t="s">
        <v>125</v>
      </c>
      <c r="W204" s="20" t="s">
        <v>97</v>
      </c>
      <c r="X204" s="20"/>
      <c r="Y204" s="20" t="s">
        <v>98</v>
      </c>
      <c r="Z204" s="20" t="s">
        <v>126</v>
      </c>
      <c r="AA204" s="20" t="s">
        <v>127</v>
      </c>
      <c r="AB204" s="20" t="s">
        <v>128</v>
      </c>
      <c r="AC204" s="20" t="s">
        <v>129</v>
      </c>
      <c r="AD204" s="20" t="s">
        <v>179</v>
      </c>
      <c r="AE204" s="20" t="s">
        <v>140</v>
      </c>
    </row>
    <row r="205" customFormat="false" ht="15" hidden="false" customHeight="false" outlineLevel="0" collapsed="false">
      <c r="A205" s="20" t="s">
        <v>178</v>
      </c>
      <c r="B205" s="20" t="s">
        <v>67</v>
      </c>
      <c r="C205" s="20" t="s">
        <v>122</v>
      </c>
      <c r="D205" s="20" t="s">
        <v>123</v>
      </c>
      <c r="E205" s="20" t="s">
        <v>124</v>
      </c>
      <c r="F205" s="21" t="n">
        <v>1074.02</v>
      </c>
      <c r="G205" s="21" t="n">
        <v>1135.75</v>
      </c>
      <c r="H205" s="21" t="n">
        <v>1246.01</v>
      </c>
      <c r="I205" s="21" t="n">
        <v>1192.81</v>
      </c>
      <c r="J205" s="21" t="n">
        <v>1186.29</v>
      </c>
      <c r="K205" s="21" t="n">
        <v>1178.77</v>
      </c>
      <c r="L205" s="21" t="n">
        <v>907.78</v>
      </c>
      <c r="M205" s="21" t="n">
        <v>830.5</v>
      </c>
      <c r="N205" s="21" t="n">
        <v>885.44</v>
      </c>
      <c r="O205" s="21" t="n">
        <v>863.18</v>
      </c>
      <c r="P205" s="21" t="n">
        <v>906.36</v>
      </c>
      <c r="Q205" s="21" t="n">
        <v>947.18</v>
      </c>
      <c r="R205" s="21" t="n">
        <v>983.46</v>
      </c>
      <c r="S205" s="21" t="n">
        <v>1005.79</v>
      </c>
      <c r="T205" s="21" t="n">
        <v>1015.33</v>
      </c>
      <c r="U205" s="20"/>
      <c r="V205" s="20" t="s">
        <v>125</v>
      </c>
      <c r="W205" s="20" t="s">
        <v>97</v>
      </c>
      <c r="X205" s="20"/>
      <c r="Y205" s="20" t="s">
        <v>98</v>
      </c>
      <c r="Z205" s="20" t="s">
        <v>126</v>
      </c>
      <c r="AA205" s="20" t="s">
        <v>127</v>
      </c>
      <c r="AB205" s="20" t="s">
        <v>128</v>
      </c>
      <c r="AC205" s="20" t="s">
        <v>129</v>
      </c>
      <c r="AD205" s="20" t="s">
        <v>179</v>
      </c>
      <c r="AE205" s="20" t="s">
        <v>141</v>
      </c>
    </row>
    <row r="206" customFormat="false" ht="15" hidden="false" customHeight="false" outlineLevel="0" collapsed="false">
      <c r="A206" s="20" t="s">
        <v>178</v>
      </c>
      <c r="B206" s="20" t="s">
        <v>64</v>
      </c>
      <c r="C206" s="20" t="s">
        <v>122</v>
      </c>
      <c r="D206" s="20" t="s">
        <v>123</v>
      </c>
      <c r="E206" s="20" t="s">
        <v>124</v>
      </c>
      <c r="F206" s="21" t="n">
        <v>1282.4</v>
      </c>
      <c r="G206" s="21" t="n">
        <v>1442.72</v>
      </c>
      <c r="H206" s="21" t="n">
        <v>1265.64</v>
      </c>
      <c r="I206" s="21" t="n">
        <v>1345.53</v>
      </c>
      <c r="J206" s="21" t="n">
        <v>1461.9</v>
      </c>
      <c r="K206" s="21" t="n">
        <v>1535.92</v>
      </c>
      <c r="L206" s="21" t="n">
        <v>1312.15</v>
      </c>
      <c r="M206" s="21" t="n">
        <v>1453.52</v>
      </c>
      <c r="N206" s="21" t="n">
        <v>1742.17</v>
      </c>
      <c r="O206" s="21" t="n">
        <v>1726.15</v>
      </c>
      <c r="P206" s="21" t="n">
        <v>1787.35</v>
      </c>
      <c r="Q206" s="21" t="n">
        <v>1881.27</v>
      </c>
      <c r="R206" s="21" t="n">
        <v>1938.7</v>
      </c>
      <c r="S206" s="21" t="n">
        <v>1955.86</v>
      </c>
      <c r="T206" s="21" t="n">
        <v>1958.9</v>
      </c>
      <c r="U206" s="20"/>
      <c r="V206" s="20" t="s">
        <v>125</v>
      </c>
      <c r="W206" s="20" t="s">
        <v>97</v>
      </c>
      <c r="X206" s="20"/>
      <c r="Y206" s="20" t="s">
        <v>98</v>
      </c>
      <c r="Z206" s="20" t="s">
        <v>126</v>
      </c>
      <c r="AA206" s="20" t="s">
        <v>127</v>
      </c>
      <c r="AB206" s="20" t="s">
        <v>128</v>
      </c>
      <c r="AC206" s="20" t="s">
        <v>129</v>
      </c>
      <c r="AD206" s="20" t="s">
        <v>179</v>
      </c>
      <c r="AE206" s="20" t="s">
        <v>142</v>
      </c>
    </row>
    <row r="207" customFormat="false" ht="15" hidden="false" customHeight="false" outlineLevel="0" collapsed="false">
      <c r="A207" s="20" t="s">
        <v>178</v>
      </c>
      <c r="B207" s="20" t="s">
        <v>74</v>
      </c>
      <c r="C207" s="20" t="s">
        <v>122</v>
      </c>
      <c r="D207" s="20" t="s">
        <v>123</v>
      </c>
      <c r="E207" s="20" t="s">
        <v>124</v>
      </c>
      <c r="F207" s="21" t="n">
        <v>842.89</v>
      </c>
      <c r="G207" s="21" t="n">
        <v>897.74</v>
      </c>
      <c r="H207" s="21" t="n">
        <v>885.95</v>
      </c>
      <c r="I207" s="21" t="n">
        <v>867.42</v>
      </c>
      <c r="J207" s="21" t="n">
        <v>876.98</v>
      </c>
      <c r="K207" s="21" t="n">
        <v>908.83</v>
      </c>
      <c r="L207" s="21" t="n">
        <v>913.86</v>
      </c>
      <c r="M207" s="21" t="n">
        <v>1001.71</v>
      </c>
      <c r="N207" s="21" t="n">
        <v>1036.84</v>
      </c>
      <c r="O207" s="21" t="n">
        <v>1096.39</v>
      </c>
      <c r="P207" s="21" t="n">
        <v>1152.02</v>
      </c>
      <c r="Q207" s="21" t="n">
        <v>1167.86</v>
      </c>
      <c r="R207" s="21" t="n">
        <v>1184.18</v>
      </c>
      <c r="S207" s="21" t="n">
        <v>1204.13</v>
      </c>
      <c r="T207" s="21" t="n">
        <v>1227.59</v>
      </c>
      <c r="U207" s="20"/>
      <c r="V207" s="20" t="s">
        <v>125</v>
      </c>
      <c r="W207" s="20" t="s">
        <v>97</v>
      </c>
      <c r="X207" s="20"/>
      <c r="Y207" s="20" t="s">
        <v>98</v>
      </c>
      <c r="Z207" s="20" t="s">
        <v>126</v>
      </c>
      <c r="AA207" s="20" t="s">
        <v>127</v>
      </c>
      <c r="AB207" s="20" t="s">
        <v>128</v>
      </c>
      <c r="AC207" s="20" t="s">
        <v>129</v>
      </c>
      <c r="AD207" s="20" t="s">
        <v>179</v>
      </c>
      <c r="AE207" s="20" t="s">
        <v>143</v>
      </c>
    </row>
    <row r="208" customFormat="false" ht="15" hidden="false" customHeight="false" outlineLevel="0" collapsed="false">
      <c r="A208" s="20" t="s">
        <v>178</v>
      </c>
      <c r="B208" s="20" t="s">
        <v>71</v>
      </c>
      <c r="C208" s="20" t="s">
        <v>122</v>
      </c>
      <c r="D208" s="20" t="s">
        <v>123</v>
      </c>
      <c r="E208" s="20" t="s">
        <v>124</v>
      </c>
      <c r="F208" s="21" t="n">
        <v>396.7</v>
      </c>
      <c r="G208" s="21" t="n">
        <v>426.76</v>
      </c>
      <c r="H208" s="21" t="n">
        <v>341.29</v>
      </c>
      <c r="I208" s="21" t="n">
        <v>349.99</v>
      </c>
      <c r="J208" s="21" t="n">
        <v>287.13</v>
      </c>
      <c r="K208" s="21" t="n">
        <v>238.37</v>
      </c>
      <c r="L208" s="21" t="n">
        <v>167.84</v>
      </c>
      <c r="M208" s="21" t="n">
        <v>211.29</v>
      </c>
      <c r="N208" s="21" t="n">
        <v>258.35</v>
      </c>
      <c r="O208" s="21" t="n">
        <v>266.77</v>
      </c>
      <c r="P208" s="21" t="n">
        <v>291.82</v>
      </c>
      <c r="Q208" s="21" t="n">
        <v>317.49</v>
      </c>
      <c r="R208" s="21" t="n">
        <v>330.51</v>
      </c>
      <c r="S208" s="21" t="n">
        <v>338.7</v>
      </c>
      <c r="T208" s="21" t="n">
        <v>344.13</v>
      </c>
      <c r="U208" s="20"/>
      <c r="V208" s="20" t="s">
        <v>125</v>
      </c>
      <c r="W208" s="20" t="s">
        <v>97</v>
      </c>
      <c r="X208" s="20"/>
      <c r="Y208" s="20" t="s">
        <v>98</v>
      </c>
      <c r="Z208" s="20" t="s">
        <v>126</v>
      </c>
      <c r="AA208" s="20" t="s">
        <v>127</v>
      </c>
      <c r="AB208" s="20" t="s">
        <v>128</v>
      </c>
      <c r="AC208" s="20" t="s">
        <v>129</v>
      </c>
      <c r="AD208" s="20" t="s">
        <v>179</v>
      </c>
      <c r="AE208" s="20" t="s">
        <v>144</v>
      </c>
    </row>
    <row r="209" customFormat="false" ht="15" hidden="false" customHeight="false" outlineLevel="0" collapsed="false">
      <c r="A209" s="20" t="s">
        <v>178</v>
      </c>
      <c r="B209" s="20" t="s">
        <v>78</v>
      </c>
      <c r="C209" s="20" t="s">
        <v>122</v>
      </c>
      <c r="D209" s="20" t="s">
        <v>123</v>
      </c>
      <c r="E209" s="20" t="s">
        <v>124</v>
      </c>
      <c r="F209" s="21" t="n">
        <v>704.01</v>
      </c>
      <c r="G209" s="21" t="n">
        <v>803.76</v>
      </c>
      <c r="H209" s="21" t="n">
        <v>818.1</v>
      </c>
      <c r="I209" s="21" t="n">
        <v>776.74</v>
      </c>
      <c r="J209" s="21" t="n">
        <v>833.4</v>
      </c>
      <c r="K209" s="21" t="n">
        <v>885.17</v>
      </c>
      <c r="L209" s="21" t="n">
        <v>890.64</v>
      </c>
      <c r="M209" s="21" t="n">
        <v>970.39</v>
      </c>
      <c r="N209" s="21" t="n">
        <v>995.07</v>
      </c>
      <c r="O209" s="21" t="n">
        <v>1041.2</v>
      </c>
      <c r="P209" s="21" t="n">
        <v>1084.74</v>
      </c>
      <c r="Q209" s="21" t="n">
        <v>1096.24</v>
      </c>
      <c r="R209" s="21" t="n">
        <v>1105.84</v>
      </c>
      <c r="S209" s="21" t="n">
        <v>1116.31</v>
      </c>
      <c r="T209" s="21" t="n">
        <v>1128.41</v>
      </c>
      <c r="U209" s="20"/>
      <c r="V209" s="20" t="s">
        <v>125</v>
      </c>
      <c r="W209" s="20" t="s">
        <v>97</v>
      </c>
      <c r="X209" s="20"/>
      <c r="Y209" s="20" t="s">
        <v>98</v>
      </c>
      <c r="Z209" s="20" t="s">
        <v>126</v>
      </c>
      <c r="AA209" s="20" t="s">
        <v>127</v>
      </c>
      <c r="AB209" s="20" t="s">
        <v>128</v>
      </c>
      <c r="AC209" s="20" t="s">
        <v>129</v>
      </c>
      <c r="AD209" s="20" t="s">
        <v>179</v>
      </c>
      <c r="AE209" s="20" t="s">
        <v>145</v>
      </c>
    </row>
    <row r="210" customFormat="false" ht="15" hidden="false" customHeight="false" outlineLevel="0" collapsed="false">
      <c r="A210" s="20" t="s">
        <v>178</v>
      </c>
      <c r="B210" s="20" t="s">
        <v>146</v>
      </c>
      <c r="C210" s="20" t="s">
        <v>122</v>
      </c>
      <c r="D210" s="20" t="s">
        <v>123</v>
      </c>
      <c r="E210" s="20" t="s">
        <v>124</v>
      </c>
      <c r="F210" s="21" t="n">
        <v>38.76</v>
      </c>
      <c r="G210" s="21" t="n">
        <v>50.82</v>
      </c>
      <c r="H210" s="21" t="n">
        <v>65.06</v>
      </c>
      <c r="I210" s="21" t="n">
        <v>56.39</v>
      </c>
      <c r="J210" s="21" t="n">
        <v>52.45</v>
      </c>
      <c r="K210" s="21" t="n">
        <v>60.52</v>
      </c>
      <c r="L210" s="21" t="n">
        <v>70.43</v>
      </c>
      <c r="M210" s="21" t="n">
        <v>82.23</v>
      </c>
      <c r="N210" s="21" t="n">
        <v>86.83</v>
      </c>
      <c r="O210" s="21" t="n">
        <v>92.3</v>
      </c>
      <c r="P210" s="21" t="n">
        <v>97.09</v>
      </c>
      <c r="Q210" s="21" t="n">
        <v>98.51</v>
      </c>
      <c r="R210" s="21" t="n">
        <v>100.06</v>
      </c>
      <c r="S210" s="21" t="n">
        <v>101.9</v>
      </c>
      <c r="T210" s="21" t="n">
        <v>103.92</v>
      </c>
      <c r="U210" s="20"/>
      <c r="V210" s="20" t="s">
        <v>125</v>
      </c>
      <c r="W210" s="20" t="s">
        <v>97</v>
      </c>
      <c r="X210" s="20"/>
      <c r="Y210" s="20" t="s">
        <v>98</v>
      </c>
      <c r="Z210" s="20" t="s">
        <v>126</v>
      </c>
      <c r="AA210" s="20" t="s">
        <v>127</v>
      </c>
      <c r="AB210" s="20" t="s">
        <v>128</v>
      </c>
      <c r="AC210" s="20" t="s">
        <v>129</v>
      </c>
      <c r="AD210" s="20" t="s">
        <v>179</v>
      </c>
      <c r="AE210" s="20" t="s">
        <v>147</v>
      </c>
    </row>
    <row r="211" customFormat="false" ht="15" hidden="false" customHeight="false" outlineLevel="0" collapsed="false">
      <c r="A211" s="20" t="s">
        <v>180</v>
      </c>
      <c r="B211" s="20" t="s">
        <v>121</v>
      </c>
      <c r="C211" s="20" t="s">
        <v>122</v>
      </c>
      <c r="D211" s="20" t="s">
        <v>123</v>
      </c>
      <c r="E211" s="20" t="s">
        <v>124</v>
      </c>
      <c r="F211" s="21" t="n">
        <v>40.74</v>
      </c>
      <c r="G211" s="21" t="n">
        <v>39.34</v>
      </c>
      <c r="H211" s="21" t="n">
        <v>37.97</v>
      </c>
      <c r="I211" s="21" t="n">
        <v>37.63</v>
      </c>
      <c r="J211" s="21" t="n">
        <v>46.25</v>
      </c>
      <c r="K211" s="21" t="n">
        <v>42.38</v>
      </c>
      <c r="L211" s="21" t="n">
        <v>42.64</v>
      </c>
      <c r="M211" s="21" t="n">
        <v>43.61</v>
      </c>
      <c r="N211" s="21" t="n">
        <v>44.83</v>
      </c>
      <c r="O211" s="21" t="n">
        <v>46.3</v>
      </c>
      <c r="P211" s="21" t="n">
        <v>48.6</v>
      </c>
      <c r="Q211" s="21" t="n">
        <v>48.99</v>
      </c>
      <c r="R211" s="21" t="n">
        <v>49.41</v>
      </c>
      <c r="S211" s="21" t="n">
        <v>50.79</v>
      </c>
      <c r="T211" s="21" t="n">
        <v>51.53</v>
      </c>
      <c r="U211" s="20"/>
      <c r="V211" s="20" t="s">
        <v>125</v>
      </c>
      <c r="W211" s="20" t="s">
        <v>97</v>
      </c>
      <c r="X211" s="20"/>
      <c r="Y211" s="20" t="s">
        <v>98</v>
      </c>
      <c r="Z211" s="20" t="s">
        <v>126</v>
      </c>
      <c r="AA211" s="20" t="s">
        <v>127</v>
      </c>
      <c r="AB211" s="20" t="s">
        <v>128</v>
      </c>
      <c r="AC211" s="20" t="s">
        <v>129</v>
      </c>
      <c r="AD211" s="20" t="s">
        <v>181</v>
      </c>
      <c r="AE211" s="20" t="s">
        <v>131</v>
      </c>
    </row>
    <row r="212" customFormat="false" ht="15" hidden="false" customHeight="false" outlineLevel="0" collapsed="false">
      <c r="A212" s="20" t="s">
        <v>180</v>
      </c>
      <c r="B212" s="20" t="s">
        <v>132</v>
      </c>
      <c r="C212" s="20" t="s">
        <v>122</v>
      </c>
      <c r="D212" s="20" t="s">
        <v>123</v>
      </c>
      <c r="E212" s="20" t="s">
        <v>124</v>
      </c>
      <c r="F212" s="21" t="n">
        <v>530.07</v>
      </c>
      <c r="G212" s="21" t="n">
        <v>394.17</v>
      </c>
      <c r="H212" s="21" t="n">
        <v>361.23</v>
      </c>
      <c r="I212" s="21" t="n">
        <v>286.91</v>
      </c>
      <c r="J212" s="21" t="n">
        <v>300.76</v>
      </c>
      <c r="K212" s="21" t="n">
        <v>273.07</v>
      </c>
      <c r="L212" s="21" t="n">
        <v>266.07</v>
      </c>
      <c r="M212" s="21" t="n">
        <v>266.42</v>
      </c>
      <c r="N212" s="21" t="n">
        <v>270.92</v>
      </c>
      <c r="O212" s="21" t="n">
        <v>277.12</v>
      </c>
      <c r="P212" s="21" t="n">
        <v>282.43</v>
      </c>
      <c r="Q212" s="21" t="n">
        <v>285.72</v>
      </c>
      <c r="R212" s="21" t="n">
        <v>287.74</v>
      </c>
      <c r="S212" s="21" t="n">
        <v>289.83</v>
      </c>
      <c r="T212" s="21" t="n">
        <v>291.86</v>
      </c>
      <c r="U212" s="20"/>
      <c r="V212" s="20" t="s">
        <v>125</v>
      </c>
      <c r="W212" s="20" t="s">
        <v>97</v>
      </c>
      <c r="X212" s="20"/>
      <c r="Y212" s="20" t="s">
        <v>98</v>
      </c>
      <c r="Z212" s="20" t="s">
        <v>126</v>
      </c>
      <c r="AA212" s="20" t="s">
        <v>127</v>
      </c>
      <c r="AB212" s="20" t="s">
        <v>128</v>
      </c>
      <c r="AC212" s="20" t="s">
        <v>129</v>
      </c>
      <c r="AD212" s="20" t="s">
        <v>181</v>
      </c>
      <c r="AE212" s="20" t="s">
        <v>133</v>
      </c>
    </row>
    <row r="213" customFormat="false" ht="15" hidden="false" customHeight="false" outlineLevel="0" collapsed="false">
      <c r="A213" s="20" t="s">
        <v>180</v>
      </c>
      <c r="B213" s="20" t="s">
        <v>134</v>
      </c>
      <c r="C213" s="20" t="s">
        <v>122</v>
      </c>
      <c r="D213" s="20" t="s">
        <v>123</v>
      </c>
      <c r="E213" s="20" t="s">
        <v>124</v>
      </c>
      <c r="F213" s="21" t="n">
        <v>689.21</v>
      </c>
      <c r="G213" s="21" t="n">
        <v>708</v>
      </c>
      <c r="H213" s="21" t="n">
        <v>655.27</v>
      </c>
      <c r="I213" s="21" t="n">
        <v>637.95</v>
      </c>
      <c r="J213" s="21" t="n">
        <v>744</v>
      </c>
      <c r="K213" s="21" t="n">
        <v>657.38</v>
      </c>
      <c r="L213" s="21" t="n">
        <v>667.3</v>
      </c>
      <c r="M213" s="21" t="n">
        <v>690.21</v>
      </c>
      <c r="N213" s="21" t="n">
        <v>724.56</v>
      </c>
      <c r="O213" s="21" t="n">
        <v>770.18</v>
      </c>
      <c r="P213" s="21" t="n">
        <v>819.88</v>
      </c>
      <c r="Q213" s="21" t="n">
        <v>832.45</v>
      </c>
      <c r="R213" s="21" t="n">
        <v>846.09</v>
      </c>
      <c r="S213" s="21" t="n">
        <v>878.38</v>
      </c>
      <c r="T213" s="21" t="n">
        <v>894.41</v>
      </c>
      <c r="U213" s="20"/>
      <c r="V213" s="20" t="s">
        <v>125</v>
      </c>
      <c r="W213" s="20" t="s">
        <v>97</v>
      </c>
      <c r="X213" s="20"/>
      <c r="Y213" s="20" t="s">
        <v>98</v>
      </c>
      <c r="Z213" s="20" t="s">
        <v>126</v>
      </c>
      <c r="AA213" s="20" t="s">
        <v>127</v>
      </c>
      <c r="AB213" s="20" t="s">
        <v>128</v>
      </c>
      <c r="AC213" s="20" t="s">
        <v>129</v>
      </c>
      <c r="AD213" s="20" t="s">
        <v>181</v>
      </c>
      <c r="AE213" s="20" t="s">
        <v>135</v>
      </c>
    </row>
    <row r="214" customFormat="false" ht="15" hidden="false" customHeight="false" outlineLevel="0" collapsed="false">
      <c r="A214" s="20" t="s">
        <v>180</v>
      </c>
      <c r="B214" s="20" t="s">
        <v>136</v>
      </c>
      <c r="C214" s="20" t="s">
        <v>122</v>
      </c>
      <c r="D214" s="20" t="s">
        <v>123</v>
      </c>
      <c r="E214" s="20" t="s">
        <v>124</v>
      </c>
      <c r="F214" s="21" t="n">
        <v>1655.9</v>
      </c>
      <c r="G214" s="21" t="n">
        <v>1575.36</v>
      </c>
      <c r="H214" s="21" t="n">
        <v>1695.12</v>
      </c>
      <c r="I214" s="21" t="n">
        <v>1928.84</v>
      </c>
      <c r="J214" s="21" t="n">
        <v>1839.56</v>
      </c>
      <c r="K214" s="21" t="n">
        <v>1668.56</v>
      </c>
      <c r="L214" s="21" t="n">
        <v>1577.76</v>
      </c>
      <c r="M214" s="21" t="n">
        <v>1576.4</v>
      </c>
      <c r="N214" s="21" t="n">
        <v>1593.56</v>
      </c>
      <c r="O214" s="21" t="n">
        <v>1617.94</v>
      </c>
      <c r="P214" s="21" t="n">
        <v>1642.1</v>
      </c>
      <c r="Q214" s="21" t="n">
        <v>1658.06</v>
      </c>
      <c r="R214" s="21" t="n">
        <v>1669.22</v>
      </c>
      <c r="S214" s="21" t="n">
        <v>1675.69</v>
      </c>
      <c r="T214" s="21" t="n">
        <v>1678.89</v>
      </c>
      <c r="U214" s="20"/>
      <c r="V214" s="20" t="s">
        <v>125</v>
      </c>
      <c r="W214" s="20" t="s">
        <v>97</v>
      </c>
      <c r="X214" s="20"/>
      <c r="Y214" s="20" t="s">
        <v>98</v>
      </c>
      <c r="Z214" s="20" t="s">
        <v>126</v>
      </c>
      <c r="AA214" s="20" t="s">
        <v>127</v>
      </c>
      <c r="AB214" s="20" t="s">
        <v>128</v>
      </c>
      <c r="AC214" s="20" t="s">
        <v>129</v>
      </c>
      <c r="AD214" s="20" t="s">
        <v>181</v>
      </c>
      <c r="AE214" s="20" t="s">
        <v>137</v>
      </c>
    </row>
    <row r="215" customFormat="false" ht="15" hidden="false" customHeight="false" outlineLevel="0" collapsed="false">
      <c r="A215" s="20" t="s">
        <v>180</v>
      </c>
      <c r="B215" s="20" t="s">
        <v>60</v>
      </c>
      <c r="C215" s="20" t="s">
        <v>122</v>
      </c>
      <c r="D215" s="20" t="s">
        <v>123</v>
      </c>
      <c r="E215" s="20" t="s">
        <v>124</v>
      </c>
      <c r="F215" s="21" t="n">
        <v>12227.4</v>
      </c>
      <c r="G215" s="21" t="n">
        <v>13114.56</v>
      </c>
      <c r="H215" s="21" t="n">
        <v>13503.42</v>
      </c>
      <c r="I215" s="21" t="n">
        <v>11206.41</v>
      </c>
      <c r="J215" s="21" t="n">
        <v>9533.73</v>
      </c>
      <c r="K215" s="21" t="n">
        <v>9099.36</v>
      </c>
      <c r="L215" s="21" t="n">
        <v>9501.72</v>
      </c>
      <c r="M215" s="21" t="n">
        <v>9851.6</v>
      </c>
      <c r="N215" s="21" t="n">
        <v>10037.83</v>
      </c>
      <c r="O215" s="21" t="n">
        <v>10175.09</v>
      </c>
      <c r="P215" s="21" t="n">
        <v>10371.75</v>
      </c>
      <c r="Q215" s="21" t="n">
        <v>10589.13</v>
      </c>
      <c r="R215" s="21" t="n">
        <v>10810.62</v>
      </c>
      <c r="S215" s="21" t="n">
        <v>11017.77</v>
      </c>
      <c r="T215" s="21" t="n">
        <v>11215.23</v>
      </c>
      <c r="U215" s="20"/>
      <c r="V215" s="20" t="s">
        <v>125</v>
      </c>
      <c r="W215" s="20" t="s">
        <v>97</v>
      </c>
      <c r="X215" s="20"/>
      <c r="Y215" s="20" t="s">
        <v>98</v>
      </c>
      <c r="Z215" s="20" t="s">
        <v>126</v>
      </c>
      <c r="AA215" s="20" t="s">
        <v>127</v>
      </c>
      <c r="AB215" s="20" t="s">
        <v>128</v>
      </c>
      <c r="AC215" s="20" t="s">
        <v>129</v>
      </c>
      <c r="AD215" s="20" t="s">
        <v>181</v>
      </c>
      <c r="AE215" s="20" t="s">
        <v>138</v>
      </c>
    </row>
    <row r="216" customFormat="false" ht="15" hidden="false" customHeight="false" outlineLevel="0" collapsed="false">
      <c r="A216" s="20" t="s">
        <v>180</v>
      </c>
      <c r="B216" s="20" t="s">
        <v>139</v>
      </c>
      <c r="C216" s="20" t="s">
        <v>122</v>
      </c>
      <c r="D216" s="20" t="s">
        <v>123</v>
      </c>
      <c r="E216" s="20" t="s">
        <v>124</v>
      </c>
      <c r="F216" s="21" t="n">
        <v>1310.01</v>
      </c>
      <c r="G216" s="21" t="n">
        <v>1421.15</v>
      </c>
      <c r="H216" s="21" t="n">
        <v>1414.64</v>
      </c>
      <c r="I216" s="21" t="n">
        <v>1518.58</v>
      </c>
      <c r="J216" s="21" t="n">
        <v>1722.92</v>
      </c>
      <c r="K216" s="21" t="n">
        <v>1575.87</v>
      </c>
      <c r="L216" s="21" t="n">
        <v>1562.97</v>
      </c>
      <c r="M216" s="21" t="n">
        <v>1596.08</v>
      </c>
      <c r="N216" s="21" t="n">
        <v>1651.67</v>
      </c>
      <c r="O216" s="21" t="n">
        <v>1724.91</v>
      </c>
      <c r="P216" s="21" t="n">
        <v>1819.43</v>
      </c>
      <c r="Q216" s="21" t="n">
        <v>1838.74</v>
      </c>
      <c r="R216" s="21" t="n">
        <v>1860.35</v>
      </c>
      <c r="S216" s="21" t="n">
        <v>1920.54</v>
      </c>
      <c r="T216" s="21" t="n">
        <v>1948.26</v>
      </c>
      <c r="U216" s="20"/>
      <c r="V216" s="20" t="s">
        <v>125</v>
      </c>
      <c r="W216" s="20" t="s">
        <v>97</v>
      </c>
      <c r="X216" s="20"/>
      <c r="Y216" s="20" t="s">
        <v>98</v>
      </c>
      <c r="Z216" s="20" t="s">
        <v>126</v>
      </c>
      <c r="AA216" s="20" t="s">
        <v>127</v>
      </c>
      <c r="AB216" s="20" t="s">
        <v>128</v>
      </c>
      <c r="AC216" s="20" t="s">
        <v>129</v>
      </c>
      <c r="AD216" s="20" t="s">
        <v>181</v>
      </c>
      <c r="AE216" s="20" t="s">
        <v>140</v>
      </c>
    </row>
    <row r="217" customFormat="false" ht="15" hidden="false" customHeight="false" outlineLevel="0" collapsed="false">
      <c r="A217" s="20" t="s">
        <v>180</v>
      </c>
      <c r="B217" s="20" t="s">
        <v>67</v>
      </c>
      <c r="C217" s="20" t="s">
        <v>122</v>
      </c>
      <c r="D217" s="20" t="s">
        <v>123</v>
      </c>
      <c r="E217" s="20" t="s">
        <v>124</v>
      </c>
      <c r="F217" s="21" t="n">
        <v>7900.71</v>
      </c>
      <c r="G217" s="21" t="n">
        <v>8379.9</v>
      </c>
      <c r="H217" s="21" t="n">
        <v>8483.12</v>
      </c>
      <c r="I217" s="21" t="n">
        <v>7080.13</v>
      </c>
      <c r="J217" s="21" t="n">
        <v>6125.11</v>
      </c>
      <c r="K217" s="21" t="n">
        <v>5810.74</v>
      </c>
      <c r="L217" s="21" t="n">
        <v>6016.79</v>
      </c>
      <c r="M217" s="21" t="n">
        <v>6205.46</v>
      </c>
      <c r="N217" s="21" t="n">
        <v>6309.16</v>
      </c>
      <c r="O217" s="21" t="n">
        <v>6379.63</v>
      </c>
      <c r="P217" s="21" t="n">
        <v>6503.93</v>
      </c>
      <c r="Q217" s="21" t="n">
        <v>6658.47</v>
      </c>
      <c r="R217" s="21" t="n">
        <v>6810.69</v>
      </c>
      <c r="S217" s="21" t="n">
        <v>6957.15</v>
      </c>
      <c r="T217" s="21" t="n">
        <v>7098.41</v>
      </c>
      <c r="U217" s="20"/>
      <c r="V217" s="20" t="s">
        <v>125</v>
      </c>
      <c r="W217" s="20" t="s">
        <v>97</v>
      </c>
      <c r="X217" s="20"/>
      <c r="Y217" s="20" t="s">
        <v>98</v>
      </c>
      <c r="Z217" s="20" t="s">
        <v>126</v>
      </c>
      <c r="AA217" s="20" t="s">
        <v>127</v>
      </c>
      <c r="AB217" s="20" t="s">
        <v>128</v>
      </c>
      <c r="AC217" s="20" t="s">
        <v>129</v>
      </c>
      <c r="AD217" s="20" t="s">
        <v>181</v>
      </c>
      <c r="AE217" s="20" t="s">
        <v>141</v>
      </c>
    </row>
    <row r="218" customFormat="false" ht="15" hidden="false" customHeight="false" outlineLevel="0" collapsed="false">
      <c r="A218" s="20" t="s">
        <v>180</v>
      </c>
      <c r="B218" s="20" t="s">
        <v>64</v>
      </c>
      <c r="C218" s="20" t="s">
        <v>122</v>
      </c>
      <c r="D218" s="20" t="s">
        <v>123</v>
      </c>
      <c r="E218" s="20" t="s">
        <v>124</v>
      </c>
      <c r="F218" s="21" t="n">
        <v>9184.83</v>
      </c>
      <c r="G218" s="21" t="n">
        <v>9192.46</v>
      </c>
      <c r="H218" s="21" t="n">
        <v>9588.87</v>
      </c>
      <c r="I218" s="21" t="n">
        <v>11199.33</v>
      </c>
      <c r="J218" s="21" t="n">
        <v>12078.89</v>
      </c>
      <c r="K218" s="21" t="n">
        <v>11960.79</v>
      </c>
      <c r="L218" s="21" t="n">
        <v>11719.72</v>
      </c>
      <c r="M218" s="21" t="n">
        <v>11958.09</v>
      </c>
      <c r="N218" s="21" t="n">
        <v>12253.82</v>
      </c>
      <c r="O218" s="21" t="n">
        <v>12540.33</v>
      </c>
      <c r="P218" s="21" t="n">
        <v>12992.36</v>
      </c>
      <c r="Q218" s="21" t="n">
        <v>13237.21</v>
      </c>
      <c r="R218" s="21" t="n">
        <v>13449.94</v>
      </c>
      <c r="S218" s="21" t="n">
        <v>13686.27</v>
      </c>
      <c r="T218" s="21" t="n">
        <v>13889.83</v>
      </c>
      <c r="U218" s="20"/>
      <c r="V218" s="20" t="s">
        <v>125</v>
      </c>
      <c r="W218" s="20" t="s">
        <v>97</v>
      </c>
      <c r="X218" s="20"/>
      <c r="Y218" s="20" t="s">
        <v>98</v>
      </c>
      <c r="Z218" s="20" t="s">
        <v>126</v>
      </c>
      <c r="AA218" s="20" t="s">
        <v>127</v>
      </c>
      <c r="AB218" s="20" t="s">
        <v>128</v>
      </c>
      <c r="AC218" s="20" t="s">
        <v>129</v>
      </c>
      <c r="AD218" s="20" t="s">
        <v>181</v>
      </c>
      <c r="AE218" s="20" t="s">
        <v>142</v>
      </c>
    </row>
    <row r="219" customFormat="false" ht="15" hidden="false" customHeight="false" outlineLevel="0" collapsed="false">
      <c r="A219" s="20" t="s">
        <v>180</v>
      </c>
      <c r="B219" s="20" t="s">
        <v>74</v>
      </c>
      <c r="C219" s="20" t="s">
        <v>122</v>
      </c>
      <c r="D219" s="20" t="s">
        <v>123</v>
      </c>
      <c r="E219" s="20" t="s">
        <v>124</v>
      </c>
      <c r="F219" s="21" t="n">
        <v>2206.41</v>
      </c>
      <c r="G219" s="21" t="n">
        <v>1984.22</v>
      </c>
      <c r="H219" s="21" t="n">
        <v>2078.21</v>
      </c>
      <c r="I219" s="21" t="n">
        <v>2234.78</v>
      </c>
      <c r="J219" s="21" t="n">
        <v>2160.72</v>
      </c>
      <c r="K219" s="21" t="n">
        <v>1961.2</v>
      </c>
      <c r="L219" s="21" t="n">
        <v>1863.81</v>
      </c>
      <c r="M219" s="21" t="n">
        <v>1863.01</v>
      </c>
      <c r="N219" s="21" t="n">
        <v>1884.86</v>
      </c>
      <c r="O219" s="21" t="n">
        <v>1915.53</v>
      </c>
      <c r="P219" s="21" t="n">
        <v>1945.07</v>
      </c>
      <c r="Q219" s="21" t="n">
        <v>1964.39</v>
      </c>
      <c r="R219" s="21" t="n">
        <v>1977.63</v>
      </c>
      <c r="S219" s="21" t="n">
        <v>1986.26</v>
      </c>
      <c r="T219" s="21" t="n">
        <v>1991.54</v>
      </c>
      <c r="U219" s="20"/>
      <c r="V219" s="20" t="s">
        <v>125</v>
      </c>
      <c r="W219" s="20" t="s">
        <v>97</v>
      </c>
      <c r="X219" s="20"/>
      <c r="Y219" s="20" t="s">
        <v>98</v>
      </c>
      <c r="Z219" s="20" t="s">
        <v>126</v>
      </c>
      <c r="AA219" s="20" t="s">
        <v>127</v>
      </c>
      <c r="AB219" s="20" t="s">
        <v>128</v>
      </c>
      <c r="AC219" s="20" t="s">
        <v>129</v>
      </c>
      <c r="AD219" s="20" t="s">
        <v>181</v>
      </c>
      <c r="AE219" s="20" t="s">
        <v>143</v>
      </c>
    </row>
    <row r="220" customFormat="false" ht="15" hidden="false" customHeight="false" outlineLevel="0" collapsed="false">
      <c r="A220" s="20" t="s">
        <v>180</v>
      </c>
      <c r="B220" s="20" t="s">
        <v>71</v>
      </c>
      <c r="C220" s="20" t="s">
        <v>122</v>
      </c>
      <c r="D220" s="20" t="s">
        <v>123</v>
      </c>
      <c r="E220" s="20" t="s">
        <v>124</v>
      </c>
      <c r="F220" s="21" t="n">
        <v>5131.3</v>
      </c>
      <c r="G220" s="21" t="n">
        <v>5150.94</v>
      </c>
      <c r="H220" s="21" t="n">
        <v>5407.07</v>
      </c>
      <c r="I220" s="21" t="n">
        <v>6263.65</v>
      </c>
      <c r="J220" s="21" t="n">
        <v>6853.06</v>
      </c>
      <c r="K220" s="21" t="n">
        <v>6885.53</v>
      </c>
      <c r="L220" s="21" t="n">
        <v>6669.02</v>
      </c>
      <c r="M220" s="21" t="n">
        <v>6708.11</v>
      </c>
      <c r="N220" s="21" t="n">
        <v>6882.53</v>
      </c>
      <c r="O220" s="21" t="n">
        <v>7079.82</v>
      </c>
      <c r="P220" s="21" t="n">
        <v>7338.3</v>
      </c>
      <c r="Q220" s="21" t="n">
        <v>7477.44</v>
      </c>
      <c r="R220" s="21" t="n">
        <v>7585.27</v>
      </c>
      <c r="S220" s="21" t="n">
        <v>7709.89</v>
      </c>
      <c r="T220" s="21" t="n">
        <v>7819.02</v>
      </c>
      <c r="U220" s="20"/>
      <c r="V220" s="20" t="s">
        <v>125</v>
      </c>
      <c r="W220" s="20" t="s">
        <v>97</v>
      </c>
      <c r="X220" s="20"/>
      <c r="Y220" s="20" t="s">
        <v>98</v>
      </c>
      <c r="Z220" s="20" t="s">
        <v>126</v>
      </c>
      <c r="AA220" s="20" t="s">
        <v>127</v>
      </c>
      <c r="AB220" s="20" t="s">
        <v>128</v>
      </c>
      <c r="AC220" s="20" t="s">
        <v>129</v>
      </c>
      <c r="AD220" s="20" t="s">
        <v>181</v>
      </c>
      <c r="AE220" s="20" t="s">
        <v>144</v>
      </c>
    </row>
    <row r="221" customFormat="false" ht="15" hidden="false" customHeight="false" outlineLevel="0" collapsed="false">
      <c r="A221" s="20" t="s">
        <v>180</v>
      </c>
      <c r="B221" s="20" t="s">
        <v>78</v>
      </c>
      <c r="C221" s="20" t="s">
        <v>122</v>
      </c>
      <c r="D221" s="20" t="s">
        <v>123</v>
      </c>
      <c r="E221" s="20" t="s">
        <v>124</v>
      </c>
      <c r="F221" s="21" t="n">
        <v>2039.96</v>
      </c>
      <c r="G221" s="21" t="n">
        <v>2168.5</v>
      </c>
      <c r="H221" s="21" t="n">
        <v>2107.88</v>
      </c>
      <c r="I221" s="21" t="n">
        <v>2194.16</v>
      </c>
      <c r="J221" s="21" t="n">
        <v>2513.17</v>
      </c>
      <c r="K221" s="21" t="n">
        <v>2275.63</v>
      </c>
      <c r="L221" s="21" t="n">
        <v>2272.91</v>
      </c>
      <c r="M221" s="21" t="n">
        <v>2329.9</v>
      </c>
      <c r="N221" s="21" t="n">
        <v>2421.06</v>
      </c>
      <c r="O221" s="21" t="n">
        <v>2541.39</v>
      </c>
      <c r="P221" s="21" t="n">
        <v>2687.91</v>
      </c>
      <c r="Q221" s="21" t="n">
        <v>2720.18</v>
      </c>
      <c r="R221" s="21" t="n">
        <v>2755.85</v>
      </c>
      <c r="S221" s="21" t="n">
        <v>2849.71</v>
      </c>
      <c r="T221" s="21" t="n">
        <v>2894.2</v>
      </c>
      <c r="U221" s="20"/>
      <c r="V221" s="20" t="s">
        <v>125</v>
      </c>
      <c r="W221" s="20" t="s">
        <v>97</v>
      </c>
      <c r="X221" s="20"/>
      <c r="Y221" s="20" t="s">
        <v>98</v>
      </c>
      <c r="Z221" s="20" t="s">
        <v>126</v>
      </c>
      <c r="AA221" s="20" t="s">
        <v>127</v>
      </c>
      <c r="AB221" s="20" t="s">
        <v>128</v>
      </c>
      <c r="AC221" s="20" t="s">
        <v>129</v>
      </c>
      <c r="AD221" s="20" t="s">
        <v>181</v>
      </c>
      <c r="AE221" s="20" t="s">
        <v>145</v>
      </c>
    </row>
    <row r="222" customFormat="false" ht="15" hidden="false" customHeight="false" outlineLevel="0" collapsed="false">
      <c r="A222" s="20" t="s">
        <v>180</v>
      </c>
      <c r="B222" s="20" t="s">
        <v>146</v>
      </c>
      <c r="C222" s="20" t="s">
        <v>122</v>
      </c>
      <c r="D222" s="20" t="s">
        <v>123</v>
      </c>
      <c r="E222" s="20" t="s">
        <v>124</v>
      </c>
      <c r="F222" s="21" t="n">
        <v>20.44</v>
      </c>
      <c r="G222" s="21" t="n">
        <v>14.69</v>
      </c>
      <c r="H222" s="21" t="n">
        <v>21.86</v>
      </c>
      <c r="I222" s="21" t="n">
        <v>19.04</v>
      </c>
      <c r="J222" s="21" t="n">
        <v>20.4</v>
      </c>
      <c r="K222" s="21" t="n">
        <v>19.58</v>
      </c>
      <c r="L222" s="21" t="n">
        <v>19.97</v>
      </c>
      <c r="M222" s="21" t="n">
        <v>20.19</v>
      </c>
      <c r="N222" s="21" t="n">
        <v>20.37</v>
      </c>
      <c r="O222" s="21" t="n">
        <v>20.48</v>
      </c>
      <c r="P222" s="21" t="n">
        <v>20.55</v>
      </c>
      <c r="Q222" s="21" t="n">
        <v>20.61</v>
      </c>
      <c r="R222" s="21" t="n">
        <v>20.67</v>
      </c>
      <c r="S222" s="21" t="n">
        <v>20.73</v>
      </c>
      <c r="T222" s="21" t="n">
        <v>20.79</v>
      </c>
      <c r="U222" s="20"/>
      <c r="V222" s="20" t="s">
        <v>125</v>
      </c>
      <c r="W222" s="20" t="s">
        <v>97</v>
      </c>
      <c r="X222" s="20"/>
      <c r="Y222" s="20" t="s">
        <v>98</v>
      </c>
      <c r="Z222" s="20" t="s">
        <v>126</v>
      </c>
      <c r="AA222" s="20" t="s">
        <v>127</v>
      </c>
      <c r="AB222" s="20" t="s">
        <v>128</v>
      </c>
      <c r="AC222" s="20" t="s">
        <v>129</v>
      </c>
      <c r="AD222" s="20" t="s">
        <v>181</v>
      </c>
      <c r="AE222" s="20" t="s">
        <v>147</v>
      </c>
    </row>
    <row r="223" customFormat="false" ht="15" hidden="false" customHeight="false" outlineLevel="0" collapsed="false">
      <c r="A223" s="20" t="s">
        <v>182</v>
      </c>
      <c r="B223" s="20" t="s">
        <v>121</v>
      </c>
      <c r="C223" s="20" t="s">
        <v>122</v>
      </c>
      <c r="D223" s="20" t="s">
        <v>123</v>
      </c>
      <c r="E223" s="20" t="s">
        <v>124</v>
      </c>
      <c r="F223" s="21" t="n">
        <v>5053.99</v>
      </c>
      <c r="G223" s="21" t="n">
        <v>5473.94</v>
      </c>
      <c r="H223" s="21" t="n">
        <v>5068.4</v>
      </c>
      <c r="I223" s="21" t="n">
        <v>5962.08</v>
      </c>
      <c r="J223" s="21" t="n">
        <v>4806.44</v>
      </c>
      <c r="K223" s="21" t="n">
        <v>4482.2</v>
      </c>
      <c r="L223" s="21" t="n">
        <v>4462.08</v>
      </c>
      <c r="M223" s="21" t="n">
        <v>4608.77</v>
      </c>
      <c r="N223" s="21" t="n">
        <v>4923.69</v>
      </c>
      <c r="O223" s="21" t="n">
        <v>5340.83</v>
      </c>
      <c r="P223" s="21" t="n">
        <v>5736.64</v>
      </c>
      <c r="Q223" s="21" t="n">
        <v>5944.01</v>
      </c>
      <c r="R223" s="21" t="n">
        <v>6088.94</v>
      </c>
      <c r="S223" s="21" t="n">
        <v>6228.11</v>
      </c>
      <c r="T223" s="21" t="n">
        <v>6370.29</v>
      </c>
      <c r="U223" s="20"/>
      <c r="V223" s="20" t="s">
        <v>125</v>
      </c>
      <c r="W223" s="20" t="s">
        <v>97</v>
      </c>
      <c r="X223" s="20"/>
      <c r="Y223" s="20" t="s">
        <v>98</v>
      </c>
      <c r="Z223" s="20" t="s">
        <v>126</v>
      </c>
      <c r="AA223" s="20" t="s">
        <v>127</v>
      </c>
      <c r="AB223" s="20" t="s">
        <v>128</v>
      </c>
      <c r="AC223" s="20" t="s">
        <v>129</v>
      </c>
      <c r="AD223" s="20" t="s">
        <v>183</v>
      </c>
      <c r="AE223" s="20" t="s">
        <v>131</v>
      </c>
    </row>
    <row r="224" customFormat="false" ht="15" hidden="false" customHeight="false" outlineLevel="0" collapsed="false">
      <c r="A224" s="20" t="s">
        <v>182</v>
      </c>
      <c r="B224" s="20" t="s">
        <v>132</v>
      </c>
      <c r="C224" s="20" t="s">
        <v>122</v>
      </c>
      <c r="D224" s="20" t="s">
        <v>123</v>
      </c>
      <c r="E224" s="20" t="s">
        <v>124</v>
      </c>
      <c r="F224" s="21" t="n">
        <v>5234</v>
      </c>
      <c r="G224" s="21" t="n">
        <v>3835.26</v>
      </c>
      <c r="H224" s="21" t="n">
        <v>4189.12</v>
      </c>
      <c r="I224" s="21" t="n">
        <v>4113.37</v>
      </c>
      <c r="J224" s="21" t="n">
        <v>3301.11</v>
      </c>
      <c r="K224" s="21" t="n">
        <v>3160.51</v>
      </c>
      <c r="L224" s="21" t="n">
        <v>3043.37</v>
      </c>
      <c r="M224" s="21" t="n">
        <v>2989.43</v>
      </c>
      <c r="N224" s="21" t="n">
        <v>3054.51</v>
      </c>
      <c r="O224" s="21" t="n">
        <v>3171.36</v>
      </c>
      <c r="P224" s="21" t="n">
        <v>3280.89</v>
      </c>
      <c r="Q224" s="21" t="n">
        <v>3384.19</v>
      </c>
      <c r="R224" s="21" t="n">
        <v>3477.85</v>
      </c>
      <c r="S224" s="21" t="n">
        <v>3565.19</v>
      </c>
      <c r="T224" s="21" t="n">
        <v>3651.49</v>
      </c>
      <c r="U224" s="20"/>
      <c r="V224" s="20" t="s">
        <v>125</v>
      </c>
      <c r="W224" s="20" t="s">
        <v>97</v>
      </c>
      <c r="X224" s="20"/>
      <c r="Y224" s="20" t="s">
        <v>98</v>
      </c>
      <c r="Z224" s="20" t="s">
        <v>126</v>
      </c>
      <c r="AA224" s="20" t="s">
        <v>127</v>
      </c>
      <c r="AB224" s="20" t="s">
        <v>128</v>
      </c>
      <c r="AC224" s="20" t="s">
        <v>129</v>
      </c>
      <c r="AD224" s="20" t="s">
        <v>183</v>
      </c>
      <c r="AE224" s="20" t="s">
        <v>133</v>
      </c>
    </row>
    <row r="225" customFormat="false" ht="15" hidden="false" customHeight="false" outlineLevel="0" collapsed="false">
      <c r="A225" s="20" t="s">
        <v>182</v>
      </c>
      <c r="B225" s="20" t="s">
        <v>134</v>
      </c>
      <c r="C225" s="20" t="s">
        <v>122</v>
      </c>
      <c r="D225" s="20" t="s">
        <v>123</v>
      </c>
      <c r="E225" s="20" t="s">
        <v>124</v>
      </c>
      <c r="F225" s="21" t="n">
        <v>2216.58</v>
      </c>
      <c r="G225" s="21" t="n">
        <v>1962.3</v>
      </c>
      <c r="H225" s="21" t="n">
        <v>2348.28</v>
      </c>
      <c r="I225" s="21" t="n">
        <v>2358.48</v>
      </c>
      <c r="J225" s="21" t="n">
        <v>2041</v>
      </c>
      <c r="K225" s="21" t="n">
        <v>1989.89</v>
      </c>
      <c r="L225" s="21" t="n">
        <v>1983.8</v>
      </c>
      <c r="M225" s="21" t="n">
        <v>2080.91</v>
      </c>
      <c r="N225" s="21" t="n">
        <v>2257.15</v>
      </c>
      <c r="O225" s="21" t="n">
        <v>2427.8</v>
      </c>
      <c r="P225" s="21" t="n">
        <v>2577.49</v>
      </c>
      <c r="Q225" s="21" t="n">
        <v>2651.01</v>
      </c>
      <c r="R225" s="21" t="n">
        <v>2695.31</v>
      </c>
      <c r="S225" s="21" t="n">
        <v>2736.15</v>
      </c>
      <c r="T225" s="21" t="n">
        <v>2781.3</v>
      </c>
      <c r="U225" s="20"/>
      <c r="V225" s="20" t="s">
        <v>125</v>
      </c>
      <c r="W225" s="20" t="s">
        <v>97</v>
      </c>
      <c r="X225" s="20"/>
      <c r="Y225" s="20" t="s">
        <v>98</v>
      </c>
      <c r="Z225" s="20" t="s">
        <v>126</v>
      </c>
      <c r="AA225" s="20" t="s">
        <v>127</v>
      </c>
      <c r="AB225" s="20" t="s">
        <v>128</v>
      </c>
      <c r="AC225" s="20" t="s">
        <v>129</v>
      </c>
      <c r="AD225" s="20" t="s">
        <v>183</v>
      </c>
      <c r="AE225" s="20" t="s">
        <v>135</v>
      </c>
    </row>
    <row r="226" customFormat="false" ht="15" hidden="false" customHeight="false" outlineLevel="0" collapsed="false">
      <c r="A226" s="20" t="s">
        <v>182</v>
      </c>
      <c r="B226" s="20" t="s">
        <v>136</v>
      </c>
      <c r="C226" s="20" t="s">
        <v>122</v>
      </c>
      <c r="D226" s="20" t="s">
        <v>123</v>
      </c>
      <c r="E226" s="20" t="s">
        <v>124</v>
      </c>
      <c r="F226" s="21" t="n">
        <v>13361.9</v>
      </c>
      <c r="G226" s="21" t="n">
        <v>13729.55</v>
      </c>
      <c r="H226" s="21" t="n">
        <v>13040.59</v>
      </c>
      <c r="I226" s="21" t="n">
        <v>14167.96</v>
      </c>
      <c r="J226" s="21" t="n">
        <v>15548.84</v>
      </c>
      <c r="K226" s="21" t="n">
        <v>13551.46</v>
      </c>
      <c r="L226" s="21" t="n">
        <v>12627.38</v>
      </c>
      <c r="M226" s="21" t="n">
        <v>12443.28</v>
      </c>
      <c r="N226" s="21" t="n">
        <v>12831.53</v>
      </c>
      <c r="O226" s="21" t="n">
        <v>13457.73</v>
      </c>
      <c r="P226" s="21" t="n">
        <v>13949.49</v>
      </c>
      <c r="Q226" s="21" t="n">
        <v>14341.96</v>
      </c>
      <c r="R226" s="21" t="n">
        <v>14694.43</v>
      </c>
      <c r="S226" s="21" t="n">
        <v>15025.64</v>
      </c>
      <c r="T226" s="21" t="n">
        <v>15350.66</v>
      </c>
      <c r="U226" s="20"/>
      <c r="V226" s="20" t="s">
        <v>125</v>
      </c>
      <c r="W226" s="20" t="s">
        <v>97</v>
      </c>
      <c r="X226" s="20"/>
      <c r="Y226" s="20" t="s">
        <v>98</v>
      </c>
      <c r="Z226" s="20" t="s">
        <v>126</v>
      </c>
      <c r="AA226" s="20" t="s">
        <v>127</v>
      </c>
      <c r="AB226" s="20" t="s">
        <v>128</v>
      </c>
      <c r="AC226" s="20" t="s">
        <v>129</v>
      </c>
      <c r="AD226" s="20" t="s">
        <v>183</v>
      </c>
      <c r="AE226" s="20" t="s">
        <v>137</v>
      </c>
    </row>
    <row r="227" customFormat="false" ht="15" hidden="false" customHeight="false" outlineLevel="0" collapsed="false">
      <c r="A227" s="20" t="s">
        <v>182</v>
      </c>
      <c r="B227" s="20" t="s">
        <v>60</v>
      </c>
      <c r="C227" s="20" t="s">
        <v>122</v>
      </c>
      <c r="D227" s="20" t="s">
        <v>123</v>
      </c>
      <c r="E227" s="20" t="s">
        <v>124</v>
      </c>
      <c r="F227" s="21" t="n">
        <v>57088.01</v>
      </c>
      <c r="G227" s="21" t="n">
        <v>66488.59</v>
      </c>
      <c r="H227" s="21" t="n">
        <v>74905.34</v>
      </c>
      <c r="I227" s="21" t="n">
        <v>67106.28</v>
      </c>
      <c r="J227" s="21" t="n">
        <v>64360.06</v>
      </c>
      <c r="K227" s="21" t="n">
        <v>64806.46</v>
      </c>
      <c r="L227" s="21" t="n">
        <v>68069.34</v>
      </c>
      <c r="M227" s="21" t="n">
        <v>71840.66</v>
      </c>
      <c r="N227" s="21" t="n">
        <v>75597.48</v>
      </c>
      <c r="O227" s="21" t="n">
        <v>79029.57</v>
      </c>
      <c r="P227" s="21" t="n">
        <v>82382.63</v>
      </c>
      <c r="Q227" s="21" t="n">
        <v>85138.32</v>
      </c>
      <c r="R227" s="21" t="n">
        <v>86564.48</v>
      </c>
      <c r="S227" s="21" t="n">
        <v>87317.73</v>
      </c>
      <c r="T227" s="21" t="n">
        <v>88133</v>
      </c>
      <c r="U227" s="20"/>
      <c r="V227" s="20" t="s">
        <v>125</v>
      </c>
      <c r="W227" s="20" t="s">
        <v>97</v>
      </c>
      <c r="X227" s="20"/>
      <c r="Y227" s="20" t="s">
        <v>98</v>
      </c>
      <c r="Z227" s="20" t="s">
        <v>126</v>
      </c>
      <c r="AA227" s="20" t="s">
        <v>127</v>
      </c>
      <c r="AB227" s="20" t="s">
        <v>128</v>
      </c>
      <c r="AC227" s="20" t="s">
        <v>129</v>
      </c>
      <c r="AD227" s="20" t="s">
        <v>183</v>
      </c>
      <c r="AE227" s="20" t="s">
        <v>138</v>
      </c>
    </row>
    <row r="228" customFormat="false" ht="15" hidden="false" customHeight="false" outlineLevel="0" collapsed="false">
      <c r="A228" s="20" t="s">
        <v>182</v>
      </c>
      <c r="B228" s="20" t="s">
        <v>139</v>
      </c>
      <c r="C228" s="20" t="s">
        <v>122</v>
      </c>
      <c r="D228" s="20" t="s">
        <v>123</v>
      </c>
      <c r="E228" s="20" t="s">
        <v>124</v>
      </c>
      <c r="F228" s="21" t="n">
        <v>5701.78</v>
      </c>
      <c r="G228" s="21" t="n">
        <v>7043.7</v>
      </c>
      <c r="H228" s="21" t="n">
        <v>7313.76</v>
      </c>
      <c r="I228" s="21" t="n">
        <v>8129.29</v>
      </c>
      <c r="J228" s="21" t="n">
        <v>9641.23</v>
      </c>
      <c r="K228" s="21" t="n">
        <v>8974.38</v>
      </c>
      <c r="L228" s="21" t="n">
        <v>9129.53</v>
      </c>
      <c r="M228" s="21" t="n">
        <v>9607</v>
      </c>
      <c r="N228" s="21" t="n">
        <v>10296.28</v>
      </c>
      <c r="O228" s="21" t="n">
        <v>11037.49</v>
      </c>
      <c r="P228" s="21" t="n">
        <v>11641.85</v>
      </c>
      <c r="Q228" s="21" t="n">
        <v>12070.7</v>
      </c>
      <c r="R228" s="21" t="n">
        <v>12427.12</v>
      </c>
      <c r="S228" s="21" t="n">
        <v>12773.34</v>
      </c>
      <c r="T228" s="21" t="n">
        <v>13125.7</v>
      </c>
      <c r="U228" s="20"/>
      <c r="V228" s="20" t="s">
        <v>125</v>
      </c>
      <c r="W228" s="20" t="s">
        <v>97</v>
      </c>
      <c r="X228" s="20"/>
      <c r="Y228" s="20" t="s">
        <v>98</v>
      </c>
      <c r="Z228" s="20" t="s">
        <v>126</v>
      </c>
      <c r="AA228" s="20" t="s">
        <v>127</v>
      </c>
      <c r="AB228" s="20" t="s">
        <v>128</v>
      </c>
      <c r="AC228" s="20" t="s">
        <v>129</v>
      </c>
      <c r="AD228" s="20" t="s">
        <v>183</v>
      </c>
      <c r="AE228" s="20" t="s">
        <v>140</v>
      </c>
    </row>
    <row r="229" customFormat="false" ht="15" hidden="false" customHeight="false" outlineLevel="0" collapsed="false">
      <c r="A229" s="20" t="s">
        <v>182</v>
      </c>
      <c r="B229" s="20" t="s">
        <v>67</v>
      </c>
      <c r="C229" s="20" t="s">
        <v>122</v>
      </c>
      <c r="D229" s="20" t="s">
        <v>123</v>
      </c>
      <c r="E229" s="20" t="s">
        <v>124</v>
      </c>
      <c r="F229" s="21" t="n">
        <v>15019.43</v>
      </c>
      <c r="G229" s="21" t="n">
        <v>16965.45</v>
      </c>
      <c r="H229" s="21" t="n">
        <v>19012.4</v>
      </c>
      <c r="I229" s="21" t="n">
        <v>17158.24</v>
      </c>
      <c r="J229" s="21" t="n">
        <v>16851.35</v>
      </c>
      <c r="K229" s="21" t="n">
        <v>17130.83</v>
      </c>
      <c r="L229" s="21" t="n">
        <v>18248.1</v>
      </c>
      <c r="M229" s="21" t="n">
        <v>19368.36</v>
      </c>
      <c r="N229" s="21" t="n">
        <v>20129.59</v>
      </c>
      <c r="O229" s="21" t="n">
        <v>20732.91</v>
      </c>
      <c r="P229" s="21" t="n">
        <v>21296.14</v>
      </c>
      <c r="Q229" s="21" t="n">
        <v>21986.13</v>
      </c>
      <c r="R229" s="21" t="n">
        <v>22646.5</v>
      </c>
      <c r="S229" s="21" t="n">
        <v>23168.75</v>
      </c>
      <c r="T229" s="21" t="n">
        <v>23629.46</v>
      </c>
      <c r="U229" s="20"/>
      <c r="V229" s="20" t="s">
        <v>125</v>
      </c>
      <c r="W229" s="20" t="s">
        <v>97</v>
      </c>
      <c r="X229" s="20"/>
      <c r="Y229" s="20" t="s">
        <v>98</v>
      </c>
      <c r="Z229" s="20" t="s">
        <v>126</v>
      </c>
      <c r="AA229" s="20" t="s">
        <v>127</v>
      </c>
      <c r="AB229" s="20" t="s">
        <v>128</v>
      </c>
      <c r="AC229" s="20" t="s">
        <v>129</v>
      </c>
      <c r="AD229" s="20" t="s">
        <v>183</v>
      </c>
      <c r="AE229" s="20" t="s">
        <v>141</v>
      </c>
    </row>
    <row r="230" customFormat="false" ht="15" hidden="false" customHeight="false" outlineLevel="0" collapsed="false">
      <c r="A230" s="20" t="s">
        <v>182</v>
      </c>
      <c r="B230" s="20" t="s">
        <v>64</v>
      </c>
      <c r="C230" s="20" t="s">
        <v>122</v>
      </c>
      <c r="D230" s="20" t="s">
        <v>123</v>
      </c>
      <c r="E230" s="20" t="s">
        <v>124</v>
      </c>
      <c r="F230" s="21" t="n">
        <v>38413.82</v>
      </c>
      <c r="G230" s="21" t="n">
        <v>46016.13</v>
      </c>
      <c r="H230" s="21" t="n">
        <v>48651.89</v>
      </c>
      <c r="I230" s="21" t="n">
        <v>51035.55</v>
      </c>
      <c r="J230" s="21" t="n">
        <v>55135.79</v>
      </c>
      <c r="K230" s="21" t="n">
        <v>55926.75</v>
      </c>
      <c r="L230" s="21" t="n">
        <v>54507.87</v>
      </c>
      <c r="M230" s="21" t="n">
        <v>55376.71</v>
      </c>
      <c r="N230" s="21" t="n">
        <v>58456.51</v>
      </c>
      <c r="O230" s="21" t="n">
        <v>61428.98</v>
      </c>
      <c r="P230" s="21" t="n">
        <v>64109.02</v>
      </c>
      <c r="Q230" s="21" t="n">
        <v>65656.95</v>
      </c>
      <c r="R230" s="21" t="n">
        <v>66616.98</v>
      </c>
      <c r="S230" s="21" t="n">
        <v>67574.42</v>
      </c>
      <c r="T230" s="21" t="n">
        <v>68786.53</v>
      </c>
      <c r="U230" s="20"/>
      <c r="V230" s="20" t="s">
        <v>125</v>
      </c>
      <c r="W230" s="20" t="s">
        <v>97</v>
      </c>
      <c r="X230" s="20"/>
      <c r="Y230" s="20" t="s">
        <v>98</v>
      </c>
      <c r="Z230" s="20" t="s">
        <v>126</v>
      </c>
      <c r="AA230" s="20" t="s">
        <v>127</v>
      </c>
      <c r="AB230" s="20" t="s">
        <v>128</v>
      </c>
      <c r="AC230" s="20" t="s">
        <v>129</v>
      </c>
      <c r="AD230" s="20" t="s">
        <v>183</v>
      </c>
      <c r="AE230" s="20" t="s">
        <v>142</v>
      </c>
    </row>
    <row r="231" customFormat="false" ht="15" hidden="false" customHeight="false" outlineLevel="0" collapsed="false">
      <c r="A231" s="20" t="s">
        <v>182</v>
      </c>
      <c r="B231" s="20" t="s">
        <v>74</v>
      </c>
      <c r="C231" s="20" t="s">
        <v>122</v>
      </c>
      <c r="D231" s="20" t="s">
        <v>123</v>
      </c>
      <c r="E231" s="20" t="s">
        <v>124</v>
      </c>
      <c r="F231" s="21" t="n">
        <v>30428.9</v>
      </c>
      <c r="G231" s="21" t="n">
        <v>28278.36</v>
      </c>
      <c r="H231" s="21" t="n">
        <v>26267.49</v>
      </c>
      <c r="I231" s="21" t="n">
        <v>28680.47</v>
      </c>
      <c r="J231" s="21" t="n">
        <v>26639.75</v>
      </c>
      <c r="K231" s="21" t="n">
        <v>23541</v>
      </c>
      <c r="L231" s="21" t="n">
        <v>22079.32</v>
      </c>
      <c r="M231" s="21" t="n">
        <v>21791.6</v>
      </c>
      <c r="N231" s="21" t="n">
        <v>22365.87</v>
      </c>
      <c r="O231" s="21" t="n">
        <v>23350.31</v>
      </c>
      <c r="P231" s="21" t="n">
        <v>24184.88</v>
      </c>
      <c r="Q231" s="21" t="n">
        <v>24882.64</v>
      </c>
      <c r="R231" s="21" t="n">
        <v>25533.21</v>
      </c>
      <c r="S231" s="21" t="n">
        <v>26141.18</v>
      </c>
      <c r="T231" s="21" t="n">
        <v>26732.46</v>
      </c>
      <c r="U231" s="20"/>
      <c r="V231" s="20" t="s">
        <v>125</v>
      </c>
      <c r="W231" s="20" t="s">
        <v>97</v>
      </c>
      <c r="X231" s="20"/>
      <c r="Y231" s="20" t="s">
        <v>98</v>
      </c>
      <c r="Z231" s="20" t="s">
        <v>126</v>
      </c>
      <c r="AA231" s="20" t="s">
        <v>127</v>
      </c>
      <c r="AB231" s="20" t="s">
        <v>128</v>
      </c>
      <c r="AC231" s="20" t="s">
        <v>129</v>
      </c>
      <c r="AD231" s="20" t="s">
        <v>183</v>
      </c>
      <c r="AE231" s="20" t="s">
        <v>143</v>
      </c>
    </row>
    <row r="232" customFormat="false" ht="15" hidden="false" customHeight="false" outlineLevel="0" collapsed="false">
      <c r="A232" s="20" t="s">
        <v>182</v>
      </c>
      <c r="B232" s="20" t="s">
        <v>71</v>
      </c>
      <c r="C232" s="20" t="s">
        <v>122</v>
      </c>
      <c r="D232" s="20" t="s">
        <v>123</v>
      </c>
      <c r="E232" s="20" t="s">
        <v>124</v>
      </c>
      <c r="F232" s="21" t="n">
        <v>8625.77</v>
      </c>
      <c r="G232" s="21" t="n">
        <v>10164.43</v>
      </c>
      <c r="H232" s="21" t="n">
        <v>10415.22</v>
      </c>
      <c r="I232" s="21" t="n">
        <v>11197.45</v>
      </c>
      <c r="J232" s="21" t="n">
        <v>12417.92</v>
      </c>
      <c r="K232" s="21" t="n">
        <v>12549.4</v>
      </c>
      <c r="L232" s="21" t="n">
        <v>12397.2</v>
      </c>
      <c r="M232" s="21" t="n">
        <v>12916.61</v>
      </c>
      <c r="N232" s="21" t="n">
        <v>13739.16</v>
      </c>
      <c r="O232" s="21" t="n">
        <v>14653.56</v>
      </c>
      <c r="P232" s="21" t="n">
        <v>15363.92</v>
      </c>
      <c r="Q232" s="21" t="n">
        <v>15701.61</v>
      </c>
      <c r="R232" s="21" t="n">
        <v>15987.06</v>
      </c>
      <c r="S232" s="21" t="n">
        <v>16209.55</v>
      </c>
      <c r="T232" s="21" t="n">
        <v>16443.37</v>
      </c>
      <c r="U232" s="20"/>
      <c r="V232" s="20" t="s">
        <v>125</v>
      </c>
      <c r="W232" s="20" t="s">
        <v>97</v>
      </c>
      <c r="X232" s="20"/>
      <c r="Y232" s="20" t="s">
        <v>98</v>
      </c>
      <c r="Z232" s="20" t="s">
        <v>126</v>
      </c>
      <c r="AA232" s="20" t="s">
        <v>127</v>
      </c>
      <c r="AB232" s="20" t="s">
        <v>128</v>
      </c>
      <c r="AC232" s="20" t="s">
        <v>129</v>
      </c>
      <c r="AD232" s="20" t="s">
        <v>183</v>
      </c>
      <c r="AE232" s="20" t="s">
        <v>144</v>
      </c>
    </row>
    <row r="233" customFormat="false" ht="15" hidden="false" customHeight="false" outlineLevel="0" collapsed="false">
      <c r="A233" s="20" t="s">
        <v>182</v>
      </c>
      <c r="B233" s="20" t="s">
        <v>78</v>
      </c>
      <c r="C233" s="20" t="s">
        <v>122</v>
      </c>
      <c r="D233" s="20" t="s">
        <v>123</v>
      </c>
      <c r="E233" s="20" t="s">
        <v>124</v>
      </c>
      <c r="F233" s="21" t="n">
        <v>12972.35</v>
      </c>
      <c r="G233" s="21" t="n">
        <v>14479.94</v>
      </c>
      <c r="H233" s="21" t="n">
        <v>14730.44</v>
      </c>
      <c r="I233" s="21" t="n">
        <v>16449.85</v>
      </c>
      <c r="J233" s="21" t="n">
        <v>16488.66</v>
      </c>
      <c r="K233" s="21" t="n">
        <v>15446.46</v>
      </c>
      <c r="L233" s="21" t="n">
        <v>15575.41</v>
      </c>
      <c r="M233" s="21" t="n">
        <v>16296.68</v>
      </c>
      <c r="N233" s="21" t="n">
        <v>17477.13</v>
      </c>
      <c r="O233" s="21" t="n">
        <v>18806.12</v>
      </c>
      <c r="P233" s="21" t="n">
        <v>19955.98</v>
      </c>
      <c r="Q233" s="21" t="n">
        <v>20665.72</v>
      </c>
      <c r="R233" s="21" t="n">
        <v>21211.37</v>
      </c>
      <c r="S233" s="21" t="n">
        <v>21737.61</v>
      </c>
      <c r="T233" s="21" t="n">
        <v>22277.29</v>
      </c>
      <c r="U233" s="20"/>
      <c r="V233" s="20" t="s">
        <v>125</v>
      </c>
      <c r="W233" s="20" t="s">
        <v>97</v>
      </c>
      <c r="X233" s="20"/>
      <c r="Y233" s="20" t="s">
        <v>98</v>
      </c>
      <c r="Z233" s="20" t="s">
        <v>126</v>
      </c>
      <c r="AA233" s="20" t="s">
        <v>127</v>
      </c>
      <c r="AB233" s="20" t="s">
        <v>128</v>
      </c>
      <c r="AC233" s="20" t="s">
        <v>129</v>
      </c>
      <c r="AD233" s="20" t="s">
        <v>183</v>
      </c>
      <c r="AE233" s="20" t="s">
        <v>145</v>
      </c>
    </row>
    <row r="234" customFormat="false" ht="15" hidden="false" customHeight="false" outlineLevel="0" collapsed="false">
      <c r="A234" s="20" t="s">
        <v>182</v>
      </c>
      <c r="B234" s="20" t="s">
        <v>146</v>
      </c>
      <c r="C234" s="20" t="s">
        <v>122</v>
      </c>
      <c r="D234" s="20" t="s">
        <v>123</v>
      </c>
      <c r="E234" s="20" t="s">
        <v>124</v>
      </c>
      <c r="F234" s="21" t="n">
        <v>11832.99</v>
      </c>
      <c r="G234" s="21" t="n">
        <v>10713.56</v>
      </c>
      <c r="H234" s="21" t="n">
        <v>9037.78</v>
      </c>
      <c r="I234" s="21" t="n">
        <v>10399.14</v>
      </c>
      <c r="J234" s="21" t="n">
        <v>7789.8</v>
      </c>
      <c r="K234" s="21" t="n">
        <v>6829.03</v>
      </c>
      <c r="L234" s="21" t="n">
        <v>6408.57</v>
      </c>
      <c r="M234" s="21" t="n">
        <v>6358.89</v>
      </c>
      <c r="N234" s="21" t="n">
        <v>6479.83</v>
      </c>
      <c r="O234" s="21" t="n">
        <v>6721.23</v>
      </c>
      <c r="P234" s="21" t="n">
        <v>6954.51</v>
      </c>
      <c r="Q234" s="21" t="n">
        <v>7156.49</v>
      </c>
      <c r="R234" s="21" t="n">
        <v>7360.93</v>
      </c>
      <c r="S234" s="21" t="n">
        <v>7550.35</v>
      </c>
      <c r="T234" s="21" t="n">
        <v>7730.31</v>
      </c>
      <c r="U234" s="20"/>
      <c r="V234" s="20" t="s">
        <v>125</v>
      </c>
      <c r="W234" s="20" t="s">
        <v>97</v>
      </c>
      <c r="X234" s="20"/>
      <c r="Y234" s="20" t="s">
        <v>98</v>
      </c>
      <c r="Z234" s="20" t="s">
        <v>126</v>
      </c>
      <c r="AA234" s="20" t="s">
        <v>127</v>
      </c>
      <c r="AB234" s="20" t="s">
        <v>128</v>
      </c>
      <c r="AC234" s="20" t="s">
        <v>129</v>
      </c>
      <c r="AD234" s="20" t="s">
        <v>183</v>
      </c>
      <c r="AE234" s="20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E0E2D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26" min="7" style="0" width="12"/>
  </cols>
  <sheetData>
    <row r="1" customFormat="false" ht="27.75" hidden="false" customHeight="true" outlineLevel="0" collapsed="false">
      <c r="A1" s="1" t="s">
        <v>184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8" hidden="false" customHeight="true" outlineLevel="0" collapsed="false">
      <c r="A2" s="3" t="s">
        <v>185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10" t="s">
        <v>186</v>
      </c>
    </row>
    <row r="4" customFormat="false" ht="19.5" hidden="false" customHeight="true" outlineLevel="0" collapsed="false">
      <c r="A4" s="22" t="s">
        <v>187</v>
      </c>
      <c r="B4" s="22"/>
      <c r="C4" s="22"/>
      <c r="D4" s="22"/>
      <c r="E4" s="23" t="s">
        <v>188</v>
      </c>
      <c r="F4" s="23"/>
      <c r="G4" s="23"/>
      <c r="H4" s="23"/>
      <c r="I4" s="23"/>
      <c r="J4" s="24" t="s">
        <v>189</v>
      </c>
      <c r="K4" s="24"/>
      <c r="L4" s="24"/>
      <c r="M4" s="24"/>
      <c r="N4" s="24"/>
      <c r="O4" s="24"/>
      <c r="P4" s="24"/>
      <c r="Q4" s="25" t="s">
        <v>48</v>
      </c>
      <c r="R4" s="25"/>
      <c r="S4" s="25"/>
      <c r="T4" s="25"/>
      <c r="U4" s="25"/>
      <c r="V4" s="25"/>
      <c r="W4" s="26" t="s">
        <v>190</v>
      </c>
      <c r="X4" s="26"/>
      <c r="Y4" s="26"/>
      <c r="Z4" s="26"/>
    </row>
    <row r="5" customFormat="false" ht="42" hidden="false" customHeight="true" outlineLevel="0" collapsed="false">
      <c r="A5" s="27" t="s">
        <v>191</v>
      </c>
      <c r="B5" s="27" t="s">
        <v>192</v>
      </c>
      <c r="C5" s="27" t="s">
        <v>193</v>
      </c>
      <c r="D5" s="27" t="s">
        <v>194</v>
      </c>
      <c r="E5" s="28" t="str">
        <f aca="false">"Addressable market "&amp;(Settings!$B$7-1)&amp;" (EUR m)"</f>
        <v>Addressable market 2025 (EUR m)</v>
      </c>
      <c r="F5" s="28" t="str">
        <f aca="false">"Construction work done "&amp;(Settings!$B$7-1)&amp;" (US$ m)"</f>
        <v>Construction work done 2025 (US$ m)</v>
      </c>
      <c r="G5" s="28" t="str">
        <f aca="false">"Market CAGR "&amp;(Settings!$B$7-6)&amp;"-"&amp;(Settings!$B$7-1)</f>
        <v>Market CAGR 2020-2025</v>
      </c>
      <c r="H5" s="28" t="str">
        <f aca="false">"Market growth "&amp;Settings!$B$7&amp;"E"</f>
        <v>Market growth 2026E</v>
      </c>
      <c r="I5" s="28" t="str">
        <f aca="false">"Market CAGR "&amp;Settings!$B$7&amp;"-"&amp;(Settings!$B$7+5)</f>
        <v>Market CAGR 2026-2031</v>
      </c>
      <c r="J5" s="28" t="s">
        <v>195</v>
      </c>
      <c r="K5" s="28" t="str">
        <f aca="false">"Renovation CAGR "&amp;(Settings!$B$7-6)&amp;"-"&amp;(Settings!$B$7-1)</f>
        <v>Renovation CAGR 2020-2025</v>
      </c>
      <c r="L5" s="28" t="str">
        <f aca="false">"Renovation growth "&amp;Settings!$B$7&amp;"E"</f>
        <v>Renovation growth 2026E</v>
      </c>
      <c r="M5" s="28" t="str">
        <f aca="false">"Renovation CAGR "&amp;Settings!$B$7&amp;"-"&amp;(Settings!$B$7+5)</f>
        <v>Renovation CAGR 2026-2031</v>
      </c>
      <c r="N5" s="28" t="str">
        <f aca="false">"New build CAGR "&amp;(Settings!$B$7-6)&amp;"-"&amp;(Settings!$B$7-1)</f>
        <v>New build CAGR 2020-2025</v>
      </c>
      <c r="O5" s="28" t="str">
        <f aca="false">"New build growth "&amp;Settings!$B$7&amp;"E"</f>
        <v>New build growth 2026E</v>
      </c>
      <c r="P5" s="28" t="str">
        <f aca="false">"New build CAGR "&amp;Settings!$B$7&amp;"-"&amp;(Settings!$B$7+5)</f>
        <v>New build CAGR 2026-2031</v>
      </c>
      <c r="Q5" s="27" t="str">
        <f aca="false">"HFC sales "&amp;(Settings!$B$7-1)&amp;" (EUR m)"</f>
        <v>HFC sales 2025 (EUR m)</v>
      </c>
      <c r="R5" s="27" t="str">
        <f aca="false">"HFC sales CAGR "&amp;(Settings!$B$7-6)&amp;"-"&amp;(Settings!$B$7-1)</f>
        <v>HFC sales CAGR 2020-2025</v>
      </c>
      <c r="S5" s="27" t="str">
        <f aca="false">"HFC growth "&amp;Settings!$B$7&amp;" forecast"</f>
        <v>HFC growth 2026 forecast</v>
      </c>
      <c r="T5" s="27" t="str">
        <f aca="false">"HFC BP CAGR "&amp;Settings!$B$7&amp;"-"&amp;(Settings!$B$7+5)</f>
        <v>HFC BP CAGR 2026-2031</v>
      </c>
      <c r="U5" s="27" t="str">
        <f aca="false">"Market share "&amp;(Settings!$B$7-1)&amp;" (optional)"</f>
        <v>Market share 2025 (optional)</v>
      </c>
      <c r="V5" s="27" t="str">
        <f aca="false">"Market share "&amp;Settings!$B$7&amp;" (optional)"</f>
        <v>Market share 2026 (optional)</v>
      </c>
      <c r="W5" s="27" t="s">
        <v>196</v>
      </c>
      <c r="X5" s="27" t="s">
        <v>197</v>
      </c>
      <c r="Y5" s="27" t="s">
        <v>198</v>
      </c>
      <c r="Z5" s="27" t="s">
        <v>199</v>
      </c>
    </row>
    <row r="6" customFormat="false" ht="15" hidden="false" customHeight="false" outlineLevel="0" collapsed="false">
      <c r="A6" s="14" t="s">
        <v>174</v>
      </c>
      <c r="B6" s="14" t="s">
        <v>200</v>
      </c>
      <c r="C6" s="14" t="s">
        <v>201</v>
      </c>
      <c r="D6" s="14" t="s">
        <v>174</v>
      </c>
      <c r="E6" s="29" t="n">
        <v>115</v>
      </c>
      <c r="F6" s="30" t="n">
        <f aca="false">IF($A6="","",'Market levels'!I6)</f>
        <v>10329.28</v>
      </c>
      <c r="G6" s="31" t="n">
        <f aca="false">IF($A6="","",IFERROR(('Market levels'!I6/'Market levels'!D6)^(1/5)-1,""))</f>
        <v>-0.0195992504134664</v>
      </c>
      <c r="H6" s="31" t="n">
        <f aca="false">IF($A6="","",IFERROR('Market levels'!J6/'Market levels'!I6-1,""))</f>
        <v>0.0654305043526753</v>
      </c>
      <c r="I6" s="31" t="n">
        <f aca="false">IF($A6="","",IFERROR(('Market levels'!O6/'Market levels'!J6)^(1/5)-1,""))</f>
        <v>0.0225015243342797</v>
      </c>
      <c r="J6" s="32" t="n">
        <f aca="false">IF($A6="","",IFERROR('Market levels'!U6/'Market levels'!I6,""))</f>
        <v>0.532586976052542</v>
      </c>
      <c r="K6" s="31" t="n">
        <f aca="false">IF($A6="","",IFERROR(('Market levels'!U6/'Market levels'!P6)^(1/5)-1,""))</f>
        <v>0.0211153330698004</v>
      </c>
      <c r="L6" s="31" t="n">
        <f aca="false">IF($A6="","",IFERROR('Market levels'!V6/'Market levels'!U6-1,""))</f>
        <v>0.185850826359149</v>
      </c>
      <c r="M6" s="31" t="n">
        <f aca="false">IF($A6="","",IFERROR(('Market levels'!AA6/'Market levels'!V6)^(1/5)-1,""))</f>
        <v>0.0141805398769062</v>
      </c>
      <c r="N6" s="31" t="n">
        <f aca="false">IF($A6="","",IFERROR(('Market levels'!AG6/'Market levels'!AB6)^(1/5)-1,""))</f>
        <v>-0.0562343157624903</v>
      </c>
      <c r="O6" s="31" t="n">
        <f aca="false">IF($A6="","",IFERROR('Market levels'!AH6/'Market levels'!AG6-1,""))</f>
        <v>-0.0717806811873972</v>
      </c>
      <c r="P6" s="31" t="n">
        <f aca="false">IF($A6="","",IFERROR(('Market levels'!AM6/'Market levels'!AH6)^(1/5)-1,""))</f>
        <v>0.0341503028428385</v>
      </c>
      <c r="Q6" s="29" t="n">
        <v>5.8</v>
      </c>
      <c r="R6" s="33" t="n">
        <v>0.09</v>
      </c>
      <c r="S6" s="33" t="n">
        <v>0.085</v>
      </c>
      <c r="T6" s="33" t="n">
        <v>0.1</v>
      </c>
      <c r="U6" s="33"/>
      <c r="V6" s="33"/>
      <c r="W6" s="17" t="n">
        <v>3</v>
      </c>
      <c r="X6" s="17" t="n">
        <v>3</v>
      </c>
      <c r="Y6" s="17" t="n">
        <v>2</v>
      </c>
      <c r="Z6" s="17" t="n">
        <v>4</v>
      </c>
    </row>
    <row r="7" customFormat="false" ht="15" hidden="false" customHeight="false" outlineLevel="0" collapsed="false">
      <c r="A7" s="14" t="s">
        <v>174</v>
      </c>
      <c r="B7" s="14" t="s">
        <v>200</v>
      </c>
      <c r="C7" s="14" t="s">
        <v>202</v>
      </c>
      <c r="D7" s="14" t="s">
        <v>174</v>
      </c>
      <c r="E7" s="29" t="n">
        <v>260</v>
      </c>
      <c r="F7" s="30" t="n">
        <f aca="false">IF($A7="","",'Market levels'!I7)</f>
        <v>23418.23</v>
      </c>
      <c r="G7" s="31" t="n">
        <f aca="false">IF($A7="","",IFERROR(('Market levels'!I7/'Market levels'!D7)^(1/5)-1,""))</f>
        <v>0.00341472045997371</v>
      </c>
      <c r="H7" s="31" t="n">
        <f aca="false">IF($A7="","",IFERROR('Market levels'!J7/'Market levels'!I7-1,""))</f>
        <v>0.0596590775647863</v>
      </c>
      <c r="I7" s="31" t="n">
        <f aca="false">IF($A7="","",IFERROR(('Market levels'!O7/'Market levels'!J7)^(1/5)-1,""))</f>
        <v>0.0234508339237622</v>
      </c>
      <c r="J7" s="32" t="n">
        <f aca="false">IF($A7="","",IFERROR('Market levels'!U7/'Market levels'!I7,""))</f>
        <v>0.327015747987786</v>
      </c>
      <c r="K7" s="31" t="n">
        <f aca="false">IF($A7="","",IFERROR(('Market levels'!U7/'Market levels'!P7)^(1/5)-1,""))</f>
        <v>0.00993674664251398</v>
      </c>
      <c r="L7" s="31" t="n">
        <f aca="false">IF($A7="","",IFERROR('Market levels'!V7/'Market levels'!U7-1,""))</f>
        <v>0.165138225650388</v>
      </c>
      <c r="M7" s="31" t="n">
        <f aca="false">IF($A7="","",IFERROR(('Market levels'!AA7/'Market levels'!V7)^(1/5)-1,""))</f>
        <v>0.0204915356177162</v>
      </c>
      <c r="N7" s="31" t="n">
        <f aca="false">IF($A7="","",IFERROR(('Market levels'!AG7/'Market levels'!AB7)^(1/5)-1,""))</f>
        <v>0.000334978916365802</v>
      </c>
      <c r="O7" s="31" t="n">
        <f aca="false">IF($A7="","",IFERROR('Market levels'!AH7/'Market levels'!AG7-1,""))</f>
        <v>0.00840476900527287</v>
      </c>
      <c r="P7" s="31" t="n">
        <f aca="false">IF($A7="","",IFERROR(('Market levels'!AM7/'Market levels'!AH7)^(1/5)-1,""))</f>
        <v>0.0250974263653638</v>
      </c>
      <c r="Q7" s="29" t="n">
        <v>9.9</v>
      </c>
      <c r="R7" s="33" t="n">
        <v>0.095</v>
      </c>
      <c r="S7" s="33" t="n">
        <v>0.09</v>
      </c>
      <c r="T7" s="33" t="n">
        <v>0.105</v>
      </c>
      <c r="U7" s="33"/>
      <c r="V7" s="33"/>
      <c r="W7" s="17" t="n">
        <v>3</v>
      </c>
      <c r="X7" s="17" t="n">
        <v>3</v>
      </c>
      <c r="Y7" s="17" t="n">
        <v>2</v>
      </c>
      <c r="Z7" s="17" t="n">
        <v>4</v>
      </c>
    </row>
    <row r="8" customFormat="false" ht="15" hidden="false" customHeight="false" outlineLevel="0" collapsed="false">
      <c r="A8" s="14" t="s">
        <v>152</v>
      </c>
      <c r="B8" s="14" t="s">
        <v>203</v>
      </c>
      <c r="C8" s="14" t="s">
        <v>201</v>
      </c>
      <c r="D8" s="14" t="s">
        <v>152</v>
      </c>
      <c r="E8" s="29" t="n">
        <v>65</v>
      </c>
      <c r="F8" s="30" t="n">
        <f aca="false">IF($A8="","",'Market levels'!I8)</f>
        <v>5836.52</v>
      </c>
      <c r="G8" s="31" t="n">
        <f aca="false">IF($A8="","",IFERROR(('Market levels'!I8/'Market levels'!D8)^(1/5)-1,""))</f>
        <v>-0.0240851177496964</v>
      </c>
      <c r="H8" s="31" t="n">
        <f aca="false">IF($A8="","",IFERROR('Market levels'!J8/'Market levels'!I8-1,""))</f>
        <v>-0.0168148143071558</v>
      </c>
      <c r="I8" s="31" t="n">
        <f aca="false">IF($A8="","",IFERROR(('Market levels'!O8/'Market levels'!J8)^(1/5)-1,""))</f>
        <v>0.0219043525508911</v>
      </c>
      <c r="J8" s="32" t="n">
        <f aca="false">IF($A8="","",IFERROR('Market levels'!U8/'Market levels'!I8,""))</f>
        <v>0.323363922337283</v>
      </c>
      <c r="K8" s="31" t="n">
        <f aca="false">IF($A8="","",IFERROR(('Market levels'!U8/'Market levels'!P8)^(1/5)-1,""))</f>
        <v>0.0319288971282656</v>
      </c>
      <c r="L8" s="31" t="n">
        <f aca="false">IF($A8="","",IFERROR('Market levels'!V8/'Market levels'!U8-1,""))</f>
        <v>-0.0942818387978723</v>
      </c>
      <c r="M8" s="31" t="n">
        <f aca="false">IF($A8="","",IFERROR(('Market levels'!AA8/'Market levels'!V8)^(1/5)-1,""))</f>
        <v>0.0310685186979185</v>
      </c>
      <c r="N8" s="31" t="n">
        <f aca="false">IF($A8="","",IFERROR(('Market levels'!AG8/'Market levels'!AB8)^(1/5)-1,""))</f>
        <v>-0.0453359898789375</v>
      </c>
      <c r="O8" s="31" t="n">
        <f aca="false">IF($A8="","",IFERROR('Market levels'!AH8/'Market levels'!AG8-1,""))</f>
        <v>0.0202066241264052</v>
      </c>
      <c r="P8" s="31" t="n">
        <f aca="false">IF($A8="","",IFERROR(('Market levels'!AM8/'Market levels'!AH8)^(1/5)-1,""))</f>
        <v>0.0179148899833346</v>
      </c>
      <c r="Q8" s="29" t="n">
        <v>3.9</v>
      </c>
      <c r="R8" s="33" t="n">
        <v>0.06</v>
      </c>
      <c r="S8" s="33" t="n">
        <v>0.05</v>
      </c>
      <c r="T8" s="33" t="n">
        <v>0.07</v>
      </c>
      <c r="U8" s="33"/>
      <c r="V8" s="33"/>
      <c r="W8" s="17" t="n">
        <v>3</v>
      </c>
      <c r="X8" s="17" t="n">
        <v>3</v>
      </c>
      <c r="Y8" s="17" t="n">
        <v>3</v>
      </c>
      <c r="Z8" s="17" t="n">
        <v>3</v>
      </c>
    </row>
    <row r="9" customFormat="false" ht="15" hidden="false" customHeight="false" outlineLevel="0" collapsed="false">
      <c r="A9" s="14" t="s">
        <v>152</v>
      </c>
      <c r="B9" s="14" t="s">
        <v>203</v>
      </c>
      <c r="C9" s="14" t="s">
        <v>202</v>
      </c>
      <c r="D9" s="14" t="s">
        <v>152</v>
      </c>
      <c r="E9" s="29" t="n">
        <v>85</v>
      </c>
      <c r="F9" s="30" t="n">
        <f aca="false">IF($A9="","",'Market levels'!I9)</f>
        <v>7763.99</v>
      </c>
      <c r="G9" s="31" t="n">
        <f aca="false">IF($A9="","",IFERROR(('Market levels'!I9/'Market levels'!D9)^(1/5)-1,""))</f>
        <v>-0.00337034520083179</v>
      </c>
      <c r="H9" s="31" t="n">
        <f aca="false">IF($A9="","",IFERROR('Market levels'!J9/'Market levels'!I9-1,""))</f>
        <v>0.0511502462007294</v>
      </c>
      <c r="I9" s="31" t="n">
        <f aca="false">IF($A9="","",IFERROR(('Market levels'!O9/'Market levels'!J9)^(1/5)-1,""))</f>
        <v>0.0400035541568586</v>
      </c>
      <c r="J9" s="32" t="n">
        <f aca="false">IF($A9="","",IFERROR('Market levels'!U9/'Market levels'!I9,""))</f>
        <v>0.318157287683266</v>
      </c>
      <c r="K9" s="31" t="n">
        <f aca="false">IF($A9="","",IFERROR(('Market levels'!U9/'Market levels'!P9)^(1/5)-1,""))</f>
        <v>-0.000172368597403549</v>
      </c>
      <c r="L9" s="31" t="n">
        <f aca="false">IF($A9="","",IFERROR('Market levels'!V9/'Market levels'!U9-1,""))</f>
        <v>0.0357060445232513</v>
      </c>
      <c r="M9" s="31" t="n">
        <f aca="false">IF($A9="","",IFERROR(('Market levels'!AA9/'Market levels'!V9)^(1/5)-1,""))</f>
        <v>0.0541595511445643</v>
      </c>
      <c r="N9" s="31" t="n">
        <f aca="false">IF($A9="","",IFERROR(('Market levels'!AG9/'Market levels'!AB9)^(1/5)-1,""))</f>
        <v>-0.0048417679935393</v>
      </c>
      <c r="O9" s="31" t="n">
        <f aca="false">IF($A9="","",IFERROR('Market levels'!AH9/'Market levels'!AG9-1,""))</f>
        <v>0.0583567253892274</v>
      </c>
      <c r="P9" s="31" t="n">
        <f aca="false">IF($A9="","",IFERROR(('Market levels'!AM9/'Market levels'!AH9)^(1/5)-1,""))</f>
        <v>0.0332746428625212</v>
      </c>
      <c r="Q9" s="29" t="n">
        <v>3.4</v>
      </c>
      <c r="R9" s="33" t="n">
        <v>0.065</v>
      </c>
      <c r="S9" s="33" t="n">
        <v>0.055</v>
      </c>
      <c r="T9" s="33" t="n">
        <v>0.075</v>
      </c>
      <c r="U9" s="33"/>
      <c r="V9" s="33"/>
      <c r="W9" s="17" t="n">
        <v>3</v>
      </c>
      <c r="X9" s="17" t="n">
        <v>3</v>
      </c>
      <c r="Y9" s="17" t="n">
        <v>3</v>
      </c>
      <c r="Z9" s="17" t="n">
        <v>3</v>
      </c>
    </row>
    <row r="10" customFormat="false" ht="15" hidden="false" customHeight="false" outlineLevel="0" collapsed="false">
      <c r="A10" s="14" t="s">
        <v>164</v>
      </c>
      <c r="B10" s="14" t="s">
        <v>204</v>
      </c>
      <c r="C10" s="14" t="s">
        <v>201</v>
      </c>
      <c r="D10" s="14" t="s">
        <v>164</v>
      </c>
      <c r="E10" s="29" t="n">
        <v>20</v>
      </c>
      <c r="F10" s="30" t="n">
        <f aca="false">IF($A10="","",'Market levels'!I10)</f>
        <v>1964.39</v>
      </c>
      <c r="G10" s="31" t="n">
        <f aca="false">IF($A10="","",IFERROR(('Market levels'!I10/'Market levels'!D10)^(1/5)-1,""))</f>
        <v>-0.0033333537733401</v>
      </c>
      <c r="H10" s="31" t="n">
        <f aca="false">IF($A10="","",IFERROR('Market levels'!J10/'Market levels'!I10-1,""))</f>
        <v>0.0869175672855187</v>
      </c>
      <c r="I10" s="31" t="n">
        <f aca="false">IF($A10="","",IFERROR(('Market levels'!O10/'Market levels'!J10)^(1/5)-1,""))</f>
        <v>0.00646351483566021</v>
      </c>
      <c r="J10" s="32" t="n">
        <f aca="false">IF($A10="","",IFERROR('Market levels'!U10/'Market levels'!I10,""))</f>
        <v>0.530159489714364</v>
      </c>
      <c r="K10" s="31" t="n">
        <f aca="false">IF($A10="","",IFERROR(('Market levels'!U10/'Market levels'!P10)^(1/5)-1,""))</f>
        <v>0.026370963125081</v>
      </c>
      <c r="L10" s="31" t="n">
        <f aca="false">IF($A10="","",IFERROR('Market levels'!V10/'Market levels'!U10-1,""))</f>
        <v>-0.0169188815486249</v>
      </c>
      <c r="M10" s="31" t="n">
        <f aca="false">IF($A10="","",IFERROR(('Market levels'!AA10/'Market levels'!V10)^(1/5)-1,""))</f>
        <v>0.0528241378587315</v>
      </c>
      <c r="N10" s="31" t="n">
        <f aca="false">IF($A10="","",IFERROR(('Market levels'!AG10/'Market levels'!AB10)^(1/5)-1,""))</f>
        <v>-0.0314966623547504</v>
      </c>
      <c r="O10" s="31" t="n">
        <f aca="false">IF($A10="","",IFERROR('Market levels'!AH10/'Market levels'!AG10-1,""))</f>
        <v>0.20408472831681</v>
      </c>
      <c r="P10" s="31" t="n">
        <f aca="false">IF($A10="","",IFERROR(('Market levels'!AM10/'Market levels'!AH10)^(1/5)-1,""))</f>
        <v>-0.0454546149649131</v>
      </c>
      <c r="Q10" s="29" t="n">
        <v>0.8</v>
      </c>
      <c r="R10" s="33" t="n">
        <v>0.05</v>
      </c>
      <c r="S10" s="33" t="n">
        <v>0.03</v>
      </c>
      <c r="T10" s="33" t="n">
        <v>0.06</v>
      </c>
      <c r="U10" s="33"/>
      <c r="V10" s="33"/>
      <c r="W10" s="17" t="n">
        <v>2</v>
      </c>
      <c r="X10" s="17" t="n">
        <v>3</v>
      </c>
      <c r="Y10" s="17" t="n">
        <v>2</v>
      </c>
      <c r="Z10" s="17" t="n">
        <v>3</v>
      </c>
    </row>
    <row r="11" customFormat="false" ht="15" hidden="false" customHeight="false" outlineLevel="0" collapsed="false">
      <c r="A11" s="14" t="s">
        <v>164</v>
      </c>
      <c r="B11" s="14" t="s">
        <v>204</v>
      </c>
      <c r="C11" s="14" t="s">
        <v>202</v>
      </c>
      <c r="D11" s="14" t="s">
        <v>164</v>
      </c>
      <c r="E11" s="29" t="n">
        <v>40</v>
      </c>
      <c r="F11" s="30" t="n">
        <f aca="false">IF($A11="","",'Market levels'!I11)</f>
        <v>3843.27</v>
      </c>
      <c r="G11" s="31" t="n">
        <f aca="false">IF($A11="","",IFERROR(('Market levels'!I11/'Market levels'!D11)^(1/5)-1,""))</f>
        <v>0.00844826606355431</v>
      </c>
      <c r="H11" s="31" t="n">
        <f aca="false">IF($A11="","",IFERROR('Market levels'!J11/'Market levels'!I11-1,""))</f>
        <v>0.116684490030625</v>
      </c>
      <c r="I11" s="31" t="n">
        <f aca="false">IF($A11="","",IFERROR(('Market levels'!O11/'Market levels'!J11)^(1/5)-1,""))</f>
        <v>0.0268761815236398</v>
      </c>
      <c r="J11" s="32" t="n">
        <f aca="false">IF($A11="","",IFERROR('Market levels'!U11/'Market levels'!I11,""))</f>
        <v>0.49522411904446</v>
      </c>
      <c r="K11" s="31" t="n">
        <f aca="false">IF($A11="","",IFERROR(('Market levels'!U11/'Market levels'!P11)^(1/5)-1,""))</f>
        <v>0.0431067043011753</v>
      </c>
      <c r="L11" s="31" t="n">
        <f aca="false">IF($A11="","",IFERROR('Market levels'!V11/'Market levels'!U11-1,""))</f>
        <v>0.137299819259384</v>
      </c>
      <c r="M11" s="31" t="n">
        <f aca="false">IF($A11="","",IFERROR(('Market levels'!AA11/'Market levels'!V11)^(1/5)-1,""))</f>
        <v>0.00749737665613659</v>
      </c>
      <c r="N11" s="31" t="n">
        <f aca="false">IF($A11="","",IFERROR(('Market levels'!AG11/'Market levels'!AB11)^(1/5)-1,""))</f>
        <v>-0.0197775033065249</v>
      </c>
      <c r="O11" s="31" t="n">
        <f aca="false">IF($A11="","",IFERROR('Market levels'!AH11/'Market levels'!AG11-1,""))</f>
        <v>0.0964592600992789</v>
      </c>
      <c r="P11" s="31" t="n">
        <f aca="false">IF($A11="","",IFERROR(('Market levels'!AM11/'Market levels'!AH11)^(1/5)-1,""))</f>
        <v>0.0452003053264212</v>
      </c>
      <c r="Q11" s="29" t="n">
        <v>1.2</v>
      </c>
      <c r="R11" s="33" t="n">
        <v>0.055</v>
      </c>
      <c r="S11" s="33" t="n">
        <v>0.035</v>
      </c>
      <c r="T11" s="33" t="n">
        <v>0.065</v>
      </c>
      <c r="U11" s="33"/>
      <c r="V11" s="33"/>
      <c r="W11" s="17" t="n">
        <v>2</v>
      </c>
      <c r="X11" s="17" t="n">
        <v>3</v>
      </c>
      <c r="Y11" s="17" t="n">
        <v>2</v>
      </c>
      <c r="Z11" s="17" t="n">
        <v>3</v>
      </c>
    </row>
    <row r="12" customFormat="false" ht="15" hidden="false" customHeight="false" outlineLevel="0" collapsed="false">
      <c r="A12" s="14" t="s">
        <v>170</v>
      </c>
      <c r="B12" s="14" t="s">
        <v>205</v>
      </c>
      <c r="C12" s="14" t="s">
        <v>201</v>
      </c>
      <c r="D12" s="14" t="s">
        <v>170</v>
      </c>
      <c r="E12" s="29" t="n">
        <v>320</v>
      </c>
      <c r="F12" s="30" t="n">
        <f aca="false">IF($A12="","",'Market levels'!I12)</f>
        <v>29129.26</v>
      </c>
      <c r="G12" s="31" t="n">
        <f aca="false">IF($A12="","",IFERROR(('Market levels'!I12/'Market levels'!D12)^(1/5)-1,""))</f>
        <v>0.0163457022077107</v>
      </c>
      <c r="H12" s="31" t="n">
        <f aca="false">IF($A12="","",IFERROR('Market levels'!J12/'Market levels'!I12-1,""))</f>
        <v>0.0131534409044378</v>
      </c>
      <c r="I12" s="31" t="n">
        <f aca="false">IF($A12="","",IFERROR(('Market levels'!O12/'Market levels'!J12)^(1/5)-1,""))</f>
        <v>0.0289869339370692</v>
      </c>
      <c r="J12" s="32" t="n">
        <f aca="false">IF($A12="","",IFERROR('Market levels'!U12/'Market levels'!I12,""))</f>
        <v>0.613365049438262</v>
      </c>
      <c r="K12" s="31" t="n">
        <f aca="false">IF($A12="","",IFERROR(('Market levels'!U12/'Market levels'!P12)^(1/5)-1,""))</f>
        <v>0.0387654221228175</v>
      </c>
      <c r="L12" s="31" t="n">
        <f aca="false">IF($A12="","",IFERROR('Market levels'!V12/'Market levels'!U12-1,""))</f>
        <v>0.00339175244460854</v>
      </c>
      <c r="M12" s="31" t="n">
        <f aca="false">IF($A12="","",IFERROR(('Market levels'!AA12/'Market levels'!V12)^(1/5)-1,""))</f>
        <v>0.0349653818762163</v>
      </c>
      <c r="N12" s="31" t="n">
        <f aca="false">IF($A12="","",IFERROR(('Market levels'!AG12/'Market levels'!AB12)^(1/5)-1,""))</f>
        <v>-0.0140534901957474</v>
      </c>
      <c r="O12" s="31" t="n">
        <f aca="false">IF($A12="","",IFERROR('Market levels'!AH12/'Market levels'!AG12-1,""))</f>
        <v>0.0286395693986801</v>
      </c>
      <c r="P12" s="31" t="n">
        <f aca="false">IF($A12="","",IFERROR(('Market levels'!AM12/'Market levels'!AH12)^(1/5)-1,""))</f>
        <v>0.0194522013587353</v>
      </c>
      <c r="Q12" s="29" t="n">
        <v>51.2</v>
      </c>
      <c r="R12" s="33" t="n">
        <v>0.035</v>
      </c>
      <c r="S12" s="33" t="n">
        <v>0.02</v>
      </c>
      <c r="T12" s="33" t="n">
        <v>0.03</v>
      </c>
      <c r="U12" s="33"/>
      <c r="V12" s="33"/>
      <c r="W12" s="17" t="n">
        <v>4</v>
      </c>
      <c r="X12" s="17" t="n">
        <v>3</v>
      </c>
      <c r="Y12" s="17" t="n">
        <v>5</v>
      </c>
      <c r="Z12" s="17" t="n">
        <v>4</v>
      </c>
    </row>
    <row r="13" customFormat="false" ht="15" hidden="false" customHeight="false" outlineLevel="0" collapsed="false">
      <c r="A13" s="14" t="s">
        <v>170</v>
      </c>
      <c r="B13" s="14" t="s">
        <v>205</v>
      </c>
      <c r="C13" s="14" t="s">
        <v>202</v>
      </c>
      <c r="D13" s="14" t="s">
        <v>170</v>
      </c>
      <c r="E13" s="29" t="n">
        <v>270</v>
      </c>
      <c r="F13" s="30" t="n">
        <f aca="false">IF($A13="","",'Market levels'!I13)</f>
        <v>24549.72</v>
      </c>
      <c r="G13" s="31" t="n">
        <f aca="false">IF($A13="","",IFERROR(('Market levels'!I13/'Market levels'!D13)^(1/5)-1,""))</f>
        <v>0.0241636167909041</v>
      </c>
      <c r="H13" s="31" t="n">
        <f aca="false">IF($A13="","",IFERROR('Market levels'!J13/'Market levels'!I13-1,""))</f>
        <v>0.0267648673793428</v>
      </c>
      <c r="I13" s="31" t="n">
        <f aca="false">IF($A13="","",IFERROR(('Market levels'!O13/'Market levels'!J13)^(1/5)-1,""))</f>
        <v>0.0289147714067022</v>
      </c>
      <c r="J13" s="32" t="n">
        <f aca="false">IF($A13="","",IFERROR('Market levels'!U13/'Market levels'!I13,""))</f>
        <v>0.429948284542553</v>
      </c>
      <c r="K13" s="31" t="n">
        <f aca="false">IF($A13="","",IFERROR(('Market levels'!U13/'Market levels'!P13)^(1/5)-1,""))</f>
        <v>0.00692442654922432</v>
      </c>
      <c r="L13" s="31" t="n">
        <f aca="false">IF($A13="","",IFERROR('Market levels'!V13/'Market levels'!U13-1,""))</f>
        <v>0.0252759090146857</v>
      </c>
      <c r="M13" s="31" t="n">
        <f aca="false">IF($A13="","",IFERROR(('Market levels'!AA13/'Market levels'!V13)^(1/5)-1,""))</f>
        <v>0.0379030127118749</v>
      </c>
      <c r="N13" s="31" t="n">
        <f aca="false">IF($A13="","",IFERROR(('Market levels'!AG13/'Market levels'!AB13)^(1/5)-1,""))</f>
        <v>0.0384261657086995</v>
      </c>
      <c r="O13" s="31" t="n">
        <f aca="false">IF($A13="","",IFERROR('Market levels'!AH13/'Market levels'!AG13-1,""))</f>
        <v>0.0278878796908235</v>
      </c>
      <c r="P13" s="31" t="n">
        <f aca="false">IF($A13="","",IFERROR(('Market levels'!AM13/'Market levels'!AH13)^(1/5)-1,""))</f>
        <v>0.0219397195404747</v>
      </c>
      <c r="Q13" s="29" t="n">
        <v>36.5</v>
      </c>
      <c r="R13" s="33" t="n">
        <v>0.04</v>
      </c>
      <c r="S13" s="33" t="n">
        <v>0.025</v>
      </c>
      <c r="T13" s="33" t="n">
        <v>0.035</v>
      </c>
      <c r="U13" s="33"/>
      <c r="V13" s="33"/>
      <c r="W13" s="17" t="n">
        <v>4</v>
      </c>
      <c r="X13" s="17" t="n">
        <v>3</v>
      </c>
      <c r="Y13" s="17" t="n">
        <v>5</v>
      </c>
      <c r="Z13" s="17" t="n">
        <v>4</v>
      </c>
    </row>
    <row r="14" customFormat="false" ht="15" hidden="false" customHeight="false" outlineLevel="0" collapsed="false">
      <c r="A14" s="14" t="s">
        <v>180</v>
      </c>
      <c r="B14" s="14" t="s">
        <v>206</v>
      </c>
      <c r="C14" s="14" t="s">
        <v>201</v>
      </c>
      <c r="D14" s="14" t="s">
        <v>180</v>
      </c>
      <c r="E14" s="29" t="n">
        <v>90</v>
      </c>
      <c r="F14" s="30" t="n">
        <f aca="false">IF($A14="","",'Market levels'!I14)</f>
        <v>8363.88</v>
      </c>
      <c r="G14" s="31" t="n">
        <f aca="false">IF($A14="","",IFERROR(('Market levels'!I14/'Market levels'!D14)^(1/5)-1,""))</f>
        <v>-0.000390270398990311</v>
      </c>
      <c r="H14" s="31" t="n">
        <f aca="false">IF($A14="","",IFERROR('Market levels'!J14/'Market levels'!I14-1,""))</f>
        <v>0.0205347279014041</v>
      </c>
      <c r="I14" s="31" t="n">
        <f aca="false">IF($A14="","",IFERROR(('Market levels'!O14/'Market levels'!J14)^(1/5)-1,""))</f>
        <v>0.0257026876814164</v>
      </c>
      <c r="J14" s="32" t="n">
        <f aca="false">IF($A14="","",IFERROR('Market levels'!U14/'Market levels'!I14,""))</f>
        <v>0.606806888668895</v>
      </c>
      <c r="K14" s="31" t="n">
        <f aca="false">IF($A14="","",IFERROR(('Market levels'!U14/'Market levels'!P14)^(1/5)-1,""))</f>
        <v>0.0459838541730646</v>
      </c>
      <c r="L14" s="31" t="n">
        <f aca="false">IF($A14="","",IFERROR('Market levels'!V14/'Market levels'!U14-1,""))</f>
        <v>-0.00483916094939019</v>
      </c>
      <c r="M14" s="31" t="n">
        <f aca="false">IF($A14="","",IFERROR(('Market levels'!AA14/'Market levels'!V14)^(1/5)-1,""))</f>
        <v>0.0266223472909226</v>
      </c>
      <c r="N14" s="31" t="n">
        <f aca="false">IF($A14="","",IFERROR(('Market levels'!AG14/'Market levels'!AB14)^(1/5)-1,""))</f>
        <v>-0.0533889216975546</v>
      </c>
      <c r="O14" s="31" t="n">
        <f aca="false">IF($A14="","",IFERROR('Market levels'!AH14/'Market levels'!AG14-1,""))</f>
        <v>0.059693731717255</v>
      </c>
      <c r="P14" s="31" t="n">
        <f aca="false">IF($A14="","",IFERROR(('Market levels'!AM14/'Market levels'!AH14)^(1/5)-1,""))</f>
        <v>0.0243639450466462</v>
      </c>
      <c r="Q14" s="29" t="n">
        <v>6.3</v>
      </c>
      <c r="R14" s="33" t="n">
        <v>0.01</v>
      </c>
      <c r="S14" s="33" t="n">
        <v>0</v>
      </c>
      <c r="T14" s="33" t="n">
        <v>0.035</v>
      </c>
      <c r="U14" s="33"/>
      <c r="V14" s="33"/>
      <c r="W14" s="17" t="n">
        <v>4</v>
      </c>
      <c r="X14" s="17" t="n">
        <v>3</v>
      </c>
      <c r="Y14" s="17" t="n">
        <v>3</v>
      </c>
      <c r="Z14" s="17" t="n">
        <v>3</v>
      </c>
    </row>
    <row r="15" customFormat="false" ht="15" hidden="false" customHeight="false" outlineLevel="0" collapsed="false">
      <c r="A15" s="14" t="s">
        <v>180</v>
      </c>
      <c r="B15" s="14" t="s">
        <v>206</v>
      </c>
      <c r="C15" s="14" t="s">
        <v>202</v>
      </c>
      <c r="D15" s="14" t="s">
        <v>180</v>
      </c>
      <c r="E15" s="29" t="n">
        <v>185</v>
      </c>
      <c r="F15" s="30" t="n">
        <f aca="false">IF($A15="","",'Market levels'!I15)</f>
        <v>16933.1</v>
      </c>
      <c r="G15" s="31" t="n">
        <f aca="false">IF($A15="","",IFERROR(('Market levels'!I15/'Market levels'!D15)^(1/5)-1,""))</f>
        <v>-0.00402900622497826</v>
      </c>
      <c r="H15" s="31" t="n">
        <f aca="false">IF($A15="","",IFERROR('Market levels'!J15/'Market levels'!I15-1,""))</f>
        <v>-0.00652981438720612</v>
      </c>
      <c r="I15" s="31" t="n">
        <f aca="false">IF($A15="","",IFERROR(('Market levels'!O15/'Market levels'!J15)^(1/5)-1,""))</f>
        <v>0.0226991071956315</v>
      </c>
      <c r="J15" s="32" t="n">
        <f aca="false">IF($A15="","",IFERROR('Market levels'!U15/'Market levels'!I15,""))</f>
        <v>0.541020840838358</v>
      </c>
      <c r="K15" s="31" t="n">
        <f aca="false">IF($A15="","",IFERROR(('Market levels'!U15/'Market levels'!P15)^(1/5)-1,""))</f>
        <v>0.0501975479380685</v>
      </c>
      <c r="L15" s="31" t="n">
        <f aca="false">IF($A15="","",IFERROR('Market levels'!V15/'Market levels'!U15-1,""))</f>
        <v>-0.0239303756292871</v>
      </c>
      <c r="M15" s="31" t="n">
        <f aca="false">IF($A15="","",IFERROR(('Market levels'!AA15/'Market levels'!V15)^(1/5)-1,""))</f>
        <v>0.0266289617092792</v>
      </c>
      <c r="N15" s="31" t="n">
        <f aca="false">IF($A15="","",IFERROR(('Market levels'!AG15/'Market levels'!AB15)^(1/5)-1,""))</f>
        <v>-0.051187487299301</v>
      </c>
      <c r="O15" s="31" t="n">
        <f aca="false">IF($A15="","",IFERROR('Market levels'!AH15/'Market levels'!AG15-1,""))</f>
        <v>0.0139810652166641</v>
      </c>
      <c r="P15" s="31" t="n">
        <f aca="false">IF($A15="","",IFERROR(('Market levels'!AM15/'Market levels'!AH15)^(1/5)-1,""))</f>
        <v>0.0181655774098575</v>
      </c>
      <c r="Q15" s="29" t="n">
        <v>10.2</v>
      </c>
      <c r="R15" s="33" t="n">
        <v>0.015</v>
      </c>
      <c r="S15" s="33" t="n">
        <v>0.005</v>
      </c>
      <c r="T15" s="33" t="n">
        <v>0.04</v>
      </c>
      <c r="U15" s="33"/>
      <c r="V15" s="33"/>
      <c r="W15" s="17" t="n">
        <v>4</v>
      </c>
      <c r="X15" s="17" t="n">
        <v>3</v>
      </c>
      <c r="Y15" s="17" t="n">
        <v>3</v>
      </c>
      <c r="Z15" s="17" t="n">
        <v>3</v>
      </c>
    </row>
    <row r="16" customFormat="false" ht="15" hidden="false" customHeight="false" outlineLevel="0" collapsed="false">
      <c r="A16" s="14" t="s">
        <v>172</v>
      </c>
      <c r="B16" s="14" t="s">
        <v>207</v>
      </c>
      <c r="C16" s="14" t="s">
        <v>201</v>
      </c>
      <c r="D16" s="14" t="s">
        <v>172</v>
      </c>
      <c r="E16" s="29" t="n">
        <v>50</v>
      </c>
      <c r="F16" s="30" t="n">
        <f aca="false">IF($A16="","",'Market levels'!I16)</f>
        <v>4324.92</v>
      </c>
      <c r="G16" s="31" t="n">
        <f aca="false">IF($A16="","",IFERROR(('Market levels'!I16/'Market levels'!D16)^(1/5)-1,""))</f>
        <v>-0.0244620040690535</v>
      </c>
      <c r="H16" s="31" t="n">
        <f aca="false">IF($A16="","",IFERROR('Market levels'!J16/'Market levels'!I16-1,""))</f>
        <v>-0.0556125893658148</v>
      </c>
      <c r="I16" s="31" t="n">
        <f aca="false">IF($A16="","",IFERROR(('Market levels'!O16/'Market levels'!J16)^(1/5)-1,""))</f>
        <v>0.0286285547308702</v>
      </c>
      <c r="J16" s="32" t="n">
        <f aca="false">IF($A16="","",IFERROR('Market levels'!U16/'Market levels'!I16,""))</f>
        <v>0.75231911804149</v>
      </c>
      <c r="K16" s="31" t="n">
        <f aca="false">IF($A16="","",IFERROR(('Market levels'!U16/'Market levels'!P16)^(1/5)-1,""))</f>
        <v>0.00918783915111576</v>
      </c>
      <c r="L16" s="31" t="n">
        <f aca="false">IF($A16="","",IFERROR('Market levels'!V16/'Market levels'!U16-1,""))</f>
        <v>-0.0598883739227715</v>
      </c>
      <c r="M16" s="31" t="n">
        <f aca="false">IF($A16="","",IFERROR(('Market levels'!AA16/'Market levels'!V16)^(1/5)-1,""))</f>
        <v>0.021261829806934</v>
      </c>
      <c r="N16" s="31" t="n">
        <f aca="false">IF($A16="","",IFERROR(('Market levels'!AG16/'Market levels'!AB16)^(1/5)-1,""))</f>
        <v>-0.0972647889181081</v>
      </c>
      <c r="O16" s="31" t="n">
        <f aca="false">IF($A16="","",IFERROR('Market levels'!AH16/'Market levels'!AG16-1,""))</f>
        <v>-0.0426250933532482</v>
      </c>
      <c r="P16" s="31" t="n">
        <f aca="false">IF($A16="","",IFERROR(('Market levels'!AM16/'Market levels'!AH16)^(1/5)-1,""))</f>
        <v>0.0494301639433219</v>
      </c>
      <c r="Q16" s="29" t="n">
        <v>3.8</v>
      </c>
      <c r="R16" s="33" t="n">
        <v>0.015</v>
      </c>
      <c r="S16" s="33" t="n">
        <v>0.005</v>
      </c>
      <c r="T16" s="33" t="n">
        <v>0.03</v>
      </c>
      <c r="U16" s="33"/>
      <c r="V16" s="33"/>
      <c r="W16" s="17" t="n">
        <v>4</v>
      </c>
      <c r="X16" s="17" t="n">
        <v>3</v>
      </c>
      <c r="Y16" s="17" t="n">
        <v>3</v>
      </c>
      <c r="Z16" s="17" t="n">
        <v>3</v>
      </c>
    </row>
    <row r="17" customFormat="false" ht="15" hidden="false" customHeight="false" outlineLevel="0" collapsed="false">
      <c r="A17" s="14" t="s">
        <v>172</v>
      </c>
      <c r="B17" s="14" t="s">
        <v>207</v>
      </c>
      <c r="C17" s="14" t="s">
        <v>202</v>
      </c>
      <c r="D17" s="14" t="s">
        <v>172</v>
      </c>
      <c r="E17" s="29" t="n">
        <v>130</v>
      </c>
      <c r="F17" s="30" t="n">
        <f aca="false">IF($A17="","",'Market levels'!I17)</f>
        <v>11770.8</v>
      </c>
      <c r="G17" s="31" t="n">
        <f aca="false">IF($A17="","",IFERROR(('Market levels'!I17/'Market levels'!D17)^(1/5)-1,""))</f>
        <v>-0.0137269352433753</v>
      </c>
      <c r="H17" s="31" t="n">
        <f aca="false">IF($A17="","",IFERROR('Market levels'!J17/'Market levels'!I17-1,""))</f>
        <v>0.0243441397356168</v>
      </c>
      <c r="I17" s="31" t="n">
        <f aca="false">IF($A17="","",IFERROR(('Market levels'!O17/'Market levels'!J17)^(1/5)-1,""))</f>
        <v>0.0223445448537853</v>
      </c>
      <c r="J17" s="32" t="n">
        <f aca="false">IF($A17="","",IFERROR('Market levels'!U17/'Market levels'!I17,""))</f>
        <v>0.591599551432358</v>
      </c>
      <c r="K17" s="31" t="n">
        <f aca="false">IF($A17="","",IFERROR(('Market levels'!U17/'Market levels'!P17)^(1/5)-1,""))</f>
        <v>0.0153103604232856</v>
      </c>
      <c r="L17" s="31" t="n">
        <f aca="false">IF($A17="","",IFERROR('Market levels'!V17/'Market levels'!U17-1,""))</f>
        <v>-0.00598253776782132</v>
      </c>
      <c r="M17" s="31" t="n">
        <f aca="false">IF($A17="","",IFERROR(('Market levels'!AA17/'Market levels'!V17)^(1/5)-1,""))</f>
        <v>0.0313870044129079</v>
      </c>
      <c r="N17" s="31" t="n">
        <f aca="false">IF($A17="","",IFERROR(('Market levels'!AG17/'Market levels'!AB17)^(1/5)-1,""))</f>
        <v>-0.0483484732141297</v>
      </c>
      <c r="O17" s="31" t="n">
        <f aca="false">IF($A17="","",IFERROR('Market levels'!AH17/'Market levels'!AG17-1,""))</f>
        <v>0.0682746713263438</v>
      </c>
      <c r="P17" s="31" t="n">
        <f aca="false">IF($A17="","",IFERROR(('Market levels'!AM17/'Market levels'!AH17)^(1/5)-1,""))</f>
        <v>0.00962630833084033</v>
      </c>
      <c r="Q17" s="29" t="n">
        <v>7.2</v>
      </c>
      <c r="R17" s="33" t="n">
        <v>0.02</v>
      </c>
      <c r="S17" s="33" t="n">
        <v>0.01</v>
      </c>
      <c r="T17" s="33" t="n">
        <v>0.035</v>
      </c>
      <c r="U17" s="33"/>
      <c r="V17" s="33"/>
      <c r="W17" s="17" t="n">
        <v>4</v>
      </c>
      <c r="X17" s="17" t="n">
        <v>3</v>
      </c>
      <c r="Y17" s="17" t="n">
        <v>3</v>
      </c>
      <c r="Z17" s="17" t="n">
        <v>3</v>
      </c>
    </row>
    <row r="18" customFormat="false" ht="15" hidden="false" customHeight="false" outlineLevel="0" collapsed="false">
      <c r="A18" s="14" t="s">
        <v>160</v>
      </c>
      <c r="B18" s="14" t="s">
        <v>208</v>
      </c>
      <c r="C18" s="14" t="s">
        <v>201</v>
      </c>
      <c r="D18" s="14" t="s">
        <v>160</v>
      </c>
      <c r="E18" s="29" t="n">
        <v>20</v>
      </c>
      <c r="F18" s="30" t="n">
        <f aca="false">IF($A18="","",'Market levels'!I18)</f>
        <v>1692.48</v>
      </c>
      <c r="G18" s="31" t="n">
        <f aca="false">IF($A18="","",IFERROR(('Market levels'!I18/'Market levels'!D18)^(1/5)-1,""))</f>
        <v>-0.0624297451878662</v>
      </c>
      <c r="H18" s="31" t="n">
        <f aca="false">IF($A18="","",IFERROR('Market levels'!J18/'Market levels'!I18-1,""))</f>
        <v>-0.0297078842881453</v>
      </c>
      <c r="I18" s="31" t="n">
        <f aca="false">IF($A18="","",IFERROR(('Market levels'!O18/'Market levels'!J18)^(1/5)-1,""))</f>
        <v>0.0410537557782591</v>
      </c>
      <c r="J18" s="32" t="n">
        <f aca="false">IF($A18="","",IFERROR('Market levels'!U18/'Market levels'!I18,""))</f>
        <v>0.800228067687654</v>
      </c>
      <c r="K18" s="31" t="n">
        <f aca="false">IF($A18="","",IFERROR(('Market levels'!U18/'Market levels'!P18)^(1/5)-1,""))</f>
        <v>-0.0401624266565354</v>
      </c>
      <c r="L18" s="31" t="n">
        <f aca="false">IF($A18="","",IFERROR('Market levels'!V18/'Market levels'!U18-1,""))</f>
        <v>-0.0163397003772973</v>
      </c>
      <c r="M18" s="31" t="n">
        <f aca="false">IF($A18="","",IFERROR(('Market levels'!AA18/'Market levels'!V18)^(1/5)-1,""))</f>
        <v>0.0379303960728621</v>
      </c>
      <c r="N18" s="31" t="n">
        <f aca="false">IF($A18="","",IFERROR(('Market levels'!AG18/'Market levels'!AB18)^(1/5)-1,""))</f>
        <v>-0.128804316121209</v>
      </c>
      <c r="O18" s="31" t="n">
        <f aca="false">IF($A18="","",IFERROR('Market levels'!AH18/'Market levels'!AG18-1,""))</f>
        <v>-0.0832569282186273</v>
      </c>
      <c r="P18" s="31" t="n">
        <f aca="false">IF($A18="","",IFERROR(('Market levels'!AM18/'Market levels'!AH18)^(1/5)-1,""))</f>
        <v>0.0540684666979081</v>
      </c>
      <c r="Q18" s="29" t="n">
        <v>1.3</v>
      </c>
      <c r="R18" s="33" t="n">
        <v>0.005</v>
      </c>
      <c r="S18" s="33" t="n">
        <v>-0.005</v>
      </c>
      <c r="T18" s="33" t="n">
        <v>0.03</v>
      </c>
      <c r="U18" s="33"/>
      <c r="V18" s="33"/>
      <c r="W18" s="17" t="n">
        <v>4</v>
      </c>
      <c r="X18" s="17" t="n">
        <v>3</v>
      </c>
      <c r="Y18" s="17" t="n">
        <v>3</v>
      </c>
      <c r="Z18" s="17" t="n">
        <v>3</v>
      </c>
    </row>
    <row r="19" customFormat="false" ht="15" hidden="false" customHeight="false" outlineLevel="0" collapsed="false">
      <c r="A19" s="14" t="s">
        <v>160</v>
      </c>
      <c r="B19" s="14" t="s">
        <v>208</v>
      </c>
      <c r="C19" s="14" t="s">
        <v>202</v>
      </c>
      <c r="D19" s="14" t="s">
        <v>160</v>
      </c>
      <c r="E19" s="29" t="n">
        <v>50</v>
      </c>
      <c r="F19" s="30" t="n">
        <f aca="false">IF($A19="","",'Market levels'!I19)</f>
        <v>4695.02</v>
      </c>
      <c r="G19" s="31" t="n">
        <f aca="false">IF($A19="","",IFERROR(('Market levels'!I19/'Market levels'!D19)^(1/5)-1,""))</f>
        <v>-0.062718340864463</v>
      </c>
      <c r="H19" s="31" t="n">
        <f aca="false">IF($A19="","",IFERROR('Market levels'!J19/'Market levels'!I19-1,""))</f>
        <v>-0.00852818518344989</v>
      </c>
      <c r="I19" s="31" t="n">
        <f aca="false">IF($A19="","",IFERROR(('Market levels'!O19/'Market levels'!J19)^(1/5)-1,""))</f>
        <v>0.0330537597407516</v>
      </c>
      <c r="J19" s="32" t="n">
        <f aca="false">IF($A19="","",IFERROR('Market levels'!U19/'Market levels'!I19,""))</f>
        <v>0.625839719532611</v>
      </c>
      <c r="K19" s="31" t="n">
        <f aca="false">IF($A19="","",IFERROR(('Market levels'!U19/'Market levels'!P19)^(1/5)-1,""))</f>
        <v>-0.0193795965026594</v>
      </c>
      <c r="L19" s="31" t="n">
        <f aca="false">IF($A19="","",IFERROR('Market levels'!V19/'Market levels'!U19-1,""))</f>
        <v>0.0296631079558796</v>
      </c>
      <c r="M19" s="31" t="n">
        <f aca="false">IF($A19="","",IFERROR(('Market levels'!AA19/'Market levels'!V19)^(1/5)-1,""))</f>
        <v>0.029650174076602</v>
      </c>
      <c r="N19" s="31" t="n">
        <f aca="false">IF($A19="","",IFERROR(('Market levels'!AG19/'Market levels'!AB19)^(1/5)-1,""))</f>
        <v>-0.115789490686626</v>
      </c>
      <c r="O19" s="31" t="n">
        <f aca="false">IF($A19="","",IFERROR('Market levels'!AH19/'Market levels'!AG19-1,""))</f>
        <v>-0.0724089053845585</v>
      </c>
      <c r="P19" s="31" t="n">
        <f aca="false">IF($A19="","",IFERROR(('Market levels'!AM19/'Market levels'!AH19)^(1/5)-1,""))</f>
        <v>0.0392567847289851</v>
      </c>
      <c r="Q19" s="29" t="n">
        <v>2.5</v>
      </c>
      <c r="R19" s="33" t="n">
        <v>0.01</v>
      </c>
      <c r="S19" s="33" t="n">
        <v>0</v>
      </c>
      <c r="T19" s="33" t="n">
        <v>0.035</v>
      </c>
      <c r="U19" s="33"/>
      <c r="V19" s="33"/>
      <c r="W19" s="17" t="n">
        <v>4</v>
      </c>
      <c r="X19" s="17" t="n">
        <v>3</v>
      </c>
      <c r="Y19" s="17" t="n">
        <v>3</v>
      </c>
      <c r="Z19" s="17" t="n">
        <v>3</v>
      </c>
    </row>
    <row r="20" customFormat="false" ht="15" hidden="false" customHeight="false" outlineLevel="0" collapsed="false">
      <c r="A20" s="14" t="s">
        <v>156</v>
      </c>
      <c r="B20" s="14" t="s">
        <v>209</v>
      </c>
      <c r="C20" s="14" t="s">
        <v>201</v>
      </c>
      <c r="D20" s="14" t="s">
        <v>156</v>
      </c>
      <c r="E20" s="29" t="n">
        <v>135</v>
      </c>
      <c r="F20" s="30" t="n">
        <f aca="false">IF($A20="","",'Market levels'!I20)</f>
        <v>12045.18</v>
      </c>
      <c r="G20" s="31" t="n">
        <f aca="false">IF($A20="","",IFERROR(('Market levels'!I20/'Market levels'!D20)^(1/5)-1,""))</f>
        <v>0.0326397767255737</v>
      </c>
      <c r="H20" s="31" t="n">
        <f aca="false">IF($A20="","",IFERROR('Market levels'!J20/'Market levels'!I20-1,""))</f>
        <v>-0.0530170574453849</v>
      </c>
      <c r="I20" s="31" t="n">
        <f aca="false">IF($A20="","",IFERROR(('Market levels'!O20/'Market levels'!J20)^(1/5)-1,""))</f>
        <v>0.0181504700923969</v>
      </c>
      <c r="J20" s="32" t="n">
        <f aca="false">IF($A20="","",IFERROR('Market levels'!U20/'Market levels'!I20,""))</f>
        <v>0.816850391608926</v>
      </c>
      <c r="K20" s="31" t="n">
        <f aca="false">IF($A20="","",IFERROR(('Market levels'!U20/'Market levels'!P20)^(1/5)-1,""))</f>
        <v>0.0582416845072404</v>
      </c>
      <c r="L20" s="31" t="n">
        <f aca="false">IF($A20="","",IFERROR('Market levels'!V20/'Market levels'!U20-1,""))</f>
        <v>-0.0506153503721374</v>
      </c>
      <c r="M20" s="31" t="n">
        <f aca="false">IF($A20="","",IFERROR(('Market levels'!AA20/'Market levels'!V20)^(1/5)-1,""))</f>
        <v>0.0281623776166671</v>
      </c>
      <c r="N20" s="31" t="n">
        <f aca="false">IF($A20="","",IFERROR(('Market levels'!AG20/'Market levels'!AB20)^(1/5)-1,""))</f>
        <v>-0.0495651228964285</v>
      </c>
      <c r="O20" s="31" t="n">
        <f aca="false">IF($A20="","",IFERROR('Market levels'!AH20/'Market levels'!AG20-1,""))</f>
        <v>-0.0637287121442204</v>
      </c>
      <c r="P20" s="31" t="n">
        <f aca="false">IF($A20="","",IFERROR(('Market levels'!AM20/'Market levels'!AH20)^(1/5)-1,""))</f>
        <v>-0.0328957912463279</v>
      </c>
      <c r="Q20" s="29" t="n">
        <v>10.8</v>
      </c>
      <c r="R20" s="33" t="n">
        <v>0.02</v>
      </c>
      <c r="S20" s="33" t="n">
        <v>0.01</v>
      </c>
      <c r="T20" s="33" t="n">
        <v>0.03</v>
      </c>
      <c r="U20" s="33"/>
      <c r="V20" s="33"/>
      <c r="W20" s="17" t="n">
        <v>4</v>
      </c>
      <c r="X20" s="17" t="n">
        <v>3</v>
      </c>
      <c r="Y20" s="17" t="n">
        <v>3</v>
      </c>
      <c r="Z20" s="17" t="n">
        <v>3</v>
      </c>
    </row>
    <row r="21" customFormat="false" ht="15" hidden="false" customHeight="false" outlineLevel="0" collapsed="false">
      <c r="A21" s="14" t="s">
        <v>156</v>
      </c>
      <c r="B21" s="14" t="s">
        <v>209</v>
      </c>
      <c r="C21" s="14" t="s">
        <v>202</v>
      </c>
      <c r="D21" s="14" t="s">
        <v>156</v>
      </c>
      <c r="E21" s="29" t="n">
        <v>90</v>
      </c>
      <c r="F21" s="30" t="n">
        <f aca="false">IF($A21="","",'Market levels'!I21)</f>
        <v>8042.48</v>
      </c>
      <c r="G21" s="31" t="n">
        <f aca="false">IF($A21="","",IFERROR(('Market levels'!I21/'Market levels'!D21)^(1/5)-1,""))</f>
        <v>0.0354377644926591</v>
      </c>
      <c r="H21" s="31" t="n">
        <f aca="false">IF($A21="","",IFERROR('Market levels'!J21/'Market levels'!I21-1,""))</f>
        <v>-0.0407821965363917</v>
      </c>
      <c r="I21" s="31" t="n">
        <f aca="false">IF($A21="","",IFERROR(('Market levels'!O21/'Market levels'!J21)^(1/5)-1,""))</f>
        <v>0.0215696868689033</v>
      </c>
      <c r="J21" s="32" t="n">
        <f aca="false">IF($A21="","",IFERROR('Market levels'!U21/'Market levels'!I21,""))</f>
        <v>0.450710477365191</v>
      </c>
      <c r="K21" s="31" t="n">
        <f aca="false">IF($A21="","",IFERROR(('Market levels'!U21/'Market levels'!P21)^(1/5)-1,""))</f>
        <v>0.0682346136542571</v>
      </c>
      <c r="L21" s="31" t="n">
        <f aca="false">IF($A21="","",IFERROR('Market levels'!V21/'Market levels'!U21-1,""))</f>
        <v>-0.0350664720828288</v>
      </c>
      <c r="M21" s="31" t="n">
        <f aca="false">IF($A21="","",IFERROR(('Market levels'!AA21/'Market levels'!V21)^(1/5)-1,""))</f>
        <v>0.0287223647508359</v>
      </c>
      <c r="N21" s="31" t="n">
        <f aca="false">IF($A21="","",IFERROR(('Market levels'!AG21/'Market levels'!AB21)^(1/5)-1,""))</f>
        <v>0.012511518316763</v>
      </c>
      <c r="O21" s="31" t="n">
        <f aca="false">IF($A21="","",IFERROR('Market levels'!AH21/'Market levels'!AG21-1,""))</f>
        <v>-0.0454721401650197</v>
      </c>
      <c r="P21" s="31" t="n">
        <f aca="false">IF($A21="","",IFERROR(('Market levels'!AM21/'Market levels'!AH21)^(1/5)-1,""))</f>
        <v>0.015480878882054</v>
      </c>
      <c r="Q21" s="29" t="n">
        <v>5.4</v>
      </c>
      <c r="R21" s="33" t="n">
        <v>0.025</v>
      </c>
      <c r="S21" s="33" t="n">
        <v>0.015</v>
      </c>
      <c r="T21" s="33" t="n">
        <v>0.035</v>
      </c>
      <c r="U21" s="33"/>
      <c r="V21" s="33"/>
      <c r="W21" s="17" t="n">
        <v>4</v>
      </c>
      <c r="X21" s="17" t="n">
        <v>3</v>
      </c>
      <c r="Y21" s="17" t="n">
        <v>3</v>
      </c>
      <c r="Z21" s="17" t="n">
        <v>3</v>
      </c>
    </row>
    <row r="22" customFormat="false" ht="15" hidden="false" customHeight="false" outlineLevel="0" collapsed="false">
      <c r="A22" s="14" t="s">
        <v>154</v>
      </c>
      <c r="B22" s="14" t="s">
        <v>210</v>
      </c>
      <c r="C22" s="14" t="s">
        <v>201</v>
      </c>
      <c r="D22" s="14" t="s">
        <v>154</v>
      </c>
      <c r="E22" s="29" t="n">
        <v>1060</v>
      </c>
      <c r="F22" s="30" t="n">
        <f aca="false">IF($A22="","",'Market levels'!I22)</f>
        <v>96006.35</v>
      </c>
      <c r="G22" s="31" t="n">
        <f aca="false">IF($A22="","",IFERROR(('Market levels'!I22/'Market levels'!D22)^(1/5)-1,""))</f>
        <v>-0.0534251096435302</v>
      </c>
      <c r="H22" s="31" t="n">
        <f aca="false">IF($A22="","",IFERROR('Market levels'!J22/'Market levels'!I22-1,""))</f>
        <v>-0.00566275043265374</v>
      </c>
      <c r="I22" s="31" t="n">
        <f aca="false">IF($A22="","",IFERROR(('Market levels'!O22/'Market levels'!J22)^(1/5)-1,""))</f>
        <v>0.0287276954117597</v>
      </c>
      <c r="J22" s="32" t="n">
        <f aca="false">IF($A22="","",IFERROR('Market levels'!U22/'Market levels'!I22,""))</f>
        <v>0.824697116388656</v>
      </c>
      <c r="K22" s="31" t="n">
        <f aca="false">IF($A22="","",IFERROR(('Market levels'!U22/'Market levels'!P22)^(1/5)-1,""))</f>
        <v>-0.030846031919548</v>
      </c>
      <c r="L22" s="31" t="n">
        <f aca="false">IF($A22="","",IFERROR('Market levels'!V22/'Market levels'!U22-1,""))</f>
        <v>-0.0229630989934343</v>
      </c>
      <c r="M22" s="31" t="n">
        <f aca="false">IF($A22="","",IFERROR(('Market levels'!AA22/'Market levels'!V22)^(1/5)-1,""))</f>
        <v>0.0297289891885875</v>
      </c>
      <c r="N22" s="31" t="n">
        <f aca="false">IF($A22="","",IFERROR(('Market levels'!AG22/'Market levels'!AB22)^(1/5)-1,""))</f>
        <v>-0.129815449999589</v>
      </c>
      <c r="O22" s="31" t="n">
        <f aca="false">IF($A22="","",IFERROR('Market levels'!AH22/'Market levels'!AG22-1,""))</f>
        <v>0.0757252294834458</v>
      </c>
      <c r="P22" s="31" t="n">
        <f aca="false">IF($A22="","",IFERROR(('Market levels'!AM22/'Market levels'!AH22)^(1/5)-1,""))</f>
        <v>0.024404828150171</v>
      </c>
      <c r="Q22" s="29" t="n">
        <v>63.6</v>
      </c>
      <c r="R22" s="33" t="n">
        <v>0.02</v>
      </c>
      <c r="S22" s="33" t="n">
        <v>-0.02</v>
      </c>
      <c r="T22" s="33" t="n">
        <v>0.03</v>
      </c>
      <c r="U22" s="33"/>
      <c r="V22" s="33"/>
      <c r="W22" s="17" t="n">
        <v>3</v>
      </c>
      <c r="X22" s="17" t="n">
        <v>2</v>
      </c>
      <c r="Y22" s="17" t="n">
        <v>3</v>
      </c>
      <c r="Z22" s="17" t="n">
        <v>3</v>
      </c>
    </row>
    <row r="23" customFormat="false" ht="15" hidden="false" customHeight="false" outlineLevel="0" collapsed="false">
      <c r="A23" s="14" t="s">
        <v>154</v>
      </c>
      <c r="B23" s="14" t="s">
        <v>210</v>
      </c>
      <c r="C23" s="14" t="s">
        <v>202</v>
      </c>
      <c r="D23" s="14" t="s">
        <v>154</v>
      </c>
      <c r="E23" s="29" t="n">
        <v>1195</v>
      </c>
      <c r="F23" s="30" t="n">
        <f aca="false">IF($A23="","",'Market levels'!I23)</f>
        <v>108414.85</v>
      </c>
      <c r="G23" s="31" t="n">
        <f aca="false">IF($A23="","",IFERROR(('Market levels'!I23/'Market levels'!D23)^(1/5)-1,""))</f>
        <v>-0.0519121631727134</v>
      </c>
      <c r="H23" s="31" t="n">
        <f aca="false">IF($A23="","",IFERROR('Market levels'!J23/'Market levels'!I23-1,""))</f>
        <v>0.0236626255536028</v>
      </c>
      <c r="I23" s="31" t="n">
        <f aca="false">IF($A23="","",IFERROR(('Market levels'!O23/'Market levels'!J23)^(1/5)-1,""))</f>
        <v>0.0372633789674854</v>
      </c>
      <c r="J23" s="32" t="n">
        <f aca="false">IF($A23="","",IFERROR('Market levels'!U23/'Market levels'!I23,""))</f>
        <v>0.63452931032972</v>
      </c>
      <c r="K23" s="31" t="n">
        <f aca="false">IF($A23="","",IFERROR(('Market levels'!U23/'Market levels'!P23)^(1/5)-1,""))</f>
        <v>-0.0440679867822753</v>
      </c>
      <c r="L23" s="31" t="n">
        <f aca="false">IF($A23="","",IFERROR('Market levels'!V23/'Market levels'!U23-1,""))</f>
        <v>0.0199575825236509</v>
      </c>
      <c r="M23" s="31" t="n">
        <f aca="false">IF($A23="","",IFERROR(('Market levels'!AA23/'Market levels'!V23)^(1/5)-1,""))</f>
        <v>0.041331877077611</v>
      </c>
      <c r="N23" s="31" t="n">
        <f aca="false">IF($A23="","",IFERROR(('Market levels'!AG23/'Market levels'!AB23)^(1/5)-1,""))</f>
        <v>-0.0646681041890747</v>
      </c>
      <c r="O23" s="31" t="n">
        <f aca="false">IF($A23="","",IFERROR('Market levels'!AH23/'Market levels'!AG23-1,""))</f>
        <v>0.030095312127342</v>
      </c>
      <c r="P23" s="31" t="n">
        <f aca="false">IF($A23="","",IFERROR(('Market levels'!AM23/'Market levels'!AH23)^(1/5)-1,""))</f>
        <v>0.0301162820635343</v>
      </c>
      <c r="Q23" s="29" t="n">
        <v>53.8</v>
      </c>
      <c r="R23" s="33" t="n">
        <v>0.025</v>
      </c>
      <c r="S23" s="33" t="n">
        <v>-0.015</v>
      </c>
      <c r="T23" s="33" t="n">
        <v>0.035</v>
      </c>
      <c r="U23" s="33"/>
      <c r="V23" s="33"/>
      <c r="W23" s="17" t="n">
        <v>3</v>
      </c>
      <c r="X23" s="17" t="n">
        <v>2</v>
      </c>
      <c r="Y23" s="17" t="n">
        <v>3</v>
      </c>
      <c r="Z23" s="17" t="n">
        <v>3</v>
      </c>
    </row>
    <row r="24" customFormat="false" ht="15" hidden="false" customHeight="false" outlineLevel="0" collapsed="false">
      <c r="A24" s="14" t="s">
        <v>120</v>
      </c>
      <c r="B24" s="14" t="s">
        <v>211</v>
      </c>
      <c r="C24" s="14" t="s">
        <v>201</v>
      </c>
      <c r="D24" s="14" t="s">
        <v>120</v>
      </c>
      <c r="E24" s="29" t="n">
        <v>85</v>
      </c>
      <c r="F24" s="30" t="n">
        <f aca="false">IF($A24="","",'Market levels'!I24)</f>
        <v>7724.59</v>
      </c>
      <c r="G24" s="31" t="n">
        <f aca="false">IF($A24="","",IFERROR(('Market levels'!I24/'Market levels'!D24)^(1/5)-1,""))</f>
        <v>-0.040347959574352</v>
      </c>
      <c r="H24" s="31" t="n">
        <f aca="false">IF($A24="","",IFERROR('Market levels'!J24/'Market levels'!I24-1,""))</f>
        <v>0.0249825557084584</v>
      </c>
      <c r="I24" s="31" t="n">
        <f aca="false">IF($A24="","",IFERROR(('Market levels'!O24/'Market levels'!J24)^(1/5)-1,""))</f>
        <v>0.0373754977616738</v>
      </c>
      <c r="J24" s="32" t="n">
        <f aca="false">IF($A24="","",IFERROR('Market levels'!U24/'Market levels'!I24,""))</f>
        <v>0.422373226281265</v>
      </c>
      <c r="K24" s="31" t="n">
        <f aca="false">IF($A24="","",IFERROR(('Market levels'!U24/'Market levels'!P24)^(1/5)-1,""))</f>
        <v>-0.0120433774159285</v>
      </c>
      <c r="L24" s="31" t="n">
        <f aca="false">IF($A24="","",IFERROR('Market levels'!V24/'Market levels'!U24-1,""))</f>
        <v>0.00751227526006448</v>
      </c>
      <c r="M24" s="31" t="n">
        <f aca="false">IF($A24="","",IFERROR(('Market levels'!AA24/'Market levels'!V24)^(1/5)-1,""))</f>
        <v>0.0363238899541662</v>
      </c>
      <c r="N24" s="31" t="n">
        <f aca="false">IF($A24="","",IFERROR(('Market levels'!AG24/'Market levels'!AB24)^(1/5)-1,""))</f>
        <v>-0.0582815705090648</v>
      </c>
      <c r="O24" s="31" t="n">
        <f aca="false">IF($A24="","",IFERROR('Market levels'!AH24/'Market levels'!AG24-1,""))</f>
        <v>0.0377572037212595</v>
      </c>
      <c r="P24" s="31" t="n">
        <f aca="false">IF($A24="","",IFERROR(('Market levels'!AM24/'Market levels'!AH24)^(1/5)-1,""))</f>
        <v>0.0381194653775636</v>
      </c>
      <c r="Q24" s="29" t="n">
        <v>6</v>
      </c>
      <c r="R24" s="33" t="n">
        <v>0.02</v>
      </c>
      <c r="S24" s="33" t="n">
        <v>-0.01</v>
      </c>
      <c r="T24" s="33" t="n">
        <v>0.025</v>
      </c>
      <c r="U24" s="33"/>
      <c r="V24" s="33"/>
      <c r="W24" s="17" t="n">
        <v>4</v>
      </c>
      <c r="X24" s="17" t="n">
        <v>3</v>
      </c>
      <c r="Y24" s="17" t="n">
        <v>3</v>
      </c>
      <c r="Z24" s="17" t="n">
        <v>4</v>
      </c>
    </row>
    <row r="25" customFormat="false" ht="15" hidden="false" customHeight="false" outlineLevel="0" collapsed="false">
      <c r="A25" s="14" t="s">
        <v>120</v>
      </c>
      <c r="B25" s="14" t="s">
        <v>211</v>
      </c>
      <c r="C25" s="14" t="s">
        <v>202</v>
      </c>
      <c r="D25" s="14" t="s">
        <v>120</v>
      </c>
      <c r="E25" s="29" t="n">
        <v>240</v>
      </c>
      <c r="F25" s="30" t="n">
        <f aca="false">IF($A25="","",'Market levels'!I25)</f>
        <v>21958.65</v>
      </c>
      <c r="G25" s="31" t="n">
        <f aca="false">IF($A25="","",IFERROR(('Market levels'!I25/'Market levels'!D25)^(1/5)-1,""))</f>
        <v>-0.0499056314974363</v>
      </c>
      <c r="H25" s="31" t="n">
        <f aca="false">IF($A25="","",IFERROR('Market levels'!J25/'Market levels'!I25-1,""))</f>
        <v>0.0319045114339906</v>
      </c>
      <c r="I25" s="31" t="n">
        <f aca="false">IF($A25="","",IFERROR(('Market levels'!O25/'Market levels'!J25)^(1/5)-1,""))</f>
        <v>0.0257312661499052</v>
      </c>
      <c r="J25" s="32" t="n">
        <f aca="false">IF($A25="","",IFERROR('Market levels'!U25/'Market levels'!I25,""))</f>
        <v>0.365886791765432</v>
      </c>
      <c r="K25" s="31" t="n">
        <f aca="false">IF($A25="","",IFERROR(('Market levels'!U25/'Market levels'!P25)^(1/5)-1,""))</f>
        <v>-0.00562353815248129</v>
      </c>
      <c r="L25" s="31" t="n">
        <f aca="false">IF($A25="","",IFERROR('Market levels'!V25/'Market levels'!U25-1,""))</f>
        <v>0.113371535824793</v>
      </c>
      <c r="M25" s="31" t="n">
        <f aca="false">IF($A25="","",IFERROR(('Market levels'!AA25/'Market levels'!V25)^(1/5)-1,""))</f>
        <v>0.0210523171085899</v>
      </c>
      <c r="N25" s="31" t="n">
        <f aca="false">IF($A25="","",IFERROR(('Market levels'!AG25/'Market levels'!AB25)^(1/5)-1,""))</f>
        <v>-0.0707882974039739</v>
      </c>
      <c r="O25" s="31" t="n">
        <f aca="false">IF($A25="","",IFERROR('Market levels'!AH25/'Market levels'!AG25-1,""))</f>
        <v>-0.0151024075229796</v>
      </c>
      <c r="P25" s="31" t="n">
        <f aca="false">IF($A25="","",IFERROR(('Market levels'!AM25/'Market levels'!AH25)^(1/5)-1,""))</f>
        <v>0.0287378216168481</v>
      </c>
      <c r="Q25" s="29" t="n">
        <v>12</v>
      </c>
      <c r="R25" s="33" t="n">
        <v>0.025</v>
      </c>
      <c r="S25" s="33" t="n">
        <v>-0.005</v>
      </c>
      <c r="T25" s="33" t="n">
        <v>0.03</v>
      </c>
      <c r="U25" s="33"/>
      <c r="V25" s="33"/>
      <c r="W25" s="17" t="n">
        <v>4</v>
      </c>
      <c r="X25" s="17" t="n">
        <v>3</v>
      </c>
      <c r="Y25" s="17" t="n">
        <v>3</v>
      </c>
      <c r="Z25" s="17" t="n">
        <v>4</v>
      </c>
    </row>
    <row r="26" customFormat="false" ht="15" hidden="false" customHeight="false" outlineLevel="0" collapsed="false">
      <c r="A26" s="14" t="s">
        <v>150</v>
      </c>
      <c r="B26" s="14" t="s">
        <v>212</v>
      </c>
      <c r="C26" s="14" t="s">
        <v>201</v>
      </c>
      <c r="D26" s="14" t="s">
        <v>150</v>
      </c>
      <c r="E26" s="29" t="n">
        <v>75</v>
      </c>
      <c r="F26" s="30" t="n">
        <f aca="false">IF($A26="","",'Market levels'!I26)</f>
        <v>6790.22</v>
      </c>
      <c r="G26" s="31" t="n">
        <f aca="false">IF($A26="","",IFERROR(('Market levels'!I26/'Market levels'!D26)^(1/5)-1,""))</f>
        <v>0.000294211687557056</v>
      </c>
      <c r="H26" s="31" t="n">
        <f aca="false">IF($A26="","",IFERROR('Market levels'!J26/'Market levels'!I26-1,""))</f>
        <v>-0.00784952475766632</v>
      </c>
      <c r="I26" s="31" t="n">
        <f aca="false">IF($A26="","",IFERROR(('Market levels'!O26/'Market levels'!J26)^(1/5)-1,""))</f>
        <v>0.0143685816568195</v>
      </c>
      <c r="J26" s="32" t="n">
        <f aca="false">IF($A26="","",IFERROR('Market levels'!U26/'Market levels'!I26,""))</f>
        <v>0.433918194108586</v>
      </c>
      <c r="K26" s="31" t="n">
        <f aca="false">IF($A26="","",IFERROR(('Market levels'!U26/'Market levels'!P26)^(1/5)-1,""))</f>
        <v>-0.00549538485364742</v>
      </c>
      <c r="L26" s="31" t="n">
        <f aca="false">IF($A26="","",IFERROR('Market levels'!V26/'Market levels'!U26-1,""))</f>
        <v>0.0266935921802878</v>
      </c>
      <c r="M26" s="31" t="n">
        <f aca="false">IF($A26="","",IFERROR(('Market levels'!AA26/'Market levels'!V26)^(1/5)-1,""))</f>
        <v>0.0362517979469283</v>
      </c>
      <c r="N26" s="31" t="n">
        <f aca="false">IF($A26="","",IFERROR(('Market levels'!AG26/'Market levels'!AB26)^(1/5)-1,""))</f>
        <v>0.00487241319101606</v>
      </c>
      <c r="O26" s="31" t="n">
        <f aca="false">IF($A26="","",IFERROR('Market levels'!AH26/'Market levels'!AG26-1,""))</f>
        <v>-0.0343278301273214</v>
      </c>
      <c r="P26" s="31" t="n">
        <f aca="false">IF($A26="","",IFERROR(('Market levels'!AM26/'Market levels'!AH26)^(1/5)-1,""))</f>
        <v>-0.00497562582892686</v>
      </c>
      <c r="Q26" s="29" t="n">
        <v>9</v>
      </c>
      <c r="R26" s="33" t="n">
        <v>0.025</v>
      </c>
      <c r="S26" s="33" t="n">
        <v>0.015</v>
      </c>
      <c r="T26" s="33" t="n">
        <v>0.02</v>
      </c>
      <c r="U26" s="33"/>
      <c r="V26" s="33"/>
      <c r="W26" s="17" t="n">
        <v>5</v>
      </c>
      <c r="X26" s="17" t="n">
        <v>4</v>
      </c>
      <c r="Y26" s="17" t="n">
        <v>4</v>
      </c>
      <c r="Z26" s="17" t="n">
        <v>4</v>
      </c>
    </row>
    <row r="27" customFormat="false" ht="15" hidden="false" customHeight="false" outlineLevel="0" collapsed="false">
      <c r="A27" s="14" t="s">
        <v>150</v>
      </c>
      <c r="B27" s="14" t="s">
        <v>212</v>
      </c>
      <c r="C27" s="14" t="s">
        <v>202</v>
      </c>
      <c r="D27" s="14" t="s">
        <v>150</v>
      </c>
      <c r="E27" s="29" t="n">
        <v>370</v>
      </c>
      <c r="F27" s="30" t="n">
        <f aca="false">IF($A27="","",'Market levels'!I27)</f>
        <v>33602.22</v>
      </c>
      <c r="G27" s="31" t="n">
        <f aca="false">IF($A27="","",IFERROR(('Market levels'!I27/'Market levels'!D27)^(1/5)-1,""))</f>
        <v>-0.00202959145329351</v>
      </c>
      <c r="H27" s="31" t="n">
        <f aca="false">IF($A27="","",IFERROR('Market levels'!J27/'Market levels'!I27-1,""))</f>
        <v>0.0223934609082377</v>
      </c>
      <c r="I27" s="31" t="n">
        <f aca="false">IF($A27="","",IFERROR(('Market levels'!O27/'Market levels'!J27)^(1/5)-1,""))</f>
        <v>0.0287017530362954</v>
      </c>
      <c r="J27" s="32" t="n">
        <f aca="false">IF($A27="","",IFERROR('Market levels'!U27/'Market levels'!I27,""))</f>
        <v>0.347129743213395</v>
      </c>
      <c r="K27" s="31" t="n">
        <f aca="false">IF($A27="","",IFERROR(('Market levels'!U27/'Market levels'!P27)^(1/5)-1,""))</f>
        <v>0.0136656008008185</v>
      </c>
      <c r="L27" s="31" t="n">
        <f aca="false">IF($A27="","",IFERROR('Market levels'!V27/'Market levels'!U27-1,""))</f>
        <v>-0.0220012636816688</v>
      </c>
      <c r="M27" s="31" t="n">
        <f aca="false">IF($A27="","",IFERROR(('Market levels'!AA27/'Market levels'!V27)^(1/5)-1,""))</f>
        <v>0.00920711679532471</v>
      </c>
      <c r="N27" s="31" t="n">
        <f aca="false">IF($A27="","",IFERROR(('Market levels'!AG27/'Market levels'!AB27)^(1/5)-1,""))</f>
        <v>-0.00980964662788009</v>
      </c>
      <c r="O27" s="31" t="n">
        <f aca="false">IF($A27="","",IFERROR('Market levels'!AH27/'Market levels'!AG27-1,""))</f>
        <v>0.0459980426558799</v>
      </c>
      <c r="P27" s="31" t="n">
        <f aca="false">IF($A27="","",IFERROR(('Market levels'!AM27/'Market levels'!AH27)^(1/5)-1,""))</f>
        <v>0.0378679398493862</v>
      </c>
      <c r="Q27" s="29" t="n">
        <v>37</v>
      </c>
      <c r="R27" s="33" t="n">
        <v>0.03</v>
      </c>
      <c r="S27" s="33" t="n">
        <v>0.02</v>
      </c>
      <c r="T27" s="33" t="n">
        <v>0.025</v>
      </c>
      <c r="U27" s="33"/>
      <c r="V27" s="33"/>
      <c r="W27" s="17" t="n">
        <v>5</v>
      </c>
      <c r="X27" s="17" t="n">
        <v>4</v>
      </c>
      <c r="Y27" s="17" t="n">
        <v>4</v>
      </c>
      <c r="Z27" s="17" t="n">
        <v>4</v>
      </c>
    </row>
    <row r="28" customFormat="false" ht="15" hidden="false" customHeight="false" outlineLevel="0" collapsed="false">
      <c r="A28" s="14" t="s">
        <v>182</v>
      </c>
      <c r="B28" s="14" t="s">
        <v>213</v>
      </c>
      <c r="C28" s="14" t="s">
        <v>201</v>
      </c>
      <c r="D28" s="14" t="s">
        <v>182</v>
      </c>
      <c r="E28" s="29" t="n">
        <v>1005</v>
      </c>
      <c r="F28" s="30" t="n">
        <f aca="false">IF($A28="","",'Market levels'!I28)</f>
        <v>91052.98</v>
      </c>
      <c r="G28" s="31" t="n">
        <f aca="false">IF($A28="","",IFERROR(('Market levels'!I28/'Market levels'!D28)^(1/5)-1,""))</f>
        <v>0.0484928270822107</v>
      </c>
      <c r="H28" s="31" t="n">
        <f aca="false">IF($A28="","",IFERROR('Market levels'!J28/'Market levels'!I28-1,""))</f>
        <v>0.00965295150142276</v>
      </c>
      <c r="I28" s="31" t="n">
        <f aca="false">IF($A28="","",IFERROR(('Market levels'!O28/'Market levels'!J28)^(1/5)-1,""))</f>
        <v>0.0423295425363863</v>
      </c>
      <c r="J28" s="32" t="n">
        <f aca="false">IF($A28="","",IFERROR('Market levels'!U28/'Market levels'!I28,""))</f>
        <v>0.476396818643388</v>
      </c>
      <c r="K28" s="31" t="n">
        <f aca="false">IF($A28="","",IFERROR(('Market levels'!U28/'Market levels'!P28)^(1/5)-1,""))</f>
        <v>0.0780631180286031</v>
      </c>
      <c r="L28" s="31" t="n">
        <f aca="false">IF($A28="","",IFERROR('Market levels'!V28/'Market levels'!U28-1,""))</f>
        <v>-0.0292014150242004</v>
      </c>
      <c r="M28" s="31" t="n">
        <f aca="false">IF($A28="","",IFERROR(('Market levels'!AA28/'Market levels'!V28)^(1/5)-1,""))</f>
        <v>0.03475600059401</v>
      </c>
      <c r="N28" s="31" t="n">
        <f aca="false">IF($A28="","",IFERROR(('Market levels'!AG28/'Market levels'!AB28)^(1/5)-1,""))</f>
        <v>0.0253395688618621</v>
      </c>
      <c r="O28" s="31" t="n">
        <f aca="false">IF($A28="","",IFERROR('Market levels'!AH28/'Market levels'!AG28-1,""))</f>
        <v>0.0450043344996176</v>
      </c>
      <c r="P28" s="31" t="n">
        <f aca="false">IF($A28="","",IFERROR(('Market levels'!AM28/'Market levels'!AH28)^(1/5)-1,""))</f>
        <v>0.0485635979840966</v>
      </c>
      <c r="Q28" s="29" t="n">
        <v>32.2</v>
      </c>
      <c r="R28" s="33" t="n">
        <v>-0.01</v>
      </c>
      <c r="S28" s="33" t="n">
        <v>0.015</v>
      </c>
      <c r="T28" s="33" t="n">
        <v>0.025</v>
      </c>
      <c r="U28" s="33"/>
      <c r="V28" s="33"/>
      <c r="W28" s="17" t="n">
        <v>3</v>
      </c>
      <c r="X28" s="17" t="n">
        <v>2</v>
      </c>
      <c r="Y28" s="17" t="n">
        <v>2</v>
      </c>
      <c r="Z28" s="17" t="n">
        <v>3</v>
      </c>
    </row>
    <row r="29" customFormat="false" ht="15" hidden="false" customHeight="false" outlineLevel="0" collapsed="false">
      <c r="A29" s="14" t="s">
        <v>182</v>
      </c>
      <c r="B29" s="14" t="s">
        <v>213</v>
      </c>
      <c r="C29" s="14" t="s">
        <v>202</v>
      </c>
      <c r="D29" s="14" t="s">
        <v>182</v>
      </c>
      <c r="E29" s="29" t="n">
        <v>760</v>
      </c>
      <c r="F29" s="30" t="n">
        <f aca="false">IF($A29="","",'Market levels'!I29)</f>
        <v>68667.69</v>
      </c>
      <c r="G29" s="31" t="n">
        <f aca="false">IF($A29="","",IFERROR(('Market levels'!I29/'Market levels'!D29)^(1/5)-1,""))</f>
        <v>0.00479005986441861</v>
      </c>
      <c r="H29" s="31" t="n">
        <f aca="false">IF($A29="","",IFERROR('Market levels'!J29/'Market levels'!I29-1,""))</f>
        <v>-0.00535419205160392</v>
      </c>
      <c r="I29" s="31" t="n">
        <f aca="false">IF($A29="","",IFERROR(('Market levels'!O29/'Market levels'!J29)^(1/5)-1,""))</f>
        <v>0.0403468721186624</v>
      </c>
      <c r="J29" s="32" t="n">
        <f aca="false">IF($A29="","",IFERROR('Market levels'!U29/'Market levels'!I29,""))</f>
        <v>0.407700623102364</v>
      </c>
      <c r="K29" s="31" t="n">
        <f aca="false">IF($A29="","",IFERROR(('Market levels'!U29/'Market levels'!P29)^(1/5)-1,""))</f>
        <v>0.0532599551238662</v>
      </c>
      <c r="L29" s="31" t="n">
        <f aca="false">IF($A29="","",IFERROR('Market levels'!V29/'Market levels'!U29-1,""))</f>
        <v>-0.00083047993524743</v>
      </c>
      <c r="M29" s="31" t="n">
        <f aca="false">IF($A29="","",IFERROR(('Market levels'!AA29/'Market levels'!V29)^(1/5)-1,""))</f>
        <v>0.0538909749105168</v>
      </c>
      <c r="N29" s="31" t="n">
        <f aca="false">IF($A29="","",IFERROR(('Market levels'!AG29/'Market levels'!AB29)^(1/5)-1,""))</f>
        <v>-0.0219632883829541</v>
      </c>
      <c r="O29" s="31" t="n">
        <f aca="false">IF($A29="","",IFERROR('Market levels'!AH29/'Market levels'!AG29-1,""))</f>
        <v>-0.00846802319934958</v>
      </c>
      <c r="P29" s="31" t="n">
        <f aca="false">IF($A29="","",IFERROR(('Market levels'!AM29/'Market levels'!AH29)^(1/5)-1,""))</f>
        <v>0.030520471588577</v>
      </c>
      <c r="Q29" s="29" t="n">
        <v>21.3</v>
      </c>
      <c r="R29" s="33" t="n">
        <v>-0.005</v>
      </c>
      <c r="S29" s="33" t="n">
        <v>0.02</v>
      </c>
      <c r="T29" s="33" t="n">
        <v>0.03</v>
      </c>
      <c r="U29" s="33"/>
      <c r="V29" s="33"/>
      <c r="W29" s="17" t="n">
        <v>3</v>
      </c>
      <c r="X29" s="17" t="n">
        <v>2</v>
      </c>
      <c r="Y29" s="17" t="n">
        <v>2</v>
      </c>
      <c r="Z29" s="17" t="n">
        <v>3</v>
      </c>
    </row>
    <row r="30" customFormat="false" ht="15" hidden="false" customHeight="false" outlineLevel="0" collapsed="false">
      <c r="A30" s="14" t="s">
        <v>162</v>
      </c>
      <c r="B30" s="14" t="s">
        <v>214</v>
      </c>
      <c r="C30" s="14" t="s">
        <v>201</v>
      </c>
      <c r="D30" s="14" t="s">
        <v>162</v>
      </c>
      <c r="E30" s="29" t="n">
        <v>525</v>
      </c>
      <c r="F30" s="30" t="n">
        <f aca="false">IF($A30="","",'Market levels'!I30)</f>
        <v>47504.24</v>
      </c>
      <c r="G30" s="31" t="n">
        <f aca="false">IF($A30="","",IFERROR(('Market levels'!I30/'Market levels'!D30)^(1/5)-1,""))</f>
        <v>-0.0154949361668216</v>
      </c>
      <c r="H30" s="31" t="n">
        <f aca="false">IF($A30="","",IFERROR('Market levels'!J30/'Market levels'!I30-1,""))</f>
        <v>0.00409163476775953</v>
      </c>
      <c r="I30" s="31" t="n">
        <f aca="false">IF($A30="","",IFERROR(('Market levels'!O30/'Market levels'!J30)^(1/5)-1,""))</f>
        <v>0.0191750853803925</v>
      </c>
      <c r="J30" s="32" t="n">
        <f aca="false">IF($A30="","",IFERROR('Market levels'!U30/'Market levels'!I30,""))</f>
        <v>0.774944720723876</v>
      </c>
      <c r="K30" s="31" t="n">
        <f aca="false">IF($A30="","",IFERROR(('Market levels'!U30/'Market levels'!P30)^(1/5)-1,""))</f>
        <v>0.0280821798617414</v>
      </c>
      <c r="L30" s="31" t="n">
        <f aca="false">IF($A30="","",IFERROR('Market levels'!V30/'Market levels'!U30-1,""))</f>
        <v>0.0176184277578997</v>
      </c>
      <c r="M30" s="31" t="n">
        <f aca="false">IF($A30="","",IFERROR(('Market levels'!AA30/'Market levels'!V30)^(1/5)-1,""))</f>
        <v>0.0192596423783837</v>
      </c>
      <c r="N30" s="31" t="n">
        <f aca="false">IF($A30="","",IFERROR(('Market levels'!AG30/'Market levels'!AB30)^(1/5)-1,""))</f>
        <v>-0.111514335254401</v>
      </c>
      <c r="O30" s="31" t="n">
        <f aca="false">IF($A30="","",IFERROR('Market levels'!AH30/'Market levels'!AG30-1,""))</f>
        <v>-0.0424858854297232</v>
      </c>
      <c r="P30" s="31" t="n">
        <f aca="false">IF($A30="","",IFERROR(('Market levels'!AM30/'Market levels'!AH30)^(1/5)-1,""))</f>
        <v>0.0188654098880188</v>
      </c>
      <c r="Q30" s="29" t="n">
        <v>94.5</v>
      </c>
      <c r="R30" s="33" t="n">
        <v>0.04</v>
      </c>
      <c r="S30" s="33" t="n">
        <v>0.01</v>
      </c>
      <c r="T30" s="33" t="n">
        <v>0.035</v>
      </c>
      <c r="U30" s="33"/>
      <c r="V30" s="33"/>
      <c r="W30" s="17" t="n">
        <v>4</v>
      </c>
      <c r="X30" s="17" t="n">
        <v>3</v>
      </c>
      <c r="Y30" s="17" t="n">
        <v>4</v>
      </c>
      <c r="Z30" s="17" t="n">
        <v>4</v>
      </c>
    </row>
    <row r="31" customFormat="false" ht="15" hidden="false" customHeight="false" outlineLevel="0" collapsed="false">
      <c r="A31" s="14" t="s">
        <v>162</v>
      </c>
      <c r="B31" s="14" t="s">
        <v>214</v>
      </c>
      <c r="C31" s="14" t="s">
        <v>202</v>
      </c>
      <c r="D31" s="14" t="s">
        <v>162</v>
      </c>
      <c r="E31" s="29" t="n">
        <v>1025</v>
      </c>
      <c r="F31" s="30" t="n">
        <f aca="false">IF($A31="","",'Market levels'!I31)</f>
        <v>92949.87</v>
      </c>
      <c r="G31" s="31" t="n">
        <f aca="false">IF($A31="","",IFERROR(('Market levels'!I31/'Market levels'!D31)^(1/5)-1,""))</f>
        <v>0.00737970337835248</v>
      </c>
      <c r="H31" s="31" t="n">
        <f aca="false">IF($A31="","",IFERROR('Market levels'!J31/'Market levels'!I31-1,""))</f>
        <v>0.0104207784260486</v>
      </c>
      <c r="I31" s="31" t="n">
        <f aca="false">IF($A31="","",IFERROR(('Market levels'!O31/'Market levels'!J31)^(1/5)-1,""))</f>
        <v>0.0121628290255464</v>
      </c>
      <c r="J31" s="32" t="n">
        <f aca="false">IF($A31="","",IFERROR('Market levels'!U31/'Market levels'!I31,""))</f>
        <v>0.634343436951553</v>
      </c>
      <c r="K31" s="31" t="n">
        <f aca="false">IF($A31="","",IFERROR(('Market levels'!U31/'Market levels'!P31)^(1/5)-1,""))</f>
        <v>0.0445764611895643</v>
      </c>
      <c r="L31" s="31" t="n">
        <f aca="false">IF($A31="","",IFERROR('Market levels'!V31/'Market levels'!U31-1,""))</f>
        <v>0.0164129049590125</v>
      </c>
      <c r="M31" s="31" t="n">
        <f aca="false">IF($A31="","",IFERROR(('Market levels'!AA31/'Market levels'!V31)^(1/5)-1,""))</f>
        <v>0.0168941707468939</v>
      </c>
      <c r="N31" s="31" t="n">
        <f aca="false">IF($A31="","",IFERROR(('Market levels'!AG31/'Market levels'!AB31)^(1/5)-1,""))</f>
        <v>-0.0422906958929223</v>
      </c>
      <c r="O31" s="31" t="n">
        <f aca="false">IF($A31="","",IFERROR('Market levels'!AH31/'Market levels'!AG31-1,""))</f>
        <v>2.55974729705954E-005</v>
      </c>
      <c r="P31" s="31" t="n">
        <f aca="false">IF($A31="","",IFERROR(('Market levels'!AM31/'Market levels'!AH31)^(1/5)-1,""))</f>
        <v>0.00359828535973383</v>
      </c>
      <c r="Q31" s="29" t="n">
        <v>143.5</v>
      </c>
      <c r="R31" s="33" t="n">
        <v>0.045</v>
      </c>
      <c r="S31" s="33" t="n">
        <v>0.015</v>
      </c>
      <c r="T31" s="33" t="n">
        <v>0.04</v>
      </c>
      <c r="U31" s="33"/>
      <c r="V31" s="33"/>
      <c r="W31" s="17" t="n">
        <v>4</v>
      </c>
      <c r="X31" s="17" t="n">
        <v>3</v>
      </c>
      <c r="Y31" s="17" t="n">
        <v>4</v>
      </c>
      <c r="Z31" s="17" t="n">
        <v>4</v>
      </c>
    </row>
    <row r="32" customFormat="false" ht="15" hidden="false" customHeight="false" outlineLevel="0" collapsed="false">
      <c r="A32" s="14" t="s">
        <v>168</v>
      </c>
      <c r="B32" s="14" t="s">
        <v>215</v>
      </c>
      <c r="C32" s="14" t="s">
        <v>201</v>
      </c>
      <c r="D32" s="14" t="s">
        <v>168</v>
      </c>
      <c r="E32" s="29" t="n">
        <v>300</v>
      </c>
      <c r="F32" s="30" t="n">
        <f aca="false">IF($A32="","",'Market levels'!I32)</f>
        <v>27391</v>
      </c>
      <c r="G32" s="31" t="n">
        <f aca="false">IF($A32="","",IFERROR(('Market levels'!I32/'Market levels'!D32)^(1/5)-1,""))</f>
        <v>0.105067721311887</v>
      </c>
      <c r="H32" s="31" t="n">
        <f aca="false">IF($A32="","",IFERROR('Market levels'!J32/'Market levels'!I32-1,""))</f>
        <v>-0.0282235040706802</v>
      </c>
      <c r="I32" s="31" t="n">
        <f aca="false">IF($A32="","",IFERROR(('Market levels'!O32/'Market levels'!J32)^(1/5)-1,""))</f>
        <v>-0.0223924451401707</v>
      </c>
      <c r="J32" s="32" t="n">
        <f aca="false">IF($A32="","",IFERROR('Market levels'!U32/'Market levels'!I32,""))</f>
        <v>0.791549048957687</v>
      </c>
      <c r="K32" s="31" t="n">
        <f aca="false">IF($A32="","",IFERROR(('Market levels'!U32/'Market levels'!P32)^(1/5)-1,""))</f>
        <v>0.107577956686453</v>
      </c>
      <c r="L32" s="31" t="n">
        <f aca="false">IF($A32="","",IFERROR('Market levels'!V32/'Market levels'!U32-1,""))</f>
        <v>-0.0414001546031331</v>
      </c>
      <c r="M32" s="31" t="n">
        <f aca="false">IF($A32="","",IFERROR(('Market levels'!AA32/'Market levels'!V32)^(1/5)-1,""))</f>
        <v>-0.0126639827652932</v>
      </c>
      <c r="N32" s="31" t="n">
        <f aca="false">IF($A32="","",IFERROR(('Market levels'!AG32/'Market levels'!AB32)^(1/5)-1,""))</f>
        <v>0.0958361832028132</v>
      </c>
      <c r="O32" s="31" t="n">
        <f aca="false">IF($A32="","",IFERROR('Market levels'!AH32/'Market levels'!AG32-1,""))</f>
        <v>0.0218120805369129</v>
      </c>
      <c r="P32" s="31" t="n">
        <f aca="false">IF($A32="","",IFERROR(('Market levels'!AM32/'Market levels'!AH32)^(1/5)-1,""))</f>
        <v>-0.0606206801980648</v>
      </c>
      <c r="Q32" s="29" t="n">
        <v>33</v>
      </c>
      <c r="R32" s="33" t="n">
        <v>0.03</v>
      </c>
      <c r="S32" s="33" t="n">
        <v>-0.03</v>
      </c>
      <c r="T32" s="33" t="n">
        <v>0.02</v>
      </c>
      <c r="U32" s="33"/>
      <c r="V32" s="33"/>
      <c r="W32" s="17" t="n">
        <v>3</v>
      </c>
      <c r="X32" s="17" t="n">
        <v>3</v>
      </c>
      <c r="Y32" s="17" t="n">
        <v>4</v>
      </c>
      <c r="Z32" s="17" t="n">
        <v>3</v>
      </c>
    </row>
    <row r="33" customFormat="false" ht="15" hidden="false" customHeight="false" outlineLevel="0" collapsed="false">
      <c r="A33" s="14" t="s">
        <v>168</v>
      </c>
      <c r="B33" s="14" t="s">
        <v>215</v>
      </c>
      <c r="C33" s="14" t="s">
        <v>202</v>
      </c>
      <c r="D33" s="14" t="s">
        <v>168</v>
      </c>
      <c r="E33" s="29" t="n">
        <v>1030</v>
      </c>
      <c r="F33" s="30" t="n">
        <f aca="false">IF($A33="","",'Market levels'!I33)</f>
        <v>93406.3</v>
      </c>
      <c r="G33" s="31" t="n">
        <f aca="false">IF($A33="","",IFERROR(('Market levels'!I33/'Market levels'!D33)^(1/5)-1,""))</f>
        <v>0.0957594627731746</v>
      </c>
      <c r="H33" s="31" t="n">
        <f aca="false">IF($A33="","",IFERROR('Market levels'!J33/'Market levels'!I33-1,""))</f>
        <v>0.0017024547594755</v>
      </c>
      <c r="I33" s="31" t="n">
        <f aca="false">IF($A33="","",IFERROR(('Market levels'!O33/'Market levels'!J33)^(1/5)-1,""))</f>
        <v>0.014115777056698</v>
      </c>
      <c r="J33" s="32" t="n">
        <f aca="false">IF($A33="","",IFERROR('Market levels'!U33/'Market levels'!I33,""))</f>
        <v>0.82766365866114</v>
      </c>
      <c r="K33" s="31" t="n">
        <f aca="false">IF($A33="","",IFERROR(('Market levels'!U33/'Market levels'!P33)^(1/5)-1,""))</f>
        <v>0.0974080767571552</v>
      </c>
      <c r="L33" s="31" t="n">
        <f aca="false">IF($A33="","",IFERROR('Market levels'!V33/'Market levels'!U33-1,""))</f>
        <v>-0.0009399940498519</v>
      </c>
      <c r="M33" s="31" t="n">
        <f aca="false">IF($A33="","",IFERROR(('Market levels'!AA33/'Market levels'!V33)^(1/5)-1,""))</f>
        <v>0.0122338287491848</v>
      </c>
      <c r="N33" s="31" t="n">
        <f aca="false">IF($A33="","",IFERROR(('Market levels'!AG33/'Market levels'!AB33)^(1/5)-1,""))</f>
        <v>0.0880431610028938</v>
      </c>
      <c r="O33" s="31" t="n">
        <f aca="false">IF($A33="","",IFERROR('Market levels'!AH33/'Market levels'!AG33-1,""))</f>
        <v>0.0143930969789967</v>
      </c>
      <c r="P33" s="31" t="n">
        <f aca="false">IF($A33="","",IFERROR(('Market levels'!AM33/'Market levels'!AH33)^(1/5)-1,""))</f>
        <v>0.0228332714927464</v>
      </c>
      <c r="Q33" s="29" t="n">
        <v>97.8</v>
      </c>
      <c r="R33" s="33" t="n">
        <v>0.035</v>
      </c>
      <c r="S33" s="33" t="n">
        <v>-0.025</v>
      </c>
      <c r="T33" s="33" t="n">
        <v>0.025</v>
      </c>
      <c r="U33" s="33"/>
      <c r="V33" s="33"/>
      <c r="W33" s="17" t="n">
        <v>3</v>
      </c>
      <c r="X33" s="17" t="n">
        <v>3</v>
      </c>
      <c r="Y33" s="17" t="n">
        <v>4</v>
      </c>
      <c r="Z33" s="17" t="n">
        <v>3</v>
      </c>
    </row>
    <row r="34" customFormat="false" ht="15" hidden="false" customHeight="false" outlineLevel="0" collapsed="false">
      <c r="A34" s="14" t="s">
        <v>148</v>
      </c>
      <c r="B34" s="14" t="s">
        <v>216</v>
      </c>
      <c r="C34" s="14" t="s">
        <v>201</v>
      </c>
      <c r="D34" s="14" t="s">
        <v>148</v>
      </c>
      <c r="E34" s="29" t="n">
        <v>115</v>
      </c>
      <c r="F34" s="30" t="n">
        <f aca="false">IF($A34="","",'Market levels'!I34)</f>
        <v>10603.3</v>
      </c>
      <c r="G34" s="31" t="n">
        <f aca="false">IF($A34="","",IFERROR(('Market levels'!I34/'Market levels'!D34)^(1/5)-1,""))</f>
        <v>0.00562908296750186</v>
      </c>
      <c r="H34" s="31" t="n">
        <f aca="false">IF($A34="","",IFERROR('Market levels'!J34/'Market levels'!I34-1,""))</f>
        <v>-0.0300651683909728</v>
      </c>
      <c r="I34" s="31" t="n">
        <f aca="false">IF($A34="","",IFERROR(('Market levels'!O34/'Market levels'!J34)^(1/5)-1,""))</f>
        <v>0.0228529477061796</v>
      </c>
      <c r="J34" s="32" t="n">
        <f aca="false">IF($A34="","",IFERROR('Market levels'!U34/'Market levels'!I34,""))</f>
        <v>0.734945724444277</v>
      </c>
      <c r="K34" s="31" t="n">
        <f aca="false">IF($A34="","",IFERROR(('Market levels'!U34/'Market levels'!P34)^(1/5)-1,""))</f>
        <v>0.0308497612928871</v>
      </c>
      <c r="L34" s="31" t="n">
        <f aca="false">IF($A34="","",IFERROR('Market levels'!V34/'Market levels'!U34-1,""))</f>
        <v>-0.011184611534933</v>
      </c>
      <c r="M34" s="31" t="n">
        <f aca="false">IF($A34="","",IFERROR(('Market levels'!AA34/'Market levels'!V34)^(1/5)-1,""))</f>
        <v>0.022191660573325</v>
      </c>
      <c r="N34" s="31" t="n">
        <f aca="false">IF($A34="","",IFERROR(('Market levels'!AG34/'Market levels'!AB34)^(1/5)-1,""))</f>
        <v>-0.0491197569657782</v>
      </c>
      <c r="O34" s="31" t="n">
        <f aca="false">IF($A34="","",IFERROR('Market levels'!AH34/'Market levels'!AG34-1,""))</f>
        <v>-0.0824174064651568</v>
      </c>
      <c r="P34" s="31" t="n">
        <f aca="false">IF($A34="","",IFERROR(('Market levels'!AM34/'Market levels'!AH34)^(1/5)-1,""))</f>
        <v>0.0248187944641731</v>
      </c>
      <c r="Q34" s="29" t="n">
        <v>17.2</v>
      </c>
      <c r="R34" s="33" t="n">
        <v>0.03</v>
      </c>
      <c r="S34" s="33" t="n">
        <v>0.02</v>
      </c>
      <c r="T34" s="33" t="n">
        <v>0.035</v>
      </c>
      <c r="U34" s="33"/>
      <c r="V34" s="33"/>
      <c r="W34" s="17" t="n">
        <v>4</v>
      </c>
      <c r="X34" s="17" t="n">
        <v>3</v>
      </c>
      <c r="Y34" s="17" t="n">
        <v>4</v>
      </c>
      <c r="Z34" s="17" t="n">
        <v>4</v>
      </c>
    </row>
    <row r="35" customFormat="false" ht="15" hidden="false" customHeight="false" outlineLevel="0" collapsed="false">
      <c r="A35" s="14" t="s">
        <v>148</v>
      </c>
      <c r="B35" s="14" t="s">
        <v>216</v>
      </c>
      <c r="C35" s="14" t="s">
        <v>202</v>
      </c>
      <c r="D35" s="14" t="s">
        <v>148</v>
      </c>
      <c r="E35" s="29" t="n">
        <v>215</v>
      </c>
      <c r="F35" s="30" t="n">
        <f aca="false">IF($A35="","",'Market levels'!I35)</f>
        <v>19662.69</v>
      </c>
      <c r="G35" s="31" t="n">
        <f aca="false">IF($A35="","",IFERROR(('Market levels'!I35/'Market levels'!D35)^(1/5)-1,""))</f>
        <v>0.0259293584493279</v>
      </c>
      <c r="H35" s="31" t="n">
        <f aca="false">IF($A35="","",IFERROR('Market levels'!J35/'Market levels'!I35-1,""))</f>
        <v>0.0181236646664318</v>
      </c>
      <c r="I35" s="31" t="n">
        <f aca="false">IF($A35="","",IFERROR(('Market levels'!O35/'Market levels'!J35)^(1/5)-1,""))</f>
        <v>0.0306407394366455</v>
      </c>
      <c r="J35" s="32" t="n">
        <f aca="false">IF($A35="","",IFERROR('Market levels'!U35/'Market levels'!I35,""))</f>
        <v>0.586862733430675</v>
      </c>
      <c r="K35" s="31" t="n">
        <f aca="false">IF($A35="","",IFERROR(('Market levels'!U35/'Market levels'!P35)^(1/5)-1,""))</f>
        <v>0.0386848576517109</v>
      </c>
      <c r="L35" s="31" t="n">
        <f aca="false">IF($A35="","",IFERROR('Market levels'!V35/'Market levels'!U35-1,""))</f>
        <v>0.0187125735529885</v>
      </c>
      <c r="M35" s="31" t="n">
        <f aca="false">IF($A35="","",IFERROR(('Market levels'!AA35/'Market levels'!V35)^(1/5)-1,""))</f>
        <v>0.0377712242046187</v>
      </c>
      <c r="N35" s="31" t="n">
        <f aca="false">IF($A35="","",IFERROR(('Market levels'!AG35/'Market levels'!AB35)^(1/5)-1,""))</f>
        <v>0.00930642174728846</v>
      </c>
      <c r="O35" s="31" t="n">
        <f aca="false">IF($A35="","",IFERROR('Market levels'!AH35/'Market levels'!AG35-1,""))</f>
        <v>0.0172871178165765</v>
      </c>
      <c r="P35" s="31" t="n">
        <f aca="false">IF($A35="","",IFERROR(('Market levels'!AM35/'Market levels'!AH35)^(1/5)-1,""))</f>
        <v>0.020144731624145</v>
      </c>
      <c r="Q35" s="29" t="n">
        <v>25.8</v>
      </c>
      <c r="R35" s="33" t="n">
        <v>0.035</v>
      </c>
      <c r="S35" s="33" t="n">
        <v>0.025</v>
      </c>
      <c r="T35" s="33" t="n">
        <v>0.04</v>
      </c>
      <c r="U35" s="33"/>
      <c r="V35" s="33"/>
      <c r="W35" s="17" t="n">
        <v>4</v>
      </c>
      <c r="X35" s="17" t="n">
        <v>3</v>
      </c>
      <c r="Y35" s="17" t="n">
        <v>4</v>
      </c>
      <c r="Z35" s="17" t="n">
        <v>4</v>
      </c>
    </row>
    <row r="36" customFormat="false" ht="15" hidden="false" customHeight="false" outlineLevel="0" collapsed="false">
      <c r="A36" s="14" t="s">
        <v>158</v>
      </c>
      <c r="B36" s="14" t="s">
        <v>217</v>
      </c>
      <c r="C36" s="14" t="s">
        <v>201</v>
      </c>
      <c r="D36" s="14" t="s">
        <v>158</v>
      </c>
      <c r="E36" s="29" t="n">
        <v>215</v>
      </c>
      <c r="F36" s="30" t="n">
        <f aca="false">IF($A36="","",'Market levels'!I36)</f>
        <v>19526.91</v>
      </c>
      <c r="G36" s="31" t="n">
        <f aca="false">IF($A36="","",IFERROR(('Market levels'!I36/'Market levels'!D36)^(1/5)-1,""))</f>
        <v>0.0326404738113613</v>
      </c>
      <c r="H36" s="31" t="n">
        <f aca="false">IF($A36="","",IFERROR('Market levels'!J36/'Market levels'!I36-1,""))</f>
        <v>0.0176740713200401</v>
      </c>
      <c r="I36" s="31" t="n">
        <f aca="false">IF($A36="","",IFERROR(('Market levels'!O36/'Market levels'!J36)^(1/5)-1,""))</f>
        <v>0.02324374871934</v>
      </c>
      <c r="J36" s="32" t="n">
        <f aca="false">IF($A36="","",IFERROR('Market levels'!U36/'Market levels'!I36,""))</f>
        <v>0.370363257678762</v>
      </c>
      <c r="K36" s="31" t="n">
        <f aca="false">IF($A36="","",IFERROR(('Market levels'!U36/'Market levels'!P36)^(1/5)-1,""))</f>
        <v>0.0174934729126028</v>
      </c>
      <c r="L36" s="31" t="n">
        <f aca="false">IF($A36="","",IFERROR('Market levels'!V36/'Market levels'!U36-1,""))</f>
        <v>-0.0301297695674121</v>
      </c>
      <c r="M36" s="31" t="n">
        <f aca="false">IF($A36="","",IFERROR(('Market levels'!AA36/'Market levels'!V36)^(1/5)-1,""))</f>
        <v>0.0295128136891052</v>
      </c>
      <c r="N36" s="31" t="n">
        <f aca="false">IF($A36="","",IFERROR(('Market levels'!AG36/'Market levels'!AB36)^(1/5)-1,""))</f>
        <v>0.0422168609023978</v>
      </c>
      <c r="O36" s="31" t="n">
        <f aca="false">IF($A36="","",IFERROR('Market levels'!AH36/'Market levels'!AG36-1,""))</f>
        <v>0.0457931200517943</v>
      </c>
      <c r="P36" s="31" t="n">
        <f aca="false">IF($A36="","",IFERROR(('Market levels'!AM36/'Market levels'!AH36)^(1/5)-1,""))</f>
        <v>0.0197580582580648</v>
      </c>
      <c r="Q36" s="29" t="n">
        <v>21.1</v>
      </c>
      <c r="R36" s="33" t="n">
        <v>0.075</v>
      </c>
      <c r="S36" s="33" t="n">
        <v>0.06</v>
      </c>
      <c r="T36" s="33" t="n">
        <v>0.08</v>
      </c>
      <c r="U36" s="33"/>
      <c r="V36" s="33"/>
      <c r="W36" s="17" t="n">
        <v>3</v>
      </c>
      <c r="X36" s="17" t="n">
        <v>3</v>
      </c>
      <c r="Y36" s="17" t="n">
        <v>3</v>
      </c>
      <c r="Z36" s="17" t="n">
        <v>4</v>
      </c>
    </row>
    <row r="37" customFormat="false" ht="15" hidden="false" customHeight="false" outlineLevel="0" collapsed="false">
      <c r="A37" s="14" t="s">
        <v>158</v>
      </c>
      <c r="B37" s="14" t="s">
        <v>217</v>
      </c>
      <c r="C37" s="14" t="s">
        <v>202</v>
      </c>
      <c r="D37" s="14" t="s">
        <v>158</v>
      </c>
      <c r="E37" s="29" t="n">
        <v>945</v>
      </c>
      <c r="F37" s="30" t="n">
        <f aca="false">IF($A37="","",'Market levels'!I37)</f>
        <v>85393.01</v>
      </c>
      <c r="G37" s="31" t="n">
        <f aca="false">IF($A37="","",IFERROR(('Market levels'!I37/'Market levels'!D37)^(1/5)-1,""))</f>
        <v>0.0467386273311994</v>
      </c>
      <c r="H37" s="31" t="n">
        <f aca="false">IF($A37="","",IFERROR('Market levels'!J37/'Market levels'!I37-1,""))</f>
        <v>0.0667727955719091</v>
      </c>
      <c r="I37" s="31" t="n">
        <f aca="false">IF($A37="","",IFERROR(('Market levels'!O37/'Market levels'!J37)^(1/5)-1,""))</f>
        <v>0.0365555194596321</v>
      </c>
      <c r="J37" s="32" t="n">
        <f aca="false">IF($A37="","",IFERROR('Market levels'!U37/'Market levels'!I37,""))</f>
        <v>0.358499952162361</v>
      </c>
      <c r="K37" s="31" t="n">
        <f aca="false">IF($A37="","",IFERROR(('Market levels'!U37/'Market levels'!P37)^(1/5)-1,""))</f>
        <v>0.0506196522202851</v>
      </c>
      <c r="L37" s="31" t="n">
        <f aca="false">IF($A37="","",IFERROR('Market levels'!V37/'Market levels'!U37-1,""))</f>
        <v>-0.00126513267560391</v>
      </c>
      <c r="M37" s="31" t="n">
        <f aca="false">IF($A37="","",IFERROR(('Market levels'!AA37/'Market levels'!V37)^(1/5)-1,""))</f>
        <v>0.0406819560795881</v>
      </c>
      <c r="N37" s="31" t="n">
        <f aca="false">IF($A37="","",IFERROR(('Market levels'!AG37/'Market levels'!AB37)^(1/5)-1,""))</f>
        <v>0.0446067368696885</v>
      </c>
      <c r="O37" s="31" t="n">
        <f aca="false">IF($A37="","",IFERROR('Market levels'!AH37/'Market levels'!AG37-1,""))</f>
        <v>0.10479554257587</v>
      </c>
      <c r="P37" s="31" t="n">
        <f aca="false">IF($A37="","",IFERROR(('Market levels'!AM37/'Market levels'!AH37)^(1/5)-1,""))</f>
        <v>0.0344456205032071</v>
      </c>
      <c r="Q37" s="29" t="n">
        <v>70.9</v>
      </c>
      <c r="R37" s="33" t="n">
        <v>0.08</v>
      </c>
      <c r="S37" s="33" t="n">
        <v>0.065</v>
      </c>
      <c r="T37" s="33" t="n">
        <v>0.085</v>
      </c>
      <c r="U37" s="33"/>
      <c r="V37" s="33"/>
      <c r="W37" s="17" t="n">
        <v>3</v>
      </c>
      <c r="X37" s="17" t="n">
        <v>3</v>
      </c>
      <c r="Y37" s="17" t="n">
        <v>3</v>
      </c>
      <c r="Z37" s="17" t="n">
        <v>4</v>
      </c>
    </row>
    <row r="38" customFormat="false" ht="15" hidden="false" customHeight="false" outlineLevel="0" collapsed="false">
      <c r="A38" s="14" t="s">
        <v>176</v>
      </c>
      <c r="B38" s="14" t="s">
        <v>218</v>
      </c>
      <c r="C38" s="14" t="s">
        <v>201</v>
      </c>
      <c r="D38" s="14" t="s">
        <v>176</v>
      </c>
      <c r="E38" s="29" t="n">
        <v>45</v>
      </c>
      <c r="F38" s="30" t="n">
        <f aca="false">IF($A38="","",'Market levels'!I38)</f>
        <v>3971.49</v>
      </c>
      <c r="G38" s="31" t="n">
        <f aca="false">IF($A38="","",IFERROR(('Market levels'!I38/'Market levels'!D38)^(1/5)-1,""))</f>
        <v>0.0302065041126041</v>
      </c>
      <c r="H38" s="31" t="n">
        <f aca="false">IF($A38="","",IFERROR('Market levels'!J38/'Market levels'!I38-1,""))</f>
        <v>0.0422738065562294</v>
      </c>
      <c r="I38" s="31" t="n">
        <f aca="false">IF($A38="","",IFERROR(('Market levels'!O38/'Market levels'!J38)^(1/5)-1,""))</f>
        <v>0.00194248928808927</v>
      </c>
      <c r="J38" s="32" t="n">
        <f aca="false">IF($A38="","",IFERROR('Market levels'!U38/'Market levels'!I38,""))</f>
        <v>0.79572654092041</v>
      </c>
      <c r="K38" s="31" t="n">
        <f aca="false">IF($A38="","",IFERROR(('Market levels'!U38/'Market levels'!P38)^(1/5)-1,""))</f>
        <v>0.0767251779377851</v>
      </c>
      <c r="L38" s="31" t="n">
        <f aca="false">IF($A38="","",IFERROR('Market levels'!V38/'Market levels'!U38-1,""))</f>
        <v>0.0311465657454226</v>
      </c>
      <c r="M38" s="31" t="n">
        <f aca="false">IF($A38="","",IFERROR(('Market levels'!AA38/'Market levels'!V38)^(1/5)-1,""))</f>
        <v>-0.00232400479225148</v>
      </c>
      <c r="N38" s="31" t="n">
        <f aca="false">IF($A38="","",IFERROR(('Market levels'!AG38/'Market levels'!AB38)^(1/5)-1,""))</f>
        <v>-0.0811615626027069</v>
      </c>
      <c r="O38" s="31" t="n">
        <f aca="false">IF($A38="","",IFERROR('Market levels'!AH38/'Market levels'!AG38-1,""))</f>
        <v>0.085618844527716</v>
      </c>
      <c r="P38" s="31" t="n">
        <f aca="false">IF($A38="","",IFERROR(('Market levels'!AM38/'Market levels'!AH38)^(1/5)-1,""))</f>
        <v>0.0171271224812015</v>
      </c>
      <c r="Q38" s="29" t="n">
        <v>3.6</v>
      </c>
      <c r="R38" s="33" t="n">
        <v>0.065</v>
      </c>
      <c r="S38" s="33" t="n">
        <v>0.05</v>
      </c>
      <c r="T38" s="33" t="n">
        <v>0.05</v>
      </c>
      <c r="U38" s="33"/>
      <c r="V38" s="33"/>
      <c r="W38" s="17" t="n">
        <v>3</v>
      </c>
      <c r="X38" s="17" t="n">
        <v>3</v>
      </c>
      <c r="Y38" s="17" t="n">
        <v>3</v>
      </c>
      <c r="Z38" s="17" t="n">
        <v>4</v>
      </c>
    </row>
    <row r="39" customFormat="false" ht="15" hidden="false" customHeight="false" outlineLevel="0" collapsed="false">
      <c r="A39" s="14" t="s">
        <v>176</v>
      </c>
      <c r="B39" s="14" t="s">
        <v>218</v>
      </c>
      <c r="C39" s="14" t="s">
        <v>202</v>
      </c>
      <c r="D39" s="14" t="s">
        <v>176</v>
      </c>
      <c r="E39" s="29" t="n">
        <v>95</v>
      </c>
      <c r="F39" s="30" t="n">
        <f aca="false">IF($A39="","",'Market levels'!I39)</f>
        <v>8433.78</v>
      </c>
      <c r="G39" s="31" t="n">
        <f aca="false">IF($A39="","",IFERROR(('Market levels'!I39/'Market levels'!D39)^(1/5)-1,""))</f>
        <v>0.0374424361121726</v>
      </c>
      <c r="H39" s="31" t="n">
        <f aca="false">IF($A39="","",IFERROR('Market levels'!J39/'Market levels'!I39-1,""))</f>
        <v>0.0845552053764742</v>
      </c>
      <c r="I39" s="31" t="n">
        <f aca="false">IF($A39="","",IFERROR(('Market levels'!O39/'Market levels'!J39)^(1/5)-1,""))</f>
        <v>0.0275274473643183</v>
      </c>
      <c r="J39" s="32" t="n">
        <f aca="false">IF($A39="","",IFERROR('Market levels'!U39/'Market levels'!I39,""))</f>
        <v>0.540378098551302</v>
      </c>
      <c r="K39" s="31" t="n">
        <f aca="false">IF($A39="","",IFERROR(('Market levels'!U39/'Market levels'!P39)^(1/5)-1,""))</f>
        <v>0.0161817401524029</v>
      </c>
      <c r="L39" s="31" t="n">
        <f aca="false">IF($A39="","",IFERROR('Market levels'!V39/'Market levels'!U39-1,""))</f>
        <v>0.0875866442271192</v>
      </c>
      <c r="M39" s="31" t="n">
        <f aca="false">IF($A39="","",IFERROR(('Market levels'!AA39/'Market levels'!V39)^(1/5)-1,""))</f>
        <v>0.0311504606403505</v>
      </c>
      <c r="N39" s="31" t="n">
        <f aca="false">IF($A39="","",IFERROR(('Market levels'!AG39/'Market levels'!AB39)^(1/5)-1,""))</f>
        <v>0.0663143162899706</v>
      </c>
      <c r="O39" s="31" t="n">
        <f aca="false">IF($A39="","",IFERROR('Market levels'!AH39/'Market levels'!AG39-1,""))</f>
        <v>0.0809911385710784</v>
      </c>
      <c r="P39" s="31" t="n">
        <f aca="false">IF($A39="","",IFERROR(('Market levels'!AM39/'Market levels'!AH39)^(1/5)-1,""))</f>
        <v>0.0231748286927724</v>
      </c>
      <c r="Q39" s="29" t="n">
        <v>5.7</v>
      </c>
      <c r="R39" s="33" t="n">
        <v>0.07</v>
      </c>
      <c r="S39" s="33" t="n">
        <v>0.055</v>
      </c>
      <c r="T39" s="33" t="n">
        <v>0.055</v>
      </c>
      <c r="U39" s="33"/>
      <c r="V39" s="33"/>
      <c r="W39" s="17" t="n">
        <v>3</v>
      </c>
      <c r="X39" s="17" t="n">
        <v>3</v>
      </c>
      <c r="Y39" s="17" t="n">
        <v>3</v>
      </c>
      <c r="Z39" s="17" t="n">
        <v>4</v>
      </c>
    </row>
    <row r="40" customFormat="false" ht="15" hidden="false" customHeight="false" outlineLevel="0" collapsed="false">
      <c r="A40" s="14"/>
      <c r="B40" s="14"/>
      <c r="C40" s="14"/>
      <c r="D40" s="14"/>
      <c r="E40" s="29"/>
      <c r="F40" s="30" t="str">
        <f aca="false">IF($A40="","",'Market levels'!I40)</f>
        <v/>
      </c>
      <c r="G40" s="31" t="str">
        <f aca="false">IF($A40="","",IFERROR(('Market levels'!I40/'Market levels'!D40)^(1/5)-1,""))</f>
        <v/>
      </c>
      <c r="H40" s="31" t="str">
        <f aca="false">IF($A40="","",IFERROR('Market levels'!J40/'Market levels'!I40-1,""))</f>
        <v/>
      </c>
      <c r="I40" s="31" t="str">
        <f aca="false">IF($A40="","",IFERROR(('Market levels'!O40/'Market levels'!J40)^(1/5)-1,""))</f>
        <v/>
      </c>
      <c r="J40" s="32" t="str">
        <f aca="false">IF($A40="","",IFERROR('Market levels'!U40/'Market levels'!I40,""))</f>
        <v/>
      </c>
      <c r="K40" s="31" t="str">
        <f aca="false">IF($A40="","",IFERROR(('Market levels'!U40/'Market levels'!P40)^(1/5)-1,""))</f>
        <v/>
      </c>
      <c r="L40" s="31" t="str">
        <f aca="false">IF($A40="","",IFERROR('Market levels'!V40/'Market levels'!U40-1,""))</f>
        <v/>
      </c>
      <c r="M40" s="31" t="str">
        <f aca="false">IF($A40="","",IFERROR(('Market levels'!AA40/'Market levels'!V40)^(1/5)-1,""))</f>
        <v/>
      </c>
      <c r="N40" s="31" t="str">
        <f aca="false">IF($A40="","",IFERROR(('Market levels'!AG40/'Market levels'!AB40)^(1/5)-1,""))</f>
        <v/>
      </c>
      <c r="O40" s="31" t="str">
        <f aca="false">IF($A40="","",IFERROR('Market levels'!AH40/'Market levels'!AG40-1,""))</f>
        <v/>
      </c>
      <c r="P40" s="31" t="str">
        <f aca="false">IF($A40="","",IFERROR(('Market levels'!AM40/'Market levels'!AH40)^(1/5)-1,""))</f>
        <v/>
      </c>
      <c r="Q40" s="29"/>
      <c r="R40" s="33"/>
      <c r="S40" s="33"/>
      <c r="T40" s="33"/>
      <c r="U40" s="33"/>
      <c r="V40" s="33"/>
      <c r="W40" s="17"/>
      <c r="X40" s="17"/>
      <c r="Y40" s="17"/>
      <c r="Z40" s="17"/>
    </row>
    <row r="41" customFormat="false" ht="15" hidden="false" customHeight="false" outlineLevel="0" collapsed="false">
      <c r="A41" s="14"/>
      <c r="B41" s="14"/>
      <c r="C41" s="14"/>
      <c r="D41" s="14"/>
      <c r="E41" s="29"/>
      <c r="F41" s="30" t="str">
        <f aca="false">IF($A41="","",'Market levels'!I41)</f>
        <v/>
      </c>
      <c r="G41" s="31" t="str">
        <f aca="false">IF($A41="","",IFERROR(('Market levels'!I41/'Market levels'!D41)^(1/5)-1,""))</f>
        <v/>
      </c>
      <c r="H41" s="31" t="str">
        <f aca="false">IF($A41="","",IFERROR('Market levels'!J41/'Market levels'!I41-1,""))</f>
        <v/>
      </c>
      <c r="I41" s="31" t="str">
        <f aca="false">IF($A41="","",IFERROR(('Market levels'!O41/'Market levels'!J41)^(1/5)-1,""))</f>
        <v/>
      </c>
      <c r="J41" s="32" t="str">
        <f aca="false">IF($A41="","",IFERROR('Market levels'!U41/'Market levels'!I41,""))</f>
        <v/>
      </c>
      <c r="K41" s="31" t="str">
        <f aca="false">IF($A41="","",IFERROR(('Market levels'!U41/'Market levels'!P41)^(1/5)-1,""))</f>
        <v/>
      </c>
      <c r="L41" s="31" t="str">
        <f aca="false">IF($A41="","",IFERROR('Market levels'!V41/'Market levels'!U41-1,""))</f>
        <v/>
      </c>
      <c r="M41" s="31" t="str">
        <f aca="false">IF($A41="","",IFERROR(('Market levels'!AA41/'Market levels'!V41)^(1/5)-1,""))</f>
        <v/>
      </c>
      <c r="N41" s="31" t="str">
        <f aca="false">IF($A41="","",IFERROR(('Market levels'!AG41/'Market levels'!AB41)^(1/5)-1,""))</f>
        <v/>
      </c>
      <c r="O41" s="31" t="str">
        <f aca="false">IF($A41="","",IFERROR('Market levels'!AH41/'Market levels'!AG41-1,""))</f>
        <v/>
      </c>
      <c r="P41" s="31" t="str">
        <f aca="false">IF($A41="","",IFERROR(('Market levels'!AM41/'Market levels'!AH41)^(1/5)-1,""))</f>
        <v/>
      </c>
      <c r="Q41" s="29"/>
      <c r="R41" s="33"/>
      <c r="S41" s="33"/>
      <c r="T41" s="33"/>
      <c r="U41" s="33"/>
      <c r="V41" s="33"/>
      <c r="W41" s="17"/>
      <c r="X41" s="17"/>
      <c r="Y41" s="17"/>
      <c r="Z41" s="17"/>
    </row>
    <row r="42" customFormat="false" ht="15" hidden="false" customHeight="false" outlineLevel="0" collapsed="false">
      <c r="A42" s="14"/>
      <c r="B42" s="14"/>
      <c r="C42" s="14"/>
      <c r="D42" s="14"/>
      <c r="E42" s="29"/>
      <c r="F42" s="30" t="str">
        <f aca="false">IF($A42="","",'Market levels'!I42)</f>
        <v/>
      </c>
      <c r="G42" s="31" t="str">
        <f aca="false">IF($A42="","",IFERROR(('Market levels'!I42/'Market levels'!D42)^(1/5)-1,""))</f>
        <v/>
      </c>
      <c r="H42" s="31" t="str">
        <f aca="false">IF($A42="","",IFERROR('Market levels'!J42/'Market levels'!I42-1,""))</f>
        <v/>
      </c>
      <c r="I42" s="31" t="str">
        <f aca="false">IF($A42="","",IFERROR(('Market levels'!O42/'Market levels'!J42)^(1/5)-1,""))</f>
        <v/>
      </c>
      <c r="J42" s="32" t="str">
        <f aca="false">IF($A42="","",IFERROR('Market levels'!U42/'Market levels'!I42,""))</f>
        <v/>
      </c>
      <c r="K42" s="31" t="str">
        <f aca="false">IF($A42="","",IFERROR(('Market levels'!U42/'Market levels'!P42)^(1/5)-1,""))</f>
        <v/>
      </c>
      <c r="L42" s="31" t="str">
        <f aca="false">IF($A42="","",IFERROR('Market levels'!V42/'Market levels'!U42-1,""))</f>
        <v/>
      </c>
      <c r="M42" s="31" t="str">
        <f aca="false">IF($A42="","",IFERROR(('Market levels'!AA42/'Market levels'!V42)^(1/5)-1,""))</f>
        <v/>
      </c>
      <c r="N42" s="31" t="str">
        <f aca="false">IF($A42="","",IFERROR(('Market levels'!AG42/'Market levels'!AB42)^(1/5)-1,""))</f>
        <v/>
      </c>
      <c r="O42" s="31" t="str">
        <f aca="false">IF($A42="","",IFERROR('Market levels'!AH42/'Market levels'!AG42-1,""))</f>
        <v/>
      </c>
      <c r="P42" s="31" t="str">
        <f aca="false">IF($A42="","",IFERROR(('Market levels'!AM42/'Market levels'!AH42)^(1/5)-1,""))</f>
        <v/>
      </c>
      <c r="Q42" s="29"/>
      <c r="R42" s="33"/>
      <c r="S42" s="33"/>
      <c r="T42" s="33"/>
      <c r="U42" s="33"/>
      <c r="V42" s="33"/>
      <c r="W42" s="17"/>
      <c r="X42" s="17"/>
      <c r="Y42" s="17"/>
      <c r="Z42" s="17"/>
    </row>
    <row r="43" customFormat="false" ht="15" hidden="false" customHeight="false" outlineLevel="0" collapsed="false">
      <c r="A43" s="14"/>
      <c r="B43" s="14"/>
      <c r="C43" s="14"/>
      <c r="D43" s="14"/>
      <c r="E43" s="29"/>
      <c r="F43" s="30" t="str">
        <f aca="false">IF($A43="","",'Market levels'!I43)</f>
        <v/>
      </c>
      <c r="G43" s="31" t="str">
        <f aca="false">IF($A43="","",IFERROR(('Market levels'!I43/'Market levels'!D43)^(1/5)-1,""))</f>
        <v/>
      </c>
      <c r="H43" s="31" t="str">
        <f aca="false">IF($A43="","",IFERROR('Market levels'!J43/'Market levels'!I43-1,""))</f>
        <v/>
      </c>
      <c r="I43" s="31" t="str">
        <f aca="false">IF($A43="","",IFERROR(('Market levels'!O43/'Market levels'!J43)^(1/5)-1,""))</f>
        <v/>
      </c>
      <c r="J43" s="32" t="str">
        <f aca="false">IF($A43="","",IFERROR('Market levels'!U43/'Market levels'!I43,""))</f>
        <v/>
      </c>
      <c r="K43" s="31" t="str">
        <f aca="false">IF($A43="","",IFERROR(('Market levels'!U43/'Market levels'!P43)^(1/5)-1,""))</f>
        <v/>
      </c>
      <c r="L43" s="31" t="str">
        <f aca="false">IF($A43="","",IFERROR('Market levels'!V43/'Market levels'!U43-1,""))</f>
        <v/>
      </c>
      <c r="M43" s="31" t="str">
        <f aca="false">IF($A43="","",IFERROR(('Market levels'!AA43/'Market levels'!V43)^(1/5)-1,""))</f>
        <v/>
      </c>
      <c r="N43" s="31" t="str">
        <f aca="false">IF($A43="","",IFERROR(('Market levels'!AG43/'Market levels'!AB43)^(1/5)-1,""))</f>
        <v/>
      </c>
      <c r="O43" s="31" t="str">
        <f aca="false">IF($A43="","",IFERROR('Market levels'!AH43/'Market levels'!AG43-1,""))</f>
        <v/>
      </c>
      <c r="P43" s="31" t="str">
        <f aca="false">IF($A43="","",IFERROR(('Market levels'!AM43/'Market levels'!AH43)^(1/5)-1,""))</f>
        <v/>
      </c>
      <c r="Q43" s="29"/>
      <c r="R43" s="33"/>
      <c r="S43" s="33"/>
      <c r="T43" s="33"/>
      <c r="U43" s="33"/>
      <c r="V43" s="33"/>
      <c r="W43" s="17"/>
      <c r="X43" s="17"/>
      <c r="Y43" s="17"/>
      <c r="Z43" s="17"/>
    </row>
    <row r="44" customFormat="false" ht="15" hidden="false" customHeight="false" outlineLevel="0" collapsed="false">
      <c r="A44" s="14"/>
      <c r="B44" s="14"/>
      <c r="C44" s="14"/>
      <c r="D44" s="14"/>
      <c r="E44" s="29"/>
      <c r="F44" s="30" t="str">
        <f aca="false">IF($A44="","",'Market levels'!I44)</f>
        <v/>
      </c>
      <c r="G44" s="31" t="str">
        <f aca="false">IF($A44="","",IFERROR(('Market levels'!I44/'Market levels'!D44)^(1/5)-1,""))</f>
        <v/>
      </c>
      <c r="H44" s="31" t="str">
        <f aca="false">IF($A44="","",IFERROR('Market levels'!J44/'Market levels'!I44-1,""))</f>
        <v/>
      </c>
      <c r="I44" s="31" t="str">
        <f aca="false">IF($A44="","",IFERROR(('Market levels'!O44/'Market levels'!J44)^(1/5)-1,""))</f>
        <v/>
      </c>
      <c r="J44" s="32" t="str">
        <f aca="false">IF($A44="","",IFERROR('Market levels'!U44/'Market levels'!I44,""))</f>
        <v/>
      </c>
      <c r="K44" s="31" t="str">
        <f aca="false">IF($A44="","",IFERROR(('Market levels'!U44/'Market levels'!P44)^(1/5)-1,""))</f>
        <v/>
      </c>
      <c r="L44" s="31" t="str">
        <f aca="false">IF($A44="","",IFERROR('Market levels'!V44/'Market levels'!U44-1,""))</f>
        <v/>
      </c>
      <c r="M44" s="31" t="str">
        <f aca="false">IF($A44="","",IFERROR(('Market levels'!AA44/'Market levels'!V44)^(1/5)-1,""))</f>
        <v/>
      </c>
      <c r="N44" s="31" t="str">
        <f aca="false">IF($A44="","",IFERROR(('Market levels'!AG44/'Market levels'!AB44)^(1/5)-1,""))</f>
        <v/>
      </c>
      <c r="O44" s="31" t="str">
        <f aca="false">IF($A44="","",IFERROR('Market levels'!AH44/'Market levels'!AG44-1,""))</f>
        <v/>
      </c>
      <c r="P44" s="31" t="str">
        <f aca="false">IF($A44="","",IFERROR(('Market levels'!AM44/'Market levels'!AH44)^(1/5)-1,""))</f>
        <v/>
      </c>
      <c r="Q44" s="29"/>
      <c r="R44" s="33"/>
      <c r="S44" s="33"/>
      <c r="T44" s="33"/>
      <c r="U44" s="33"/>
      <c r="V44" s="33"/>
      <c r="W44" s="17"/>
      <c r="X44" s="17"/>
      <c r="Y44" s="17"/>
      <c r="Z44" s="17"/>
    </row>
    <row r="45" customFormat="false" ht="15" hidden="false" customHeight="false" outlineLevel="0" collapsed="false">
      <c r="A45" s="14"/>
      <c r="B45" s="14"/>
      <c r="C45" s="14"/>
      <c r="D45" s="14"/>
      <c r="E45" s="29"/>
      <c r="F45" s="30" t="str">
        <f aca="false">IF($A45="","",'Market levels'!I45)</f>
        <v/>
      </c>
      <c r="G45" s="31" t="str">
        <f aca="false">IF($A45="","",IFERROR(('Market levels'!I45/'Market levels'!D45)^(1/5)-1,""))</f>
        <v/>
      </c>
      <c r="H45" s="31" t="str">
        <f aca="false">IF($A45="","",IFERROR('Market levels'!J45/'Market levels'!I45-1,""))</f>
        <v/>
      </c>
      <c r="I45" s="31" t="str">
        <f aca="false">IF($A45="","",IFERROR(('Market levels'!O45/'Market levels'!J45)^(1/5)-1,""))</f>
        <v/>
      </c>
      <c r="J45" s="32" t="str">
        <f aca="false">IF($A45="","",IFERROR('Market levels'!U45/'Market levels'!I45,""))</f>
        <v/>
      </c>
      <c r="K45" s="31" t="str">
        <f aca="false">IF($A45="","",IFERROR(('Market levels'!U45/'Market levels'!P45)^(1/5)-1,""))</f>
        <v/>
      </c>
      <c r="L45" s="31" t="str">
        <f aca="false">IF($A45="","",IFERROR('Market levels'!V45/'Market levels'!U45-1,""))</f>
        <v/>
      </c>
      <c r="M45" s="31" t="str">
        <f aca="false">IF($A45="","",IFERROR(('Market levels'!AA45/'Market levels'!V45)^(1/5)-1,""))</f>
        <v/>
      </c>
      <c r="N45" s="31" t="str">
        <f aca="false">IF($A45="","",IFERROR(('Market levels'!AG45/'Market levels'!AB45)^(1/5)-1,""))</f>
        <v/>
      </c>
      <c r="O45" s="31" t="str">
        <f aca="false">IF($A45="","",IFERROR('Market levels'!AH45/'Market levels'!AG45-1,""))</f>
        <v/>
      </c>
      <c r="P45" s="31" t="str">
        <f aca="false">IF($A45="","",IFERROR(('Market levels'!AM45/'Market levels'!AH45)^(1/5)-1,""))</f>
        <v/>
      </c>
      <c r="Q45" s="29"/>
      <c r="R45" s="33"/>
      <c r="S45" s="33"/>
      <c r="T45" s="33"/>
      <c r="U45" s="33"/>
      <c r="V45" s="33"/>
      <c r="W45" s="17"/>
      <c r="X45" s="17"/>
      <c r="Y45" s="17"/>
      <c r="Z45" s="17"/>
    </row>
    <row r="46" customFormat="false" ht="15" hidden="false" customHeight="false" outlineLevel="0" collapsed="false">
      <c r="A46" s="14"/>
      <c r="B46" s="14"/>
      <c r="C46" s="14"/>
      <c r="D46" s="14"/>
      <c r="E46" s="29"/>
      <c r="F46" s="30" t="str">
        <f aca="false">IF($A46="","",'Market levels'!I46)</f>
        <v/>
      </c>
      <c r="G46" s="31" t="str">
        <f aca="false">IF($A46="","",IFERROR(('Market levels'!I46/'Market levels'!D46)^(1/5)-1,""))</f>
        <v/>
      </c>
      <c r="H46" s="31" t="str">
        <f aca="false">IF($A46="","",IFERROR('Market levels'!J46/'Market levels'!I46-1,""))</f>
        <v/>
      </c>
      <c r="I46" s="31" t="str">
        <f aca="false">IF($A46="","",IFERROR(('Market levels'!O46/'Market levels'!J46)^(1/5)-1,""))</f>
        <v/>
      </c>
      <c r="J46" s="32" t="str">
        <f aca="false">IF($A46="","",IFERROR('Market levels'!U46/'Market levels'!I46,""))</f>
        <v/>
      </c>
      <c r="K46" s="31" t="str">
        <f aca="false">IF($A46="","",IFERROR(('Market levels'!U46/'Market levels'!P46)^(1/5)-1,""))</f>
        <v/>
      </c>
      <c r="L46" s="31" t="str">
        <f aca="false">IF($A46="","",IFERROR('Market levels'!V46/'Market levels'!U46-1,""))</f>
        <v/>
      </c>
      <c r="M46" s="31" t="str">
        <f aca="false">IF($A46="","",IFERROR(('Market levels'!AA46/'Market levels'!V46)^(1/5)-1,""))</f>
        <v/>
      </c>
      <c r="N46" s="31" t="str">
        <f aca="false">IF($A46="","",IFERROR(('Market levels'!AG46/'Market levels'!AB46)^(1/5)-1,""))</f>
        <v/>
      </c>
      <c r="O46" s="31" t="str">
        <f aca="false">IF($A46="","",IFERROR('Market levels'!AH46/'Market levels'!AG46-1,""))</f>
        <v/>
      </c>
      <c r="P46" s="31" t="str">
        <f aca="false">IF($A46="","",IFERROR(('Market levels'!AM46/'Market levels'!AH46)^(1/5)-1,""))</f>
        <v/>
      </c>
      <c r="Q46" s="29"/>
      <c r="R46" s="33"/>
      <c r="S46" s="33"/>
      <c r="T46" s="33"/>
      <c r="U46" s="33"/>
      <c r="V46" s="33"/>
      <c r="W46" s="17"/>
      <c r="X46" s="17"/>
      <c r="Y46" s="17"/>
      <c r="Z46" s="17"/>
    </row>
    <row r="47" customFormat="false" ht="15" hidden="false" customHeight="false" outlineLevel="0" collapsed="false">
      <c r="A47" s="14"/>
      <c r="B47" s="14"/>
      <c r="C47" s="14"/>
      <c r="D47" s="14"/>
      <c r="E47" s="29"/>
      <c r="F47" s="30" t="str">
        <f aca="false">IF($A47="","",'Market levels'!I47)</f>
        <v/>
      </c>
      <c r="G47" s="31" t="str">
        <f aca="false">IF($A47="","",IFERROR(('Market levels'!I47/'Market levels'!D47)^(1/5)-1,""))</f>
        <v/>
      </c>
      <c r="H47" s="31" t="str">
        <f aca="false">IF($A47="","",IFERROR('Market levels'!J47/'Market levels'!I47-1,""))</f>
        <v/>
      </c>
      <c r="I47" s="31" t="str">
        <f aca="false">IF($A47="","",IFERROR(('Market levels'!O47/'Market levels'!J47)^(1/5)-1,""))</f>
        <v/>
      </c>
      <c r="J47" s="32" t="str">
        <f aca="false">IF($A47="","",IFERROR('Market levels'!U47/'Market levels'!I47,""))</f>
        <v/>
      </c>
      <c r="K47" s="31" t="str">
        <f aca="false">IF($A47="","",IFERROR(('Market levels'!U47/'Market levels'!P47)^(1/5)-1,""))</f>
        <v/>
      </c>
      <c r="L47" s="31" t="str">
        <f aca="false">IF($A47="","",IFERROR('Market levels'!V47/'Market levels'!U47-1,""))</f>
        <v/>
      </c>
      <c r="M47" s="31" t="str">
        <f aca="false">IF($A47="","",IFERROR(('Market levels'!AA47/'Market levels'!V47)^(1/5)-1,""))</f>
        <v/>
      </c>
      <c r="N47" s="31" t="str">
        <f aca="false">IF($A47="","",IFERROR(('Market levels'!AG47/'Market levels'!AB47)^(1/5)-1,""))</f>
        <v/>
      </c>
      <c r="O47" s="31" t="str">
        <f aca="false">IF($A47="","",IFERROR('Market levels'!AH47/'Market levels'!AG47-1,""))</f>
        <v/>
      </c>
      <c r="P47" s="31" t="str">
        <f aca="false">IF($A47="","",IFERROR(('Market levels'!AM47/'Market levels'!AH47)^(1/5)-1,""))</f>
        <v/>
      </c>
      <c r="Q47" s="29"/>
      <c r="R47" s="33"/>
      <c r="S47" s="33"/>
      <c r="T47" s="33"/>
      <c r="U47" s="33"/>
      <c r="V47" s="33"/>
      <c r="W47" s="17"/>
      <c r="X47" s="17"/>
      <c r="Y47" s="17"/>
      <c r="Z47" s="17"/>
    </row>
    <row r="48" customFormat="false" ht="15" hidden="false" customHeight="false" outlineLevel="0" collapsed="false">
      <c r="A48" s="14"/>
      <c r="B48" s="14"/>
      <c r="C48" s="14"/>
      <c r="D48" s="14"/>
      <c r="E48" s="29"/>
      <c r="F48" s="30" t="str">
        <f aca="false">IF($A48="","",'Market levels'!I48)</f>
        <v/>
      </c>
      <c r="G48" s="31" t="str">
        <f aca="false">IF($A48="","",IFERROR(('Market levels'!I48/'Market levels'!D48)^(1/5)-1,""))</f>
        <v/>
      </c>
      <c r="H48" s="31" t="str">
        <f aca="false">IF($A48="","",IFERROR('Market levels'!J48/'Market levels'!I48-1,""))</f>
        <v/>
      </c>
      <c r="I48" s="31" t="str">
        <f aca="false">IF($A48="","",IFERROR(('Market levels'!O48/'Market levels'!J48)^(1/5)-1,""))</f>
        <v/>
      </c>
      <c r="J48" s="32" t="str">
        <f aca="false">IF($A48="","",IFERROR('Market levels'!U48/'Market levels'!I48,""))</f>
        <v/>
      </c>
      <c r="K48" s="31" t="str">
        <f aca="false">IF($A48="","",IFERROR(('Market levels'!U48/'Market levels'!P48)^(1/5)-1,""))</f>
        <v/>
      </c>
      <c r="L48" s="31" t="str">
        <f aca="false">IF($A48="","",IFERROR('Market levels'!V48/'Market levels'!U48-1,""))</f>
        <v/>
      </c>
      <c r="M48" s="31" t="str">
        <f aca="false">IF($A48="","",IFERROR(('Market levels'!AA48/'Market levels'!V48)^(1/5)-1,""))</f>
        <v/>
      </c>
      <c r="N48" s="31" t="str">
        <f aca="false">IF($A48="","",IFERROR(('Market levels'!AG48/'Market levels'!AB48)^(1/5)-1,""))</f>
        <v/>
      </c>
      <c r="O48" s="31" t="str">
        <f aca="false">IF($A48="","",IFERROR('Market levels'!AH48/'Market levels'!AG48-1,""))</f>
        <v/>
      </c>
      <c r="P48" s="31" t="str">
        <f aca="false">IF($A48="","",IFERROR(('Market levels'!AM48/'Market levels'!AH48)^(1/5)-1,""))</f>
        <v/>
      </c>
      <c r="Q48" s="29"/>
      <c r="R48" s="33"/>
      <c r="S48" s="33"/>
      <c r="T48" s="33"/>
      <c r="U48" s="33"/>
      <c r="V48" s="33"/>
      <c r="W48" s="17"/>
      <c r="X48" s="17"/>
      <c r="Y48" s="17"/>
      <c r="Z48" s="17"/>
    </row>
    <row r="49" customFormat="false" ht="15" hidden="false" customHeight="false" outlineLevel="0" collapsed="false">
      <c r="A49" s="14"/>
      <c r="B49" s="14"/>
      <c r="C49" s="14"/>
      <c r="D49" s="14"/>
      <c r="E49" s="29"/>
      <c r="F49" s="30" t="str">
        <f aca="false">IF($A49="","",'Market levels'!I49)</f>
        <v/>
      </c>
      <c r="G49" s="31" t="str">
        <f aca="false">IF($A49="","",IFERROR(('Market levels'!I49/'Market levels'!D49)^(1/5)-1,""))</f>
        <v/>
      </c>
      <c r="H49" s="31" t="str">
        <f aca="false">IF($A49="","",IFERROR('Market levels'!J49/'Market levels'!I49-1,""))</f>
        <v/>
      </c>
      <c r="I49" s="31" t="str">
        <f aca="false">IF($A49="","",IFERROR(('Market levels'!O49/'Market levels'!J49)^(1/5)-1,""))</f>
        <v/>
      </c>
      <c r="J49" s="32" t="str">
        <f aca="false">IF($A49="","",IFERROR('Market levels'!U49/'Market levels'!I49,""))</f>
        <v/>
      </c>
      <c r="K49" s="31" t="str">
        <f aca="false">IF($A49="","",IFERROR(('Market levels'!U49/'Market levels'!P49)^(1/5)-1,""))</f>
        <v/>
      </c>
      <c r="L49" s="31" t="str">
        <f aca="false">IF($A49="","",IFERROR('Market levels'!V49/'Market levels'!U49-1,""))</f>
        <v/>
      </c>
      <c r="M49" s="31" t="str">
        <f aca="false">IF($A49="","",IFERROR(('Market levels'!AA49/'Market levels'!V49)^(1/5)-1,""))</f>
        <v/>
      </c>
      <c r="N49" s="31" t="str">
        <f aca="false">IF($A49="","",IFERROR(('Market levels'!AG49/'Market levels'!AB49)^(1/5)-1,""))</f>
        <v/>
      </c>
      <c r="O49" s="31" t="str">
        <f aca="false">IF($A49="","",IFERROR('Market levels'!AH49/'Market levels'!AG49-1,""))</f>
        <v/>
      </c>
      <c r="P49" s="31" t="str">
        <f aca="false">IF($A49="","",IFERROR(('Market levels'!AM49/'Market levels'!AH49)^(1/5)-1,""))</f>
        <v/>
      </c>
      <c r="Q49" s="29"/>
      <c r="R49" s="33"/>
      <c r="S49" s="33"/>
      <c r="T49" s="33"/>
      <c r="U49" s="33"/>
      <c r="V49" s="33"/>
      <c r="W49" s="17"/>
      <c r="X49" s="17"/>
      <c r="Y49" s="17"/>
      <c r="Z49" s="17"/>
    </row>
    <row r="50" customFormat="false" ht="15" hidden="false" customHeight="false" outlineLevel="0" collapsed="false">
      <c r="A50" s="14"/>
      <c r="B50" s="14"/>
      <c r="C50" s="14"/>
      <c r="D50" s="14"/>
      <c r="E50" s="29"/>
      <c r="F50" s="30" t="str">
        <f aca="false">IF($A50="","",'Market levels'!I50)</f>
        <v/>
      </c>
      <c r="G50" s="31" t="str">
        <f aca="false">IF($A50="","",IFERROR(('Market levels'!I50/'Market levels'!D50)^(1/5)-1,""))</f>
        <v/>
      </c>
      <c r="H50" s="31" t="str">
        <f aca="false">IF($A50="","",IFERROR('Market levels'!J50/'Market levels'!I50-1,""))</f>
        <v/>
      </c>
      <c r="I50" s="31" t="str">
        <f aca="false">IF($A50="","",IFERROR(('Market levels'!O50/'Market levels'!J50)^(1/5)-1,""))</f>
        <v/>
      </c>
      <c r="J50" s="32" t="str">
        <f aca="false">IF($A50="","",IFERROR('Market levels'!U50/'Market levels'!I50,""))</f>
        <v/>
      </c>
      <c r="K50" s="31" t="str">
        <f aca="false">IF($A50="","",IFERROR(('Market levels'!U50/'Market levels'!P50)^(1/5)-1,""))</f>
        <v/>
      </c>
      <c r="L50" s="31" t="str">
        <f aca="false">IF($A50="","",IFERROR('Market levels'!V50/'Market levels'!U50-1,""))</f>
        <v/>
      </c>
      <c r="M50" s="31" t="str">
        <f aca="false">IF($A50="","",IFERROR(('Market levels'!AA50/'Market levels'!V50)^(1/5)-1,""))</f>
        <v/>
      </c>
      <c r="N50" s="31" t="str">
        <f aca="false">IF($A50="","",IFERROR(('Market levels'!AG50/'Market levels'!AB50)^(1/5)-1,""))</f>
        <v/>
      </c>
      <c r="O50" s="31" t="str">
        <f aca="false">IF($A50="","",IFERROR('Market levels'!AH50/'Market levels'!AG50-1,""))</f>
        <v/>
      </c>
      <c r="P50" s="31" t="str">
        <f aca="false">IF($A50="","",IFERROR(('Market levels'!AM50/'Market levels'!AH50)^(1/5)-1,""))</f>
        <v/>
      </c>
      <c r="Q50" s="29"/>
      <c r="R50" s="33"/>
      <c r="S50" s="33"/>
      <c r="T50" s="33"/>
      <c r="U50" s="33"/>
      <c r="V50" s="33"/>
      <c r="W50" s="17"/>
      <c r="X50" s="17"/>
      <c r="Y50" s="17"/>
      <c r="Z50" s="17"/>
    </row>
    <row r="51" customFormat="false" ht="15" hidden="false" customHeight="false" outlineLevel="0" collapsed="false">
      <c r="A51" s="14"/>
      <c r="B51" s="14"/>
      <c r="C51" s="14"/>
      <c r="D51" s="14"/>
      <c r="E51" s="29"/>
      <c r="F51" s="30" t="str">
        <f aca="false">IF($A51="","",'Market levels'!I51)</f>
        <v/>
      </c>
      <c r="G51" s="31" t="str">
        <f aca="false">IF($A51="","",IFERROR(('Market levels'!I51/'Market levels'!D51)^(1/5)-1,""))</f>
        <v/>
      </c>
      <c r="H51" s="31" t="str">
        <f aca="false">IF($A51="","",IFERROR('Market levels'!J51/'Market levels'!I51-1,""))</f>
        <v/>
      </c>
      <c r="I51" s="31" t="str">
        <f aca="false">IF($A51="","",IFERROR(('Market levels'!O51/'Market levels'!J51)^(1/5)-1,""))</f>
        <v/>
      </c>
      <c r="J51" s="32" t="str">
        <f aca="false">IF($A51="","",IFERROR('Market levels'!U51/'Market levels'!I51,""))</f>
        <v/>
      </c>
      <c r="K51" s="31" t="str">
        <f aca="false">IF($A51="","",IFERROR(('Market levels'!U51/'Market levels'!P51)^(1/5)-1,""))</f>
        <v/>
      </c>
      <c r="L51" s="31" t="str">
        <f aca="false">IF($A51="","",IFERROR('Market levels'!V51/'Market levels'!U51-1,""))</f>
        <v/>
      </c>
      <c r="M51" s="31" t="str">
        <f aca="false">IF($A51="","",IFERROR(('Market levels'!AA51/'Market levels'!V51)^(1/5)-1,""))</f>
        <v/>
      </c>
      <c r="N51" s="31" t="str">
        <f aca="false">IF($A51="","",IFERROR(('Market levels'!AG51/'Market levels'!AB51)^(1/5)-1,""))</f>
        <v/>
      </c>
      <c r="O51" s="31" t="str">
        <f aca="false">IF($A51="","",IFERROR('Market levels'!AH51/'Market levels'!AG51-1,""))</f>
        <v/>
      </c>
      <c r="P51" s="31" t="str">
        <f aca="false">IF($A51="","",IFERROR(('Market levels'!AM51/'Market levels'!AH51)^(1/5)-1,""))</f>
        <v/>
      </c>
      <c r="Q51" s="29"/>
      <c r="R51" s="33"/>
      <c r="S51" s="33"/>
      <c r="T51" s="33"/>
      <c r="U51" s="33"/>
      <c r="V51" s="33"/>
      <c r="W51" s="17"/>
      <c r="X51" s="17"/>
      <c r="Y51" s="17"/>
      <c r="Z51" s="17"/>
    </row>
    <row r="52" customFormat="false" ht="15" hidden="false" customHeight="false" outlineLevel="0" collapsed="false">
      <c r="A52" s="14"/>
      <c r="B52" s="14"/>
      <c r="C52" s="14"/>
      <c r="D52" s="14"/>
      <c r="E52" s="29"/>
      <c r="F52" s="30" t="str">
        <f aca="false">IF($A52="","",'Market levels'!I52)</f>
        <v/>
      </c>
      <c r="G52" s="31" t="str">
        <f aca="false">IF($A52="","",IFERROR(('Market levels'!I52/'Market levels'!D52)^(1/5)-1,""))</f>
        <v/>
      </c>
      <c r="H52" s="31" t="str">
        <f aca="false">IF($A52="","",IFERROR('Market levels'!J52/'Market levels'!I52-1,""))</f>
        <v/>
      </c>
      <c r="I52" s="31" t="str">
        <f aca="false">IF($A52="","",IFERROR(('Market levels'!O52/'Market levels'!J52)^(1/5)-1,""))</f>
        <v/>
      </c>
      <c r="J52" s="32" t="str">
        <f aca="false">IF($A52="","",IFERROR('Market levels'!U52/'Market levels'!I52,""))</f>
        <v/>
      </c>
      <c r="K52" s="31" t="str">
        <f aca="false">IF($A52="","",IFERROR(('Market levels'!U52/'Market levels'!P52)^(1/5)-1,""))</f>
        <v/>
      </c>
      <c r="L52" s="31" t="str">
        <f aca="false">IF($A52="","",IFERROR('Market levels'!V52/'Market levels'!U52-1,""))</f>
        <v/>
      </c>
      <c r="M52" s="31" t="str">
        <f aca="false">IF($A52="","",IFERROR(('Market levels'!AA52/'Market levels'!V52)^(1/5)-1,""))</f>
        <v/>
      </c>
      <c r="N52" s="31" t="str">
        <f aca="false">IF($A52="","",IFERROR(('Market levels'!AG52/'Market levels'!AB52)^(1/5)-1,""))</f>
        <v/>
      </c>
      <c r="O52" s="31" t="str">
        <f aca="false">IF($A52="","",IFERROR('Market levels'!AH52/'Market levels'!AG52-1,""))</f>
        <v/>
      </c>
      <c r="P52" s="31" t="str">
        <f aca="false">IF($A52="","",IFERROR(('Market levels'!AM52/'Market levels'!AH52)^(1/5)-1,""))</f>
        <v/>
      </c>
      <c r="Q52" s="29"/>
      <c r="R52" s="33"/>
      <c r="S52" s="33"/>
      <c r="T52" s="33"/>
      <c r="U52" s="33"/>
      <c r="V52" s="33"/>
      <c r="W52" s="17"/>
      <c r="X52" s="17"/>
      <c r="Y52" s="17"/>
      <c r="Z52" s="17"/>
    </row>
    <row r="53" customFormat="false" ht="15" hidden="false" customHeight="false" outlineLevel="0" collapsed="false">
      <c r="A53" s="14"/>
      <c r="B53" s="14"/>
      <c r="C53" s="14"/>
      <c r="D53" s="14"/>
      <c r="E53" s="29"/>
      <c r="F53" s="30" t="str">
        <f aca="false">IF($A53="","",'Market levels'!I53)</f>
        <v/>
      </c>
      <c r="G53" s="31" t="str">
        <f aca="false">IF($A53="","",IFERROR(('Market levels'!I53/'Market levels'!D53)^(1/5)-1,""))</f>
        <v/>
      </c>
      <c r="H53" s="31" t="str">
        <f aca="false">IF($A53="","",IFERROR('Market levels'!J53/'Market levels'!I53-1,""))</f>
        <v/>
      </c>
      <c r="I53" s="31" t="str">
        <f aca="false">IF($A53="","",IFERROR(('Market levels'!O53/'Market levels'!J53)^(1/5)-1,""))</f>
        <v/>
      </c>
      <c r="J53" s="32" t="str">
        <f aca="false">IF($A53="","",IFERROR('Market levels'!U53/'Market levels'!I53,""))</f>
        <v/>
      </c>
      <c r="K53" s="31" t="str">
        <f aca="false">IF($A53="","",IFERROR(('Market levels'!U53/'Market levels'!P53)^(1/5)-1,""))</f>
        <v/>
      </c>
      <c r="L53" s="31" t="str">
        <f aca="false">IF($A53="","",IFERROR('Market levels'!V53/'Market levels'!U53-1,""))</f>
        <v/>
      </c>
      <c r="M53" s="31" t="str">
        <f aca="false">IF($A53="","",IFERROR(('Market levels'!AA53/'Market levels'!V53)^(1/5)-1,""))</f>
        <v/>
      </c>
      <c r="N53" s="31" t="str">
        <f aca="false">IF($A53="","",IFERROR(('Market levels'!AG53/'Market levels'!AB53)^(1/5)-1,""))</f>
        <v/>
      </c>
      <c r="O53" s="31" t="str">
        <f aca="false">IF($A53="","",IFERROR('Market levels'!AH53/'Market levels'!AG53-1,""))</f>
        <v/>
      </c>
      <c r="P53" s="31" t="str">
        <f aca="false">IF($A53="","",IFERROR(('Market levels'!AM53/'Market levels'!AH53)^(1/5)-1,""))</f>
        <v/>
      </c>
      <c r="Q53" s="29"/>
      <c r="R53" s="33"/>
      <c r="S53" s="33"/>
      <c r="T53" s="33"/>
      <c r="U53" s="33"/>
      <c r="V53" s="33"/>
      <c r="W53" s="17"/>
      <c r="X53" s="17"/>
      <c r="Y53" s="17"/>
      <c r="Z53" s="17"/>
    </row>
    <row r="54" customFormat="false" ht="15" hidden="false" customHeight="false" outlineLevel="0" collapsed="false">
      <c r="A54" s="14"/>
      <c r="B54" s="14"/>
      <c r="C54" s="14"/>
      <c r="D54" s="14"/>
      <c r="E54" s="29"/>
      <c r="F54" s="30" t="str">
        <f aca="false">IF($A54="","",'Market levels'!I54)</f>
        <v/>
      </c>
      <c r="G54" s="31" t="str">
        <f aca="false">IF($A54="","",IFERROR(('Market levels'!I54/'Market levels'!D54)^(1/5)-1,""))</f>
        <v/>
      </c>
      <c r="H54" s="31" t="str">
        <f aca="false">IF($A54="","",IFERROR('Market levels'!J54/'Market levels'!I54-1,""))</f>
        <v/>
      </c>
      <c r="I54" s="31" t="str">
        <f aca="false">IF($A54="","",IFERROR(('Market levels'!O54/'Market levels'!J54)^(1/5)-1,""))</f>
        <v/>
      </c>
      <c r="J54" s="32" t="str">
        <f aca="false">IF($A54="","",IFERROR('Market levels'!U54/'Market levels'!I54,""))</f>
        <v/>
      </c>
      <c r="K54" s="31" t="str">
        <f aca="false">IF($A54="","",IFERROR(('Market levels'!U54/'Market levels'!P54)^(1/5)-1,""))</f>
        <v/>
      </c>
      <c r="L54" s="31" t="str">
        <f aca="false">IF($A54="","",IFERROR('Market levels'!V54/'Market levels'!U54-1,""))</f>
        <v/>
      </c>
      <c r="M54" s="31" t="str">
        <f aca="false">IF($A54="","",IFERROR(('Market levels'!AA54/'Market levels'!V54)^(1/5)-1,""))</f>
        <v/>
      </c>
      <c r="N54" s="31" t="str">
        <f aca="false">IF($A54="","",IFERROR(('Market levels'!AG54/'Market levels'!AB54)^(1/5)-1,""))</f>
        <v/>
      </c>
      <c r="O54" s="31" t="str">
        <f aca="false">IF($A54="","",IFERROR('Market levels'!AH54/'Market levels'!AG54-1,""))</f>
        <v/>
      </c>
      <c r="P54" s="31" t="str">
        <f aca="false">IF($A54="","",IFERROR(('Market levels'!AM54/'Market levels'!AH54)^(1/5)-1,""))</f>
        <v/>
      </c>
      <c r="Q54" s="29"/>
      <c r="R54" s="33"/>
      <c r="S54" s="33"/>
      <c r="T54" s="33"/>
      <c r="U54" s="33"/>
      <c r="V54" s="33"/>
      <c r="W54" s="17"/>
      <c r="X54" s="17"/>
      <c r="Y54" s="17"/>
      <c r="Z54" s="17"/>
    </row>
    <row r="55" customFormat="false" ht="15" hidden="false" customHeight="false" outlineLevel="0" collapsed="false">
      <c r="A55" s="14"/>
      <c r="B55" s="14"/>
      <c r="C55" s="14"/>
      <c r="D55" s="14"/>
      <c r="E55" s="29"/>
      <c r="F55" s="30" t="str">
        <f aca="false">IF($A55="","",'Market levels'!I55)</f>
        <v/>
      </c>
      <c r="G55" s="31" t="str">
        <f aca="false">IF($A55="","",IFERROR(('Market levels'!I55/'Market levels'!D55)^(1/5)-1,""))</f>
        <v/>
      </c>
      <c r="H55" s="31" t="str">
        <f aca="false">IF($A55="","",IFERROR('Market levels'!J55/'Market levels'!I55-1,""))</f>
        <v/>
      </c>
      <c r="I55" s="31" t="str">
        <f aca="false">IF($A55="","",IFERROR(('Market levels'!O55/'Market levels'!J55)^(1/5)-1,""))</f>
        <v/>
      </c>
      <c r="J55" s="32" t="str">
        <f aca="false">IF($A55="","",IFERROR('Market levels'!U55/'Market levels'!I55,""))</f>
        <v/>
      </c>
      <c r="K55" s="31" t="str">
        <f aca="false">IF($A55="","",IFERROR(('Market levels'!U55/'Market levels'!P55)^(1/5)-1,""))</f>
        <v/>
      </c>
      <c r="L55" s="31" t="str">
        <f aca="false">IF($A55="","",IFERROR('Market levels'!V55/'Market levels'!U55-1,""))</f>
        <v/>
      </c>
      <c r="M55" s="31" t="str">
        <f aca="false">IF($A55="","",IFERROR(('Market levels'!AA55/'Market levels'!V55)^(1/5)-1,""))</f>
        <v/>
      </c>
      <c r="N55" s="31" t="str">
        <f aca="false">IF($A55="","",IFERROR(('Market levels'!AG55/'Market levels'!AB55)^(1/5)-1,""))</f>
        <v/>
      </c>
      <c r="O55" s="31" t="str">
        <f aca="false">IF($A55="","",IFERROR('Market levels'!AH55/'Market levels'!AG55-1,""))</f>
        <v/>
      </c>
      <c r="P55" s="31" t="str">
        <f aca="false">IF($A55="","",IFERROR(('Market levels'!AM55/'Market levels'!AH55)^(1/5)-1,""))</f>
        <v/>
      </c>
      <c r="Q55" s="29"/>
      <c r="R55" s="33"/>
      <c r="S55" s="33"/>
      <c r="T55" s="33"/>
      <c r="U55" s="33"/>
      <c r="V55" s="33"/>
      <c r="W55" s="17"/>
      <c r="X55" s="17"/>
      <c r="Y55" s="17"/>
      <c r="Z55" s="17"/>
    </row>
    <row r="56" customFormat="false" ht="15" hidden="false" customHeight="false" outlineLevel="0" collapsed="false">
      <c r="A56" s="14"/>
      <c r="B56" s="14"/>
      <c r="C56" s="14"/>
      <c r="D56" s="14"/>
      <c r="E56" s="29"/>
      <c r="F56" s="30" t="str">
        <f aca="false">IF($A56="","",'Market levels'!I56)</f>
        <v/>
      </c>
      <c r="G56" s="31" t="str">
        <f aca="false">IF($A56="","",IFERROR(('Market levels'!I56/'Market levels'!D56)^(1/5)-1,""))</f>
        <v/>
      </c>
      <c r="H56" s="31" t="str">
        <f aca="false">IF($A56="","",IFERROR('Market levels'!J56/'Market levels'!I56-1,""))</f>
        <v/>
      </c>
      <c r="I56" s="31" t="str">
        <f aca="false">IF($A56="","",IFERROR(('Market levels'!O56/'Market levels'!J56)^(1/5)-1,""))</f>
        <v/>
      </c>
      <c r="J56" s="32" t="str">
        <f aca="false">IF($A56="","",IFERROR('Market levels'!U56/'Market levels'!I56,""))</f>
        <v/>
      </c>
      <c r="K56" s="31" t="str">
        <f aca="false">IF($A56="","",IFERROR(('Market levels'!U56/'Market levels'!P56)^(1/5)-1,""))</f>
        <v/>
      </c>
      <c r="L56" s="31" t="str">
        <f aca="false">IF($A56="","",IFERROR('Market levels'!V56/'Market levels'!U56-1,""))</f>
        <v/>
      </c>
      <c r="M56" s="31" t="str">
        <f aca="false">IF($A56="","",IFERROR(('Market levels'!AA56/'Market levels'!V56)^(1/5)-1,""))</f>
        <v/>
      </c>
      <c r="N56" s="31" t="str">
        <f aca="false">IF($A56="","",IFERROR(('Market levels'!AG56/'Market levels'!AB56)^(1/5)-1,""))</f>
        <v/>
      </c>
      <c r="O56" s="31" t="str">
        <f aca="false">IF($A56="","",IFERROR('Market levels'!AH56/'Market levels'!AG56-1,""))</f>
        <v/>
      </c>
      <c r="P56" s="31" t="str">
        <f aca="false">IF($A56="","",IFERROR(('Market levels'!AM56/'Market levels'!AH56)^(1/5)-1,""))</f>
        <v/>
      </c>
      <c r="Q56" s="29"/>
      <c r="R56" s="33"/>
      <c r="S56" s="33"/>
      <c r="T56" s="33"/>
      <c r="U56" s="33"/>
      <c r="V56" s="33"/>
      <c r="W56" s="17"/>
      <c r="X56" s="17"/>
      <c r="Y56" s="17"/>
      <c r="Z56" s="17"/>
    </row>
    <row r="57" customFormat="false" ht="15" hidden="false" customHeight="false" outlineLevel="0" collapsed="false">
      <c r="A57" s="14"/>
      <c r="B57" s="14"/>
      <c r="C57" s="14"/>
      <c r="D57" s="14"/>
      <c r="E57" s="29"/>
      <c r="F57" s="30" t="str">
        <f aca="false">IF($A57="","",'Market levels'!I57)</f>
        <v/>
      </c>
      <c r="G57" s="31" t="str">
        <f aca="false">IF($A57="","",IFERROR(('Market levels'!I57/'Market levels'!D57)^(1/5)-1,""))</f>
        <v/>
      </c>
      <c r="H57" s="31" t="str">
        <f aca="false">IF($A57="","",IFERROR('Market levels'!J57/'Market levels'!I57-1,""))</f>
        <v/>
      </c>
      <c r="I57" s="31" t="str">
        <f aca="false">IF($A57="","",IFERROR(('Market levels'!O57/'Market levels'!J57)^(1/5)-1,""))</f>
        <v/>
      </c>
      <c r="J57" s="32" t="str">
        <f aca="false">IF($A57="","",IFERROR('Market levels'!U57/'Market levels'!I57,""))</f>
        <v/>
      </c>
      <c r="K57" s="31" t="str">
        <f aca="false">IF($A57="","",IFERROR(('Market levels'!U57/'Market levels'!P57)^(1/5)-1,""))</f>
        <v/>
      </c>
      <c r="L57" s="31" t="str">
        <f aca="false">IF($A57="","",IFERROR('Market levels'!V57/'Market levels'!U57-1,""))</f>
        <v/>
      </c>
      <c r="M57" s="31" t="str">
        <f aca="false">IF($A57="","",IFERROR(('Market levels'!AA57/'Market levels'!V57)^(1/5)-1,""))</f>
        <v/>
      </c>
      <c r="N57" s="31" t="str">
        <f aca="false">IF($A57="","",IFERROR(('Market levels'!AG57/'Market levels'!AB57)^(1/5)-1,""))</f>
        <v/>
      </c>
      <c r="O57" s="31" t="str">
        <f aca="false">IF($A57="","",IFERROR('Market levels'!AH57/'Market levels'!AG57-1,""))</f>
        <v/>
      </c>
      <c r="P57" s="31" t="str">
        <f aca="false">IF($A57="","",IFERROR(('Market levels'!AM57/'Market levels'!AH57)^(1/5)-1,""))</f>
        <v/>
      </c>
      <c r="Q57" s="29"/>
      <c r="R57" s="33"/>
      <c r="S57" s="33"/>
      <c r="T57" s="33"/>
      <c r="U57" s="33"/>
      <c r="V57" s="33"/>
      <c r="W57" s="17"/>
      <c r="X57" s="17"/>
      <c r="Y57" s="17"/>
      <c r="Z57" s="17"/>
    </row>
    <row r="58" customFormat="false" ht="15" hidden="false" customHeight="false" outlineLevel="0" collapsed="false">
      <c r="A58" s="14"/>
      <c r="B58" s="14"/>
      <c r="C58" s="14"/>
      <c r="D58" s="14"/>
      <c r="E58" s="29"/>
      <c r="F58" s="30" t="str">
        <f aca="false">IF($A58="","",'Market levels'!I58)</f>
        <v/>
      </c>
      <c r="G58" s="31" t="str">
        <f aca="false">IF($A58="","",IFERROR(('Market levels'!I58/'Market levels'!D58)^(1/5)-1,""))</f>
        <v/>
      </c>
      <c r="H58" s="31" t="str">
        <f aca="false">IF($A58="","",IFERROR('Market levels'!J58/'Market levels'!I58-1,""))</f>
        <v/>
      </c>
      <c r="I58" s="31" t="str">
        <f aca="false">IF($A58="","",IFERROR(('Market levels'!O58/'Market levels'!J58)^(1/5)-1,""))</f>
        <v/>
      </c>
      <c r="J58" s="32" t="str">
        <f aca="false">IF($A58="","",IFERROR('Market levels'!U58/'Market levels'!I58,""))</f>
        <v/>
      </c>
      <c r="K58" s="31" t="str">
        <f aca="false">IF($A58="","",IFERROR(('Market levels'!U58/'Market levels'!P58)^(1/5)-1,""))</f>
        <v/>
      </c>
      <c r="L58" s="31" t="str">
        <f aca="false">IF($A58="","",IFERROR('Market levels'!V58/'Market levels'!U58-1,""))</f>
        <v/>
      </c>
      <c r="M58" s="31" t="str">
        <f aca="false">IF($A58="","",IFERROR(('Market levels'!AA58/'Market levels'!V58)^(1/5)-1,""))</f>
        <v/>
      </c>
      <c r="N58" s="31" t="str">
        <f aca="false">IF($A58="","",IFERROR(('Market levels'!AG58/'Market levels'!AB58)^(1/5)-1,""))</f>
        <v/>
      </c>
      <c r="O58" s="31" t="str">
        <f aca="false">IF($A58="","",IFERROR('Market levels'!AH58/'Market levels'!AG58-1,""))</f>
        <v/>
      </c>
      <c r="P58" s="31" t="str">
        <f aca="false">IF($A58="","",IFERROR(('Market levels'!AM58/'Market levels'!AH58)^(1/5)-1,""))</f>
        <v/>
      </c>
      <c r="Q58" s="29"/>
      <c r="R58" s="33"/>
      <c r="S58" s="33"/>
      <c r="T58" s="33"/>
      <c r="U58" s="33"/>
      <c r="V58" s="33"/>
      <c r="W58" s="17"/>
      <c r="X58" s="17"/>
      <c r="Y58" s="17"/>
      <c r="Z58" s="17"/>
    </row>
    <row r="59" customFormat="false" ht="15" hidden="false" customHeight="false" outlineLevel="0" collapsed="false">
      <c r="A59" s="14"/>
      <c r="B59" s="14"/>
      <c r="C59" s="14"/>
      <c r="D59" s="14"/>
      <c r="E59" s="29"/>
      <c r="F59" s="30" t="str">
        <f aca="false">IF($A59="","",'Market levels'!I59)</f>
        <v/>
      </c>
      <c r="G59" s="31" t="str">
        <f aca="false">IF($A59="","",IFERROR(('Market levels'!I59/'Market levels'!D59)^(1/5)-1,""))</f>
        <v/>
      </c>
      <c r="H59" s="31" t="str">
        <f aca="false">IF($A59="","",IFERROR('Market levels'!J59/'Market levels'!I59-1,""))</f>
        <v/>
      </c>
      <c r="I59" s="31" t="str">
        <f aca="false">IF($A59="","",IFERROR(('Market levels'!O59/'Market levels'!J59)^(1/5)-1,""))</f>
        <v/>
      </c>
      <c r="J59" s="32" t="str">
        <f aca="false">IF($A59="","",IFERROR('Market levels'!U59/'Market levels'!I59,""))</f>
        <v/>
      </c>
      <c r="K59" s="31" t="str">
        <f aca="false">IF($A59="","",IFERROR(('Market levels'!U59/'Market levels'!P59)^(1/5)-1,""))</f>
        <v/>
      </c>
      <c r="L59" s="31" t="str">
        <f aca="false">IF($A59="","",IFERROR('Market levels'!V59/'Market levels'!U59-1,""))</f>
        <v/>
      </c>
      <c r="M59" s="31" t="str">
        <f aca="false">IF($A59="","",IFERROR(('Market levels'!AA59/'Market levels'!V59)^(1/5)-1,""))</f>
        <v/>
      </c>
      <c r="N59" s="31" t="str">
        <f aca="false">IF($A59="","",IFERROR(('Market levels'!AG59/'Market levels'!AB59)^(1/5)-1,""))</f>
        <v/>
      </c>
      <c r="O59" s="31" t="str">
        <f aca="false">IF($A59="","",IFERROR('Market levels'!AH59/'Market levels'!AG59-1,""))</f>
        <v/>
      </c>
      <c r="P59" s="31" t="str">
        <f aca="false">IF($A59="","",IFERROR(('Market levels'!AM59/'Market levels'!AH59)^(1/5)-1,""))</f>
        <v/>
      </c>
      <c r="Q59" s="29"/>
      <c r="R59" s="33"/>
      <c r="S59" s="33"/>
      <c r="T59" s="33"/>
      <c r="U59" s="33"/>
      <c r="V59" s="33"/>
      <c r="W59" s="17"/>
      <c r="X59" s="17"/>
      <c r="Y59" s="17"/>
      <c r="Z59" s="17"/>
    </row>
    <row r="60" customFormat="false" ht="15" hidden="false" customHeight="false" outlineLevel="0" collapsed="false">
      <c r="A60" s="14"/>
      <c r="B60" s="14"/>
      <c r="C60" s="14"/>
      <c r="D60" s="14"/>
      <c r="E60" s="29"/>
      <c r="F60" s="30" t="str">
        <f aca="false">IF($A60="","",'Market levels'!I60)</f>
        <v/>
      </c>
      <c r="G60" s="31" t="str">
        <f aca="false">IF($A60="","",IFERROR(('Market levels'!I60/'Market levels'!D60)^(1/5)-1,""))</f>
        <v/>
      </c>
      <c r="H60" s="31" t="str">
        <f aca="false">IF($A60="","",IFERROR('Market levels'!J60/'Market levels'!I60-1,""))</f>
        <v/>
      </c>
      <c r="I60" s="31" t="str">
        <f aca="false">IF($A60="","",IFERROR(('Market levels'!O60/'Market levels'!J60)^(1/5)-1,""))</f>
        <v/>
      </c>
      <c r="J60" s="32" t="str">
        <f aca="false">IF($A60="","",IFERROR('Market levels'!U60/'Market levels'!I60,""))</f>
        <v/>
      </c>
      <c r="K60" s="31" t="str">
        <f aca="false">IF($A60="","",IFERROR(('Market levels'!U60/'Market levels'!P60)^(1/5)-1,""))</f>
        <v/>
      </c>
      <c r="L60" s="31" t="str">
        <f aca="false">IF($A60="","",IFERROR('Market levels'!V60/'Market levels'!U60-1,""))</f>
        <v/>
      </c>
      <c r="M60" s="31" t="str">
        <f aca="false">IF($A60="","",IFERROR(('Market levels'!AA60/'Market levels'!V60)^(1/5)-1,""))</f>
        <v/>
      </c>
      <c r="N60" s="31" t="str">
        <f aca="false">IF($A60="","",IFERROR(('Market levels'!AG60/'Market levels'!AB60)^(1/5)-1,""))</f>
        <v/>
      </c>
      <c r="O60" s="31" t="str">
        <f aca="false">IF($A60="","",IFERROR('Market levels'!AH60/'Market levels'!AG60-1,""))</f>
        <v/>
      </c>
      <c r="P60" s="31" t="str">
        <f aca="false">IF($A60="","",IFERROR(('Market levels'!AM60/'Market levels'!AH60)^(1/5)-1,""))</f>
        <v/>
      </c>
      <c r="Q60" s="29"/>
      <c r="R60" s="33"/>
      <c r="S60" s="33"/>
      <c r="T60" s="33"/>
      <c r="U60" s="33"/>
      <c r="V60" s="33"/>
      <c r="W60" s="17"/>
      <c r="X60" s="17"/>
      <c r="Y60" s="17"/>
      <c r="Z60" s="17"/>
    </row>
    <row r="61" customFormat="false" ht="15" hidden="false" customHeight="false" outlineLevel="0" collapsed="false">
      <c r="A61" s="14"/>
      <c r="B61" s="14"/>
      <c r="C61" s="14"/>
      <c r="D61" s="14"/>
      <c r="E61" s="29"/>
      <c r="F61" s="30" t="str">
        <f aca="false">IF($A61="","",'Market levels'!I61)</f>
        <v/>
      </c>
      <c r="G61" s="31" t="str">
        <f aca="false">IF($A61="","",IFERROR(('Market levels'!I61/'Market levels'!D61)^(1/5)-1,""))</f>
        <v/>
      </c>
      <c r="H61" s="31" t="str">
        <f aca="false">IF($A61="","",IFERROR('Market levels'!J61/'Market levels'!I61-1,""))</f>
        <v/>
      </c>
      <c r="I61" s="31" t="str">
        <f aca="false">IF($A61="","",IFERROR(('Market levels'!O61/'Market levels'!J61)^(1/5)-1,""))</f>
        <v/>
      </c>
      <c r="J61" s="32" t="str">
        <f aca="false">IF($A61="","",IFERROR('Market levels'!U61/'Market levels'!I61,""))</f>
        <v/>
      </c>
      <c r="K61" s="31" t="str">
        <f aca="false">IF($A61="","",IFERROR(('Market levels'!U61/'Market levels'!P61)^(1/5)-1,""))</f>
        <v/>
      </c>
      <c r="L61" s="31" t="str">
        <f aca="false">IF($A61="","",IFERROR('Market levels'!V61/'Market levels'!U61-1,""))</f>
        <v/>
      </c>
      <c r="M61" s="31" t="str">
        <f aca="false">IF($A61="","",IFERROR(('Market levels'!AA61/'Market levels'!V61)^(1/5)-1,""))</f>
        <v/>
      </c>
      <c r="N61" s="31" t="str">
        <f aca="false">IF($A61="","",IFERROR(('Market levels'!AG61/'Market levels'!AB61)^(1/5)-1,""))</f>
        <v/>
      </c>
      <c r="O61" s="31" t="str">
        <f aca="false">IF($A61="","",IFERROR('Market levels'!AH61/'Market levels'!AG61-1,""))</f>
        <v/>
      </c>
      <c r="P61" s="31" t="str">
        <f aca="false">IF($A61="","",IFERROR(('Market levels'!AM61/'Market levels'!AH61)^(1/5)-1,""))</f>
        <v/>
      </c>
      <c r="Q61" s="29"/>
      <c r="R61" s="33"/>
      <c r="S61" s="33"/>
      <c r="T61" s="33"/>
      <c r="U61" s="33"/>
      <c r="V61" s="33"/>
      <c r="W61" s="17"/>
      <c r="X61" s="17"/>
      <c r="Y61" s="17"/>
      <c r="Z61" s="17"/>
    </row>
    <row r="62" customFormat="false" ht="15" hidden="false" customHeight="false" outlineLevel="0" collapsed="false">
      <c r="A62" s="14"/>
      <c r="B62" s="14"/>
      <c r="C62" s="14"/>
      <c r="D62" s="14"/>
      <c r="E62" s="29"/>
      <c r="F62" s="30" t="str">
        <f aca="false">IF($A62="","",'Market levels'!I62)</f>
        <v/>
      </c>
      <c r="G62" s="31" t="str">
        <f aca="false">IF($A62="","",IFERROR(('Market levels'!I62/'Market levels'!D62)^(1/5)-1,""))</f>
        <v/>
      </c>
      <c r="H62" s="31" t="str">
        <f aca="false">IF($A62="","",IFERROR('Market levels'!J62/'Market levels'!I62-1,""))</f>
        <v/>
      </c>
      <c r="I62" s="31" t="str">
        <f aca="false">IF($A62="","",IFERROR(('Market levels'!O62/'Market levels'!J62)^(1/5)-1,""))</f>
        <v/>
      </c>
      <c r="J62" s="32" t="str">
        <f aca="false">IF($A62="","",IFERROR('Market levels'!U62/'Market levels'!I62,""))</f>
        <v/>
      </c>
      <c r="K62" s="31" t="str">
        <f aca="false">IF($A62="","",IFERROR(('Market levels'!U62/'Market levels'!P62)^(1/5)-1,""))</f>
        <v/>
      </c>
      <c r="L62" s="31" t="str">
        <f aca="false">IF($A62="","",IFERROR('Market levels'!V62/'Market levels'!U62-1,""))</f>
        <v/>
      </c>
      <c r="M62" s="31" t="str">
        <f aca="false">IF($A62="","",IFERROR(('Market levels'!AA62/'Market levels'!V62)^(1/5)-1,""))</f>
        <v/>
      </c>
      <c r="N62" s="31" t="str">
        <f aca="false">IF($A62="","",IFERROR(('Market levels'!AG62/'Market levels'!AB62)^(1/5)-1,""))</f>
        <v/>
      </c>
      <c r="O62" s="31" t="str">
        <f aca="false">IF($A62="","",IFERROR('Market levels'!AH62/'Market levels'!AG62-1,""))</f>
        <v/>
      </c>
      <c r="P62" s="31" t="str">
        <f aca="false">IF($A62="","",IFERROR(('Market levels'!AM62/'Market levels'!AH62)^(1/5)-1,""))</f>
        <v/>
      </c>
      <c r="Q62" s="29"/>
      <c r="R62" s="33"/>
      <c r="S62" s="33"/>
      <c r="T62" s="33"/>
      <c r="U62" s="33"/>
      <c r="V62" s="33"/>
      <c r="W62" s="17"/>
      <c r="X62" s="17"/>
      <c r="Y62" s="17"/>
      <c r="Z62" s="17"/>
    </row>
    <row r="63" customFormat="false" ht="15" hidden="false" customHeight="false" outlineLevel="0" collapsed="false">
      <c r="A63" s="14"/>
      <c r="B63" s="14"/>
      <c r="C63" s="14"/>
      <c r="D63" s="14"/>
      <c r="E63" s="29"/>
      <c r="F63" s="30" t="str">
        <f aca="false">IF($A63="","",'Market levels'!I63)</f>
        <v/>
      </c>
      <c r="G63" s="31" t="str">
        <f aca="false">IF($A63="","",IFERROR(('Market levels'!I63/'Market levels'!D63)^(1/5)-1,""))</f>
        <v/>
      </c>
      <c r="H63" s="31" t="str">
        <f aca="false">IF($A63="","",IFERROR('Market levels'!J63/'Market levels'!I63-1,""))</f>
        <v/>
      </c>
      <c r="I63" s="31" t="str">
        <f aca="false">IF($A63="","",IFERROR(('Market levels'!O63/'Market levels'!J63)^(1/5)-1,""))</f>
        <v/>
      </c>
      <c r="J63" s="32" t="str">
        <f aca="false">IF($A63="","",IFERROR('Market levels'!U63/'Market levels'!I63,""))</f>
        <v/>
      </c>
      <c r="K63" s="31" t="str">
        <f aca="false">IF($A63="","",IFERROR(('Market levels'!U63/'Market levels'!P63)^(1/5)-1,""))</f>
        <v/>
      </c>
      <c r="L63" s="31" t="str">
        <f aca="false">IF($A63="","",IFERROR('Market levels'!V63/'Market levels'!U63-1,""))</f>
        <v/>
      </c>
      <c r="M63" s="31" t="str">
        <f aca="false">IF($A63="","",IFERROR(('Market levels'!AA63/'Market levels'!V63)^(1/5)-1,""))</f>
        <v/>
      </c>
      <c r="N63" s="31" t="str">
        <f aca="false">IF($A63="","",IFERROR(('Market levels'!AG63/'Market levels'!AB63)^(1/5)-1,""))</f>
        <v/>
      </c>
      <c r="O63" s="31" t="str">
        <f aca="false">IF($A63="","",IFERROR('Market levels'!AH63/'Market levels'!AG63-1,""))</f>
        <v/>
      </c>
      <c r="P63" s="31" t="str">
        <f aca="false">IF($A63="","",IFERROR(('Market levels'!AM63/'Market levels'!AH63)^(1/5)-1,""))</f>
        <v/>
      </c>
      <c r="Q63" s="29"/>
      <c r="R63" s="33"/>
      <c r="S63" s="33"/>
      <c r="T63" s="33"/>
      <c r="U63" s="33"/>
      <c r="V63" s="33"/>
      <c r="W63" s="17"/>
      <c r="X63" s="17"/>
      <c r="Y63" s="17"/>
      <c r="Z63" s="17"/>
    </row>
    <row r="64" customFormat="false" ht="15" hidden="false" customHeight="false" outlineLevel="0" collapsed="false">
      <c r="A64" s="14"/>
      <c r="B64" s="14"/>
      <c r="C64" s="14"/>
      <c r="D64" s="14"/>
      <c r="E64" s="29"/>
      <c r="F64" s="30" t="str">
        <f aca="false">IF($A64="","",'Market levels'!I64)</f>
        <v/>
      </c>
      <c r="G64" s="31" t="str">
        <f aca="false">IF($A64="","",IFERROR(('Market levels'!I64/'Market levels'!D64)^(1/5)-1,""))</f>
        <v/>
      </c>
      <c r="H64" s="31" t="str">
        <f aca="false">IF($A64="","",IFERROR('Market levels'!J64/'Market levels'!I64-1,""))</f>
        <v/>
      </c>
      <c r="I64" s="31" t="str">
        <f aca="false">IF($A64="","",IFERROR(('Market levels'!O64/'Market levels'!J64)^(1/5)-1,""))</f>
        <v/>
      </c>
      <c r="J64" s="32" t="str">
        <f aca="false">IF($A64="","",IFERROR('Market levels'!U64/'Market levels'!I64,""))</f>
        <v/>
      </c>
      <c r="K64" s="31" t="str">
        <f aca="false">IF($A64="","",IFERROR(('Market levels'!U64/'Market levels'!P64)^(1/5)-1,""))</f>
        <v/>
      </c>
      <c r="L64" s="31" t="str">
        <f aca="false">IF($A64="","",IFERROR('Market levels'!V64/'Market levels'!U64-1,""))</f>
        <v/>
      </c>
      <c r="M64" s="31" t="str">
        <f aca="false">IF($A64="","",IFERROR(('Market levels'!AA64/'Market levels'!V64)^(1/5)-1,""))</f>
        <v/>
      </c>
      <c r="N64" s="31" t="str">
        <f aca="false">IF($A64="","",IFERROR(('Market levels'!AG64/'Market levels'!AB64)^(1/5)-1,""))</f>
        <v/>
      </c>
      <c r="O64" s="31" t="str">
        <f aca="false">IF($A64="","",IFERROR('Market levels'!AH64/'Market levels'!AG64-1,""))</f>
        <v/>
      </c>
      <c r="P64" s="31" t="str">
        <f aca="false">IF($A64="","",IFERROR(('Market levels'!AM64/'Market levels'!AH64)^(1/5)-1,""))</f>
        <v/>
      </c>
      <c r="Q64" s="29"/>
      <c r="R64" s="33"/>
      <c r="S64" s="33"/>
      <c r="T64" s="33"/>
      <c r="U64" s="33"/>
      <c r="V64" s="33"/>
      <c r="W64" s="17"/>
      <c r="X64" s="17"/>
      <c r="Y64" s="17"/>
      <c r="Z64" s="17"/>
    </row>
    <row r="65" customFormat="false" ht="15" hidden="false" customHeight="false" outlineLevel="0" collapsed="false">
      <c r="A65" s="14"/>
      <c r="B65" s="14"/>
      <c r="C65" s="14"/>
      <c r="D65" s="14"/>
      <c r="E65" s="29"/>
      <c r="F65" s="30" t="str">
        <f aca="false">IF($A65="","",'Market levels'!I65)</f>
        <v/>
      </c>
      <c r="G65" s="31" t="str">
        <f aca="false">IF($A65="","",IFERROR(('Market levels'!I65/'Market levels'!D65)^(1/5)-1,""))</f>
        <v/>
      </c>
      <c r="H65" s="31" t="str">
        <f aca="false">IF($A65="","",IFERROR('Market levels'!J65/'Market levels'!I65-1,""))</f>
        <v/>
      </c>
      <c r="I65" s="31" t="str">
        <f aca="false">IF($A65="","",IFERROR(('Market levels'!O65/'Market levels'!J65)^(1/5)-1,""))</f>
        <v/>
      </c>
      <c r="J65" s="32" t="str">
        <f aca="false">IF($A65="","",IFERROR('Market levels'!U65/'Market levels'!I65,""))</f>
        <v/>
      </c>
      <c r="K65" s="31" t="str">
        <f aca="false">IF($A65="","",IFERROR(('Market levels'!U65/'Market levels'!P65)^(1/5)-1,""))</f>
        <v/>
      </c>
      <c r="L65" s="31" t="str">
        <f aca="false">IF($A65="","",IFERROR('Market levels'!V65/'Market levels'!U65-1,""))</f>
        <v/>
      </c>
      <c r="M65" s="31" t="str">
        <f aca="false">IF($A65="","",IFERROR(('Market levels'!AA65/'Market levels'!V65)^(1/5)-1,""))</f>
        <v/>
      </c>
      <c r="N65" s="31" t="str">
        <f aca="false">IF($A65="","",IFERROR(('Market levels'!AG65/'Market levels'!AB65)^(1/5)-1,""))</f>
        <v/>
      </c>
      <c r="O65" s="31" t="str">
        <f aca="false">IF($A65="","",IFERROR('Market levels'!AH65/'Market levels'!AG65-1,""))</f>
        <v/>
      </c>
      <c r="P65" s="31" t="str">
        <f aca="false">IF($A65="","",IFERROR(('Market levels'!AM65/'Market levels'!AH65)^(1/5)-1,""))</f>
        <v/>
      </c>
      <c r="Q65" s="29"/>
      <c r="R65" s="33"/>
      <c r="S65" s="33"/>
      <c r="T65" s="33"/>
      <c r="U65" s="33"/>
      <c r="V65" s="33"/>
      <c r="W65" s="17"/>
      <c r="X65" s="17"/>
      <c r="Y65" s="17"/>
      <c r="Z65" s="17"/>
    </row>
  </sheetData>
  <mergeCells count="5">
    <mergeCell ref="A4:D4"/>
    <mergeCell ref="E4:I4"/>
    <mergeCell ref="J4:P4"/>
    <mergeCell ref="Q4:V4"/>
    <mergeCell ref="W4:Z4"/>
  </mergeCells>
  <dataValidations count="3">
    <dataValidation allowBlank="true" errorStyle="stop" operator="between" showDropDown="false" showErrorMessage="false" showInputMessage="false" sqref="C6:C65" type="list">
      <formula1>"Residential,Commercial"</formula1>
      <formula2>0</formula2>
    </dataValidation>
    <dataValidation allowBlank="true" error="Enter a whole score from 1 to 5" errorStyle="stop" errorTitle="Score 1-5" operator="between" showDropDown="false" showErrorMessage="false" showInputMessage="false" sqref="W6:Z65" type="whole">
      <formula1>1</formula1>
      <formula2>5</formula2>
    </dataValidation>
    <dataValidation allowBlank="true" error="Enter a percentage between 0% and 100%" errorStyle="stop" errorTitle="Percentage" operator="between" showDropDown="false" showErrorMessage="false" showInputMessage="false" sqref="U6:V6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AM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39" min="4" style="0" width="10"/>
  </cols>
  <sheetData>
    <row r="1" customFormat="false" ht="27.75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 customFormat="false" ht="18" hidden="false" customHeight="true" outlineLevel="0" collapsed="false">
      <c r="A2" s="3" t="s">
        <v>219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15" hidden="false" customHeight="false" outlineLevel="0" collapsed="false">
      <c r="A3" s="18" t="s">
        <v>220</v>
      </c>
    </row>
    <row r="4" customFormat="false" ht="15" hidden="false" customHeight="true" outlineLevel="0" collapsed="false">
      <c r="D4" s="22" t="s">
        <v>221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3" t="s">
        <v>222</v>
      </c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4" t="s">
        <v>223</v>
      </c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</row>
    <row r="5" customFormat="false" ht="22.35" hidden="false" customHeight="false" outlineLevel="0" collapsed="false">
      <c r="A5" s="19" t="s">
        <v>191</v>
      </c>
      <c r="B5" s="19" t="s">
        <v>193</v>
      </c>
      <c r="C5" s="19" t="s">
        <v>224</v>
      </c>
      <c r="D5" s="34" t="n">
        <f aca="false">Settings!$B$7-6</f>
        <v>2020</v>
      </c>
      <c r="E5" s="34" t="n">
        <f aca="false">Settings!$B$7-5</f>
        <v>2021</v>
      </c>
      <c r="F5" s="34" t="n">
        <f aca="false">Settings!$B$7-4</f>
        <v>2022</v>
      </c>
      <c r="G5" s="34" t="n">
        <f aca="false">Settings!$B$7-3</f>
        <v>2023</v>
      </c>
      <c r="H5" s="34" t="n">
        <f aca="false">Settings!$B$7-2</f>
        <v>2024</v>
      </c>
      <c r="I5" s="34" t="n">
        <f aca="false">Settings!$B$7-1</f>
        <v>2025</v>
      </c>
      <c r="J5" s="35" t="n">
        <f aca="false">Settings!$B$7</f>
        <v>2026</v>
      </c>
      <c r="K5" s="35" t="n">
        <f aca="false">Settings!$B$7+1</f>
        <v>2027</v>
      </c>
      <c r="L5" s="35" t="n">
        <f aca="false">Settings!$B$7+2</f>
        <v>2028</v>
      </c>
      <c r="M5" s="35" t="n">
        <f aca="false">Settings!$B$7+3</f>
        <v>2029</v>
      </c>
      <c r="N5" s="35" t="n">
        <f aca="false">Settings!$B$7+4</f>
        <v>2030</v>
      </c>
      <c r="O5" s="35" t="n">
        <f aca="false">Settings!$B$7+5</f>
        <v>2031</v>
      </c>
      <c r="P5" s="34" t="n">
        <f aca="false">Settings!$B$7-6</f>
        <v>2020</v>
      </c>
      <c r="Q5" s="34" t="n">
        <f aca="false">Settings!$B$7-5</f>
        <v>2021</v>
      </c>
      <c r="R5" s="34" t="n">
        <f aca="false">Settings!$B$7-4</f>
        <v>2022</v>
      </c>
      <c r="S5" s="34" t="n">
        <f aca="false">Settings!$B$7-3</f>
        <v>2023</v>
      </c>
      <c r="T5" s="34" t="n">
        <f aca="false">Settings!$B$7-2</f>
        <v>2024</v>
      </c>
      <c r="U5" s="34" t="n">
        <f aca="false">Settings!$B$7-1</f>
        <v>2025</v>
      </c>
      <c r="V5" s="35" t="n">
        <f aca="false">Settings!$B$7</f>
        <v>2026</v>
      </c>
      <c r="W5" s="35" t="n">
        <f aca="false">Settings!$B$7+1</f>
        <v>2027</v>
      </c>
      <c r="X5" s="35" t="n">
        <f aca="false">Settings!$B$7+2</f>
        <v>2028</v>
      </c>
      <c r="Y5" s="35" t="n">
        <f aca="false">Settings!$B$7+3</f>
        <v>2029</v>
      </c>
      <c r="Z5" s="35" t="n">
        <f aca="false">Settings!$B$7+4</f>
        <v>2030</v>
      </c>
      <c r="AA5" s="35" t="n">
        <f aca="false">Settings!$B$7+5</f>
        <v>2031</v>
      </c>
      <c r="AB5" s="34" t="n">
        <f aca="false">Settings!$B$7-6</f>
        <v>2020</v>
      </c>
      <c r="AC5" s="34" t="n">
        <f aca="false">Settings!$B$7-5</f>
        <v>2021</v>
      </c>
      <c r="AD5" s="34" t="n">
        <f aca="false">Settings!$B$7-4</f>
        <v>2022</v>
      </c>
      <c r="AE5" s="34" t="n">
        <f aca="false">Settings!$B$7-3</f>
        <v>2023</v>
      </c>
      <c r="AF5" s="34" t="n">
        <f aca="false">Settings!$B$7-2</f>
        <v>2024</v>
      </c>
      <c r="AG5" s="34" t="n">
        <f aca="false">Settings!$B$7-1</f>
        <v>2025</v>
      </c>
      <c r="AH5" s="35" t="n">
        <f aca="false">Settings!$B$7</f>
        <v>2026</v>
      </c>
      <c r="AI5" s="35" t="n">
        <f aca="false">Settings!$B$7+1</f>
        <v>2027</v>
      </c>
      <c r="AJ5" s="35" t="n">
        <f aca="false">Settings!$B$7+2</f>
        <v>2028</v>
      </c>
      <c r="AK5" s="35" t="n">
        <f aca="false">Settings!$B$7+3</f>
        <v>2029</v>
      </c>
      <c r="AL5" s="35" t="n">
        <f aca="false">Settings!$B$7+4</f>
        <v>2030</v>
      </c>
      <c r="AM5" s="35" t="n">
        <f aca="false">Settings!$B$7+5</f>
        <v>2031</v>
      </c>
    </row>
    <row r="6" customFormat="false" ht="15" hidden="false" customHeight="false" outlineLevel="0" collapsed="false">
      <c r="A6" s="36" t="str">
        <f aca="false">IF('Raw data'!$A6="","",'Raw data'!$A6)</f>
        <v>Poland</v>
      </c>
      <c r="B6" s="36" t="str">
        <f aca="false">IF($A6="","",'Raw data'!$C6)</f>
        <v>Residential</v>
      </c>
      <c r="C6" s="36" t="str">
        <f aca="false">IF($A6="","",IF('Raw data'!$D6="",$A6,'Raw data'!$D6))</f>
        <v>Poland</v>
      </c>
      <c r="D6" s="37" t="n">
        <f aca="false">IF($A6="","",IF(AND(ISNUMBER(P6),ISNUMBER(AB6)),P6+AB6,""))</f>
        <v>11403.86</v>
      </c>
      <c r="E6" s="37" t="n">
        <f aca="false">IF($A6="","",IF(AND(ISNUMBER(Q6),ISNUMBER(AC6)),Q6+AC6,""))</f>
        <v>12741.87</v>
      </c>
      <c r="F6" s="37" t="n">
        <f aca="false">IF($A6="","",IF(AND(ISNUMBER(R6),ISNUMBER(AD6)),R6+AD6,""))</f>
        <v>13190.07</v>
      </c>
      <c r="G6" s="37" t="n">
        <f aca="false">IF($A6="","",IF(AND(ISNUMBER(S6),ISNUMBER(AE6)),S6+AE6,""))</f>
        <v>12256.2</v>
      </c>
      <c r="H6" s="37" t="n">
        <f aca="false">IF($A6="","",IF(AND(ISNUMBER(T6),ISNUMBER(AF6)),T6+AF6,""))</f>
        <v>10705.75</v>
      </c>
      <c r="I6" s="37" t="n">
        <f aca="false">IF($A6="","",IF(AND(ISNUMBER(U6),ISNUMBER(AG6)),U6+AG6,""))</f>
        <v>10329.28</v>
      </c>
      <c r="J6" s="37" t="n">
        <f aca="false">IF($A6="","",IF(AND(ISNUMBER(V6),ISNUMBER(AH6)),V6+AH6,""))</f>
        <v>11005.13</v>
      </c>
      <c r="K6" s="37" t="n">
        <f aca="false">IF($A6="","",IF(AND(ISNUMBER(W6),ISNUMBER(AI6)),W6+AI6,""))</f>
        <v>11536</v>
      </c>
      <c r="L6" s="37" t="n">
        <f aca="false">IF($A6="","",IF(AND(ISNUMBER(X6),ISNUMBER(AJ6)),X6+AJ6,""))</f>
        <v>11749.98</v>
      </c>
      <c r="M6" s="37" t="n">
        <f aca="false">IF($A6="","",IF(AND(ISNUMBER(Y6),ISNUMBER(AK6)),Y6+AK6,""))</f>
        <v>12006.34</v>
      </c>
      <c r="N6" s="37" t="n">
        <f aca="false">IF($A6="","",IF(AND(ISNUMBER(Z6),ISNUMBER(AL6)),Z6+AL6,""))</f>
        <v>12173.05</v>
      </c>
      <c r="O6" s="37" t="n">
        <f aca="false">IF($A6="","",IF(AND(ISNUMBER(AA6),ISNUMBER(AM6)),AA6+AM6,""))</f>
        <v>12300.28</v>
      </c>
      <c r="P6" s="37" t="n">
        <f aca="false">IF($A6="","",IFERROR(1/(1/IF($B6="Residential",SUMIFS(INDEX('Oxford Economics'!$A$7:$AZ$1000,0,IFERROR(MATCH(P$5,'Oxford Economics'!$A$6:$AZ$6,0),MATCH(P$5&amp;"",'Oxford Economics'!$A$6:$AZ$6,0))),'Oxford Economics'!$A$7:$A$1000,$C6,'Oxford Economics'!$B$7:$B$1000,Settings!$B$12)-SUMIFS(INDEX('Oxford Economics'!$A$7:$AZ$1000,0,IFERROR(MATCH(P$5,'Oxford Economics'!$A$6:$AZ$6,0),MATCH(P$5&amp;"",'Oxford Economics'!$A$6:$AZ$6,0))),'Oxford Economics'!$A$7:$A$1000,$C6,'Oxford Economics'!$B$7:$B$1000,Settings!$B$14),SUMIFS(INDEX('Oxford Economics'!$A$7:$AZ$1000,0,IFERROR(MATCH(P$5,'Oxford Economics'!$A$6:$AZ$6,0),MATCH(P$5&amp;"",'Oxford Economics'!$A$6:$AZ$6,0))),'Oxford Economics'!$A$7:$A$1000,$C6,'Oxford Economics'!$B$7:$B$1000,Settings!$B$14)+SUMIFS(INDEX('Oxford Economics'!$A$7:$AZ$1000,0,IFERROR(MATCH(P$5,'Oxford Economics'!$A$6:$AZ$6,0),MATCH(P$5&amp;"",'Oxford Economics'!$A$6:$AZ$6,0))),'Oxford Economics'!$A$7:$A$1000,$C6,'Oxford Economics'!$B$7:$B$1000,Settings!$B$16)+IF(Settings!$B$18="",0,SUMIFS(INDEX('Oxford Economics'!$A$7:$AZ$1000,0,IFERROR(MATCH(P$5,'Oxford Economics'!$A$6:$AZ$6,0),MATCH(P$5&amp;"",'Oxford Economics'!$A$6:$AZ$6,0))),'Oxford Economics'!$A$7:$A$1000,$C6,'Oxford Economics'!$B$7:$B$1000,Settings!$B$18)))),""))</f>
        <v>4955.49</v>
      </c>
      <c r="Q6" s="37" t="n">
        <f aca="false">IF($A6="","",IFERROR(1/(1/IF($B6="Residential",SUMIFS(INDEX('Oxford Economics'!$A$7:$AZ$1000,0,IFERROR(MATCH(Q$5,'Oxford Economics'!$A$6:$AZ$6,0),MATCH(Q$5&amp;"",'Oxford Economics'!$A$6:$AZ$6,0))),'Oxford Economics'!$A$7:$A$1000,$C6,'Oxford Economics'!$B$7:$B$1000,Settings!$B$12)-SUMIFS(INDEX('Oxford Economics'!$A$7:$AZ$1000,0,IFERROR(MATCH(Q$5,'Oxford Economics'!$A$6:$AZ$6,0),MATCH(Q$5&amp;"",'Oxford Economics'!$A$6:$AZ$6,0))),'Oxford Economics'!$A$7:$A$1000,$C6,'Oxford Economics'!$B$7:$B$1000,Settings!$B$14),SUMIFS(INDEX('Oxford Economics'!$A$7:$AZ$1000,0,IFERROR(MATCH(Q$5,'Oxford Economics'!$A$6:$AZ$6,0),MATCH(Q$5&amp;"",'Oxford Economics'!$A$6:$AZ$6,0))),'Oxford Economics'!$A$7:$A$1000,$C6,'Oxford Economics'!$B$7:$B$1000,Settings!$B$14)+SUMIFS(INDEX('Oxford Economics'!$A$7:$AZ$1000,0,IFERROR(MATCH(Q$5,'Oxford Economics'!$A$6:$AZ$6,0),MATCH(Q$5&amp;"",'Oxford Economics'!$A$6:$AZ$6,0))),'Oxford Economics'!$A$7:$A$1000,$C6,'Oxford Economics'!$B$7:$B$1000,Settings!$B$16)+IF(Settings!$B$18="",0,SUMIFS(INDEX('Oxford Economics'!$A$7:$AZ$1000,0,IFERROR(MATCH(Q$5,'Oxford Economics'!$A$6:$AZ$6,0),MATCH(Q$5&amp;"",'Oxford Economics'!$A$6:$AZ$6,0))),'Oxford Economics'!$A$7:$A$1000,$C6,'Oxford Economics'!$B$7:$B$1000,Settings!$B$18)))),""))</f>
        <v>5528.95</v>
      </c>
      <c r="R6" s="37" t="n">
        <f aca="false">IF($A6="","",IFERROR(1/(1/IF($B6="Residential",SUMIFS(INDEX('Oxford Economics'!$A$7:$AZ$1000,0,IFERROR(MATCH(R$5,'Oxford Economics'!$A$6:$AZ$6,0),MATCH(R$5&amp;"",'Oxford Economics'!$A$6:$AZ$6,0))),'Oxford Economics'!$A$7:$A$1000,$C6,'Oxford Economics'!$B$7:$B$1000,Settings!$B$12)-SUMIFS(INDEX('Oxford Economics'!$A$7:$AZ$1000,0,IFERROR(MATCH(R$5,'Oxford Economics'!$A$6:$AZ$6,0),MATCH(R$5&amp;"",'Oxford Economics'!$A$6:$AZ$6,0))),'Oxford Economics'!$A$7:$A$1000,$C6,'Oxford Economics'!$B$7:$B$1000,Settings!$B$14),SUMIFS(INDEX('Oxford Economics'!$A$7:$AZ$1000,0,IFERROR(MATCH(R$5,'Oxford Economics'!$A$6:$AZ$6,0),MATCH(R$5&amp;"",'Oxford Economics'!$A$6:$AZ$6,0))),'Oxford Economics'!$A$7:$A$1000,$C6,'Oxford Economics'!$B$7:$B$1000,Settings!$B$14)+SUMIFS(INDEX('Oxford Economics'!$A$7:$AZ$1000,0,IFERROR(MATCH(R$5,'Oxford Economics'!$A$6:$AZ$6,0),MATCH(R$5&amp;"",'Oxford Economics'!$A$6:$AZ$6,0))),'Oxford Economics'!$A$7:$A$1000,$C6,'Oxford Economics'!$B$7:$B$1000,Settings!$B$16)+IF(Settings!$B$18="",0,SUMIFS(INDEX('Oxford Economics'!$A$7:$AZ$1000,0,IFERROR(MATCH(R$5,'Oxford Economics'!$A$6:$AZ$6,0),MATCH(R$5&amp;"",'Oxford Economics'!$A$6:$AZ$6,0))),'Oxford Economics'!$A$7:$A$1000,$C6,'Oxford Economics'!$B$7:$B$1000,Settings!$B$18)))),""))</f>
        <v>6104.35</v>
      </c>
      <c r="S6" s="37" t="n">
        <f aca="false">IF($A6="","",IFERROR(1/(1/IF($B6="Residential",SUMIFS(INDEX('Oxford Economics'!$A$7:$AZ$1000,0,IFERROR(MATCH(S$5,'Oxford Economics'!$A$6:$AZ$6,0),MATCH(S$5&amp;"",'Oxford Economics'!$A$6:$AZ$6,0))),'Oxford Economics'!$A$7:$A$1000,$C6,'Oxford Economics'!$B$7:$B$1000,Settings!$B$12)-SUMIFS(INDEX('Oxford Economics'!$A$7:$AZ$1000,0,IFERROR(MATCH(S$5,'Oxford Economics'!$A$6:$AZ$6,0),MATCH(S$5&amp;"",'Oxford Economics'!$A$6:$AZ$6,0))),'Oxford Economics'!$A$7:$A$1000,$C6,'Oxford Economics'!$B$7:$B$1000,Settings!$B$14),SUMIFS(INDEX('Oxford Economics'!$A$7:$AZ$1000,0,IFERROR(MATCH(S$5,'Oxford Economics'!$A$6:$AZ$6,0),MATCH(S$5&amp;"",'Oxford Economics'!$A$6:$AZ$6,0))),'Oxford Economics'!$A$7:$A$1000,$C6,'Oxford Economics'!$B$7:$B$1000,Settings!$B$14)+SUMIFS(INDEX('Oxford Economics'!$A$7:$AZ$1000,0,IFERROR(MATCH(S$5,'Oxford Economics'!$A$6:$AZ$6,0),MATCH(S$5&amp;"",'Oxford Economics'!$A$6:$AZ$6,0))),'Oxford Economics'!$A$7:$A$1000,$C6,'Oxford Economics'!$B$7:$B$1000,Settings!$B$16)+IF(Settings!$B$18="",0,SUMIFS(INDEX('Oxford Economics'!$A$7:$AZ$1000,0,IFERROR(MATCH(S$5,'Oxford Economics'!$A$6:$AZ$6,0),MATCH(S$5&amp;"",'Oxford Economics'!$A$6:$AZ$6,0))),'Oxford Economics'!$A$7:$A$1000,$C6,'Oxford Economics'!$B$7:$B$1000,Settings!$B$18)))),""))</f>
        <v>6328.52</v>
      </c>
      <c r="T6" s="37" t="n">
        <f aca="false">IF($A6="","",IFERROR(1/(1/IF($B6="Residential",SUMIFS(INDEX('Oxford Economics'!$A$7:$AZ$1000,0,IFERROR(MATCH(T$5,'Oxford Economics'!$A$6:$AZ$6,0),MATCH(T$5&amp;"",'Oxford Economics'!$A$6:$AZ$6,0))),'Oxford Economics'!$A$7:$A$1000,$C6,'Oxford Economics'!$B$7:$B$1000,Settings!$B$12)-SUMIFS(INDEX('Oxford Economics'!$A$7:$AZ$1000,0,IFERROR(MATCH(T$5,'Oxford Economics'!$A$6:$AZ$6,0),MATCH(T$5&amp;"",'Oxford Economics'!$A$6:$AZ$6,0))),'Oxford Economics'!$A$7:$A$1000,$C6,'Oxford Economics'!$B$7:$B$1000,Settings!$B$14),SUMIFS(INDEX('Oxford Economics'!$A$7:$AZ$1000,0,IFERROR(MATCH(T$5,'Oxford Economics'!$A$6:$AZ$6,0),MATCH(T$5&amp;"",'Oxford Economics'!$A$6:$AZ$6,0))),'Oxford Economics'!$A$7:$A$1000,$C6,'Oxford Economics'!$B$7:$B$1000,Settings!$B$14)+SUMIFS(INDEX('Oxford Economics'!$A$7:$AZ$1000,0,IFERROR(MATCH(T$5,'Oxford Economics'!$A$6:$AZ$6,0),MATCH(T$5&amp;"",'Oxford Economics'!$A$6:$AZ$6,0))),'Oxford Economics'!$A$7:$A$1000,$C6,'Oxford Economics'!$B$7:$B$1000,Settings!$B$16)+IF(Settings!$B$18="",0,SUMIFS(INDEX('Oxford Economics'!$A$7:$AZ$1000,0,IFERROR(MATCH(T$5,'Oxford Economics'!$A$6:$AZ$6,0),MATCH(T$5&amp;"",'Oxford Economics'!$A$6:$AZ$6,0))),'Oxford Economics'!$A$7:$A$1000,$C6,'Oxford Economics'!$B$7:$B$1000,Settings!$B$18)))),""))</f>
        <v>5426.79</v>
      </c>
      <c r="U6" s="37" t="n">
        <f aca="false">IF($A6="","",IFERROR(1/(1/IF($B6="Residential",SUMIFS(INDEX('Oxford Economics'!$A$7:$AZ$1000,0,IFERROR(MATCH(U$5,'Oxford Economics'!$A$6:$AZ$6,0),MATCH(U$5&amp;"",'Oxford Economics'!$A$6:$AZ$6,0))),'Oxford Economics'!$A$7:$A$1000,$C6,'Oxford Economics'!$B$7:$B$1000,Settings!$B$12)-SUMIFS(INDEX('Oxford Economics'!$A$7:$AZ$1000,0,IFERROR(MATCH(U$5,'Oxford Economics'!$A$6:$AZ$6,0),MATCH(U$5&amp;"",'Oxford Economics'!$A$6:$AZ$6,0))),'Oxford Economics'!$A$7:$A$1000,$C6,'Oxford Economics'!$B$7:$B$1000,Settings!$B$14),SUMIFS(INDEX('Oxford Economics'!$A$7:$AZ$1000,0,IFERROR(MATCH(U$5,'Oxford Economics'!$A$6:$AZ$6,0),MATCH(U$5&amp;"",'Oxford Economics'!$A$6:$AZ$6,0))),'Oxford Economics'!$A$7:$A$1000,$C6,'Oxford Economics'!$B$7:$B$1000,Settings!$B$14)+SUMIFS(INDEX('Oxford Economics'!$A$7:$AZ$1000,0,IFERROR(MATCH(U$5,'Oxford Economics'!$A$6:$AZ$6,0),MATCH(U$5&amp;"",'Oxford Economics'!$A$6:$AZ$6,0))),'Oxford Economics'!$A$7:$A$1000,$C6,'Oxford Economics'!$B$7:$B$1000,Settings!$B$16)+IF(Settings!$B$18="",0,SUMIFS(INDEX('Oxford Economics'!$A$7:$AZ$1000,0,IFERROR(MATCH(U$5,'Oxford Economics'!$A$6:$AZ$6,0),MATCH(U$5&amp;"",'Oxford Economics'!$A$6:$AZ$6,0))),'Oxford Economics'!$A$7:$A$1000,$C6,'Oxford Economics'!$B$7:$B$1000,Settings!$B$18)))),""))</f>
        <v>5501.24</v>
      </c>
      <c r="V6" s="37" t="n">
        <f aca="false">IF($A6="","",IFERROR(1/(1/IF($B6="Residential",SUMIFS(INDEX('Oxford Economics'!$A$7:$AZ$1000,0,IFERROR(MATCH(V$5,'Oxford Economics'!$A$6:$AZ$6,0),MATCH(V$5&amp;"",'Oxford Economics'!$A$6:$AZ$6,0))),'Oxford Economics'!$A$7:$A$1000,$C6,'Oxford Economics'!$B$7:$B$1000,Settings!$B$12)-SUMIFS(INDEX('Oxford Economics'!$A$7:$AZ$1000,0,IFERROR(MATCH(V$5,'Oxford Economics'!$A$6:$AZ$6,0),MATCH(V$5&amp;"",'Oxford Economics'!$A$6:$AZ$6,0))),'Oxford Economics'!$A$7:$A$1000,$C6,'Oxford Economics'!$B$7:$B$1000,Settings!$B$14),SUMIFS(INDEX('Oxford Economics'!$A$7:$AZ$1000,0,IFERROR(MATCH(V$5,'Oxford Economics'!$A$6:$AZ$6,0),MATCH(V$5&amp;"",'Oxford Economics'!$A$6:$AZ$6,0))),'Oxford Economics'!$A$7:$A$1000,$C6,'Oxford Economics'!$B$7:$B$1000,Settings!$B$14)+SUMIFS(INDEX('Oxford Economics'!$A$7:$AZ$1000,0,IFERROR(MATCH(V$5,'Oxford Economics'!$A$6:$AZ$6,0),MATCH(V$5&amp;"",'Oxford Economics'!$A$6:$AZ$6,0))),'Oxford Economics'!$A$7:$A$1000,$C6,'Oxford Economics'!$B$7:$B$1000,Settings!$B$16)+IF(Settings!$B$18="",0,SUMIFS(INDEX('Oxford Economics'!$A$7:$AZ$1000,0,IFERROR(MATCH(V$5,'Oxford Economics'!$A$6:$AZ$6,0),MATCH(V$5&amp;"",'Oxford Economics'!$A$6:$AZ$6,0))),'Oxford Economics'!$A$7:$A$1000,$C6,'Oxford Economics'!$B$7:$B$1000,Settings!$B$18)))),""))</f>
        <v>6523.65</v>
      </c>
      <c r="W6" s="37" t="n">
        <f aca="false">IF($A6="","",IFERROR(1/(1/IF($B6="Residential",SUMIFS(INDEX('Oxford Economics'!$A$7:$AZ$1000,0,IFERROR(MATCH(W$5,'Oxford Economics'!$A$6:$AZ$6,0),MATCH(W$5&amp;"",'Oxford Economics'!$A$6:$AZ$6,0))),'Oxford Economics'!$A$7:$A$1000,$C6,'Oxford Economics'!$B$7:$B$1000,Settings!$B$12)-SUMIFS(INDEX('Oxford Economics'!$A$7:$AZ$1000,0,IFERROR(MATCH(W$5,'Oxford Economics'!$A$6:$AZ$6,0),MATCH(W$5&amp;"",'Oxford Economics'!$A$6:$AZ$6,0))),'Oxford Economics'!$A$7:$A$1000,$C6,'Oxford Economics'!$B$7:$B$1000,Settings!$B$14),SUMIFS(INDEX('Oxford Economics'!$A$7:$AZ$1000,0,IFERROR(MATCH(W$5,'Oxford Economics'!$A$6:$AZ$6,0),MATCH(W$5&amp;"",'Oxford Economics'!$A$6:$AZ$6,0))),'Oxford Economics'!$A$7:$A$1000,$C6,'Oxford Economics'!$B$7:$B$1000,Settings!$B$14)+SUMIFS(INDEX('Oxford Economics'!$A$7:$AZ$1000,0,IFERROR(MATCH(W$5,'Oxford Economics'!$A$6:$AZ$6,0),MATCH(W$5&amp;"",'Oxford Economics'!$A$6:$AZ$6,0))),'Oxford Economics'!$A$7:$A$1000,$C6,'Oxford Economics'!$B$7:$B$1000,Settings!$B$16)+IF(Settings!$B$18="",0,SUMIFS(INDEX('Oxford Economics'!$A$7:$AZ$1000,0,IFERROR(MATCH(W$5,'Oxford Economics'!$A$6:$AZ$6,0),MATCH(W$5&amp;"",'Oxford Economics'!$A$6:$AZ$6,0))),'Oxford Economics'!$A$7:$A$1000,$C6,'Oxford Economics'!$B$7:$B$1000,Settings!$B$18)))),""))</f>
        <v>7133.31</v>
      </c>
      <c r="X6" s="37" t="n">
        <f aca="false">IF($A6="","",IFERROR(1/(1/IF($B6="Residential",SUMIFS(INDEX('Oxford Economics'!$A$7:$AZ$1000,0,IFERROR(MATCH(X$5,'Oxford Economics'!$A$6:$AZ$6,0),MATCH(X$5&amp;"",'Oxford Economics'!$A$6:$AZ$6,0))),'Oxford Economics'!$A$7:$A$1000,$C6,'Oxford Economics'!$B$7:$B$1000,Settings!$B$12)-SUMIFS(INDEX('Oxford Economics'!$A$7:$AZ$1000,0,IFERROR(MATCH(X$5,'Oxford Economics'!$A$6:$AZ$6,0),MATCH(X$5&amp;"",'Oxford Economics'!$A$6:$AZ$6,0))),'Oxford Economics'!$A$7:$A$1000,$C6,'Oxford Economics'!$B$7:$B$1000,Settings!$B$14),SUMIFS(INDEX('Oxford Economics'!$A$7:$AZ$1000,0,IFERROR(MATCH(X$5,'Oxford Economics'!$A$6:$AZ$6,0),MATCH(X$5&amp;"",'Oxford Economics'!$A$6:$AZ$6,0))),'Oxford Economics'!$A$7:$A$1000,$C6,'Oxford Economics'!$B$7:$B$1000,Settings!$B$14)+SUMIFS(INDEX('Oxford Economics'!$A$7:$AZ$1000,0,IFERROR(MATCH(X$5,'Oxford Economics'!$A$6:$AZ$6,0),MATCH(X$5&amp;"",'Oxford Economics'!$A$6:$AZ$6,0))),'Oxford Economics'!$A$7:$A$1000,$C6,'Oxford Economics'!$B$7:$B$1000,Settings!$B$16)+IF(Settings!$B$18="",0,SUMIFS(INDEX('Oxford Economics'!$A$7:$AZ$1000,0,IFERROR(MATCH(X$5,'Oxford Economics'!$A$6:$AZ$6,0),MATCH(X$5&amp;"",'Oxford Economics'!$A$6:$AZ$6,0))),'Oxford Economics'!$A$7:$A$1000,$C6,'Oxford Economics'!$B$7:$B$1000,Settings!$B$18)))),""))</f>
        <v>7143.19</v>
      </c>
      <c r="Y6" s="37" t="n">
        <f aca="false">IF($A6="","",IFERROR(1/(1/IF($B6="Residential",SUMIFS(INDEX('Oxford Economics'!$A$7:$AZ$1000,0,IFERROR(MATCH(Y$5,'Oxford Economics'!$A$6:$AZ$6,0),MATCH(Y$5&amp;"",'Oxford Economics'!$A$6:$AZ$6,0))),'Oxford Economics'!$A$7:$A$1000,$C6,'Oxford Economics'!$B$7:$B$1000,Settings!$B$12)-SUMIFS(INDEX('Oxford Economics'!$A$7:$AZ$1000,0,IFERROR(MATCH(Y$5,'Oxford Economics'!$A$6:$AZ$6,0),MATCH(Y$5&amp;"",'Oxford Economics'!$A$6:$AZ$6,0))),'Oxford Economics'!$A$7:$A$1000,$C6,'Oxford Economics'!$B$7:$B$1000,Settings!$B$14),SUMIFS(INDEX('Oxford Economics'!$A$7:$AZ$1000,0,IFERROR(MATCH(Y$5,'Oxford Economics'!$A$6:$AZ$6,0),MATCH(Y$5&amp;"",'Oxford Economics'!$A$6:$AZ$6,0))),'Oxford Economics'!$A$7:$A$1000,$C6,'Oxford Economics'!$B$7:$B$1000,Settings!$B$14)+SUMIFS(INDEX('Oxford Economics'!$A$7:$AZ$1000,0,IFERROR(MATCH(Y$5,'Oxford Economics'!$A$6:$AZ$6,0),MATCH(Y$5&amp;"",'Oxford Economics'!$A$6:$AZ$6,0))),'Oxford Economics'!$A$7:$A$1000,$C6,'Oxford Economics'!$B$7:$B$1000,Settings!$B$16)+IF(Settings!$B$18="",0,SUMIFS(INDEX('Oxford Economics'!$A$7:$AZ$1000,0,IFERROR(MATCH(Y$5,'Oxford Economics'!$A$6:$AZ$6,0),MATCH(Y$5&amp;"",'Oxford Economics'!$A$6:$AZ$6,0))),'Oxford Economics'!$A$7:$A$1000,$C6,'Oxford Economics'!$B$7:$B$1000,Settings!$B$18)))),""))</f>
        <v>7123.88</v>
      </c>
      <c r="Z6" s="37" t="n">
        <f aca="false">IF($A6="","",IFERROR(1/(1/IF($B6="Residential",SUMIFS(INDEX('Oxford Economics'!$A$7:$AZ$1000,0,IFERROR(MATCH(Z$5,'Oxford Economics'!$A$6:$AZ$6,0),MATCH(Z$5&amp;"",'Oxford Economics'!$A$6:$AZ$6,0))),'Oxford Economics'!$A$7:$A$1000,$C6,'Oxford Economics'!$B$7:$B$1000,Settings!$B$12)-SUMIFS(INDEX('Oxford Economics'!$A$7:$AZ$1000,0,IFERROR(MATCH(Z$5,'Oxford Economics'!$A$6:$AZ$6,0),MATCH(Z$5&amp;"",'Oxford Economics'!$A$6:$AZ$6,0))),'Oxford Economics'!$A$7:$A$1000,$C6,'Oxford Economics'!$B$7:$B$1000,Settings!$B$14),SUMIFS(INDEX('Oxford Economics'!$A$7:$AZ$1000,0,IFERROR(MATCH(Z$5,'Oxford Economics'!$A$6:$AZ$6,0),MATCH(Z$5&amp;"",'Oxford Economics'!$A$6:$AZ$6,0))),'Oxford Economics'!$A$7:$A$1000,$C6,'Oxford Economics'!$B$7:$B$1000,Settings!$B$14)+SUMIFS(INDEX('Oxford Economics'!$A$7:$AZ$1000,0,IFERROR(MATCH(Z$5,'Oxford Economics'!$A$6:$AZ$6,0),MATCH(Z$5&amp;"",'Oxford Economics'!$A$6:$AZ$6,0))),'Oxford Economics'!$A$7:$A$1000,$C6,'Oxford Economics'!$B$7:$B$1000,Settings!$B$16)+IF(Settings!$B$18="",0,SUMIFS(INDEX('Oxford Economics'!$A$7:$AZ$1000,0,IFERROR(MATCH(Z$5,'Oxford Economics'!$A$6:$AZ$6,0),MATCH(Z$5&amp;"",'Oxford Economics'!$A$6:$AZ$6,0))),'Oxford Economics'!$A$7:$A$1000,$C6,'Oxford Economics'!$B$7:$B$1000,Settings!$B$18)))),""))</f>
        <v>7037.25</v>
      </c>
      <c r="AA6" s="37" t="n">
        <f aca="false">IF($A6="","",IFERROR(1/(1/IF($B6="Residential",SUMIFS(INDEX('Oxford Economics'!$A$7:$AZ$1000,0,IFERROR(MATCH(AA$5,'Oxford Economics'!$A$6:$AZ$6,0),MATCH(AA$5&amp;"",'Oxford Economics'!$A$6:$AZ$6,0))),'Oxford Economics'!$A$7:$A$1000,$C6,'Oxford Economics'!$B$7:$B$1000,Settings!$B$12)-SUMIFS(INDEX('Oxford Economics'!$A$7:$AZ$1000,0,IFERROR(MATCH(AA$5,'Oxford Economics'!$A$6:$AZ$6,0),MATCH(AA$5&amp;"",'Oxford Economics'!$A$6:$AZ$6,0))),'Oxford Economics'!$A$7:$A$1000,$C6,'Oxford Economics'!$B$7:$B$1000,Settings!$B$14),SUMIFS(INDEX('Oxford Economics'!$A$7:$AZ$1000,0,IFERROR(MATCH(AA$5,'Oxford Economics'!$A$6:$AZ$6,0),MATCH(AA$5&amp;"",'Oxford Economics'!$A$6:$AZ$6,0))),'Oxford Economics'!$A$7:$A$1000,$C6,'Oxford Economics'!$B$7:$B$1000,Settings!$B$14)+SUMIFS(INDEX('Oxford Economics'!$A$7:$AZ$1000,0,IFERROR(MATCH(AA$5,'Oxford Economics'!$A$6:$AZ$6,0),MATCH(AA$5&amp;"",'Oxford Economics'!$A$6:$AZ$6,0))),'Oxford Economics'!$A$7:$A$1000,$C6,'Oxford Economics'!$B$7:$B$1000,Settings!$B$16)+IF(Settings!$B$18="",0,SUMIFS(INDEX('Oxford Economics'!$A$7:$AZ$1000,0,IFERROR(MATCH(AA$5,'Oxford Economics'!$A$6:$AZ$6,0),MATCH(AA$5&amp;"",'Oxford Economics'!$A$6:$AZ$6,0))),'Oxford Economics'!$A$7:$A$1000,$C6,'Oxford Economics'!$B$7:$B$1000,Settings!$B$18)))),""))</f>
        <v>6999.5</v>
      </c>
      <c r="AB6" s="37" t="n">
        <f aca="false">IF($A6="","",IFERROR(1/(1/IF($B6="Residential",SUMIFS(INDEX('Oxford Economics'!$A$7:$AZ$1000,0,IFERROR(MATCH(AB$5,'Oxford Economics'!$A$6:$AZ$6,0),MATCH(AB$5&amp;"",'Oxford Economics'!$A$6:$AZ$6,0))),'Oxford Economics'!$A$7:$A$1000,$C6,'Oxford Economics'!$B$7:$B$1000,Settings!$B$11)-SUMIFS(INDEX('Oxford Economics'!$A$7:$AZ$1000,0,IFERROR(MATCH(AB$5,'Oxford Economics'!$A$6:$AZ$6,0),MATCH(AB$5&amp;"",'Oxford Economics'!$A$6:$AZ$6,0))),'Oxford Economics'!$A$7:$A$1000,$C6,'Oxford Economics'!$B$7:$B$1000,Settings!$B$13),SUMIFS(INDEX('Oxford Economics'!$A$7:$AZ$1000,0,IFERROR(MATCH(AB$5,'Oxford Economics'!$A$6:$AZ$6,0),MATCH(AB$5&amp;"",'Oxford Economics'!$A$6:$AZ$6,0))),'Oxford Economics'!$A$7:$A$1000,$C6,'Oxford Economics'!$B$7:$B$1000,Settings!$B$13)+SUMIFS(INDEX('Oxford Economics'!$A$7:$AZ$1000,0,IFERROR(MATCH(AB$5,'Oxford Economics'!$A$6:$AZ$6,0),MATCH(AB$5&amp;"",'Oxford Economics'!$A$6:$AZ$6,0))),'Oxford Economics'!$A$7:$A$1000,$C6,'Oxford Economics'!$B$7:$B$1000,Settings!$B$15)+IF(Settings!$B$17="",0,SUMIFS(INDEX('Oxford Economics'!$A$7:$AZ$1000,0,IFERROR(MATCH(AB$5,'Oxford Economics'!$A$6:$AZ$6,0),MATCH(AB$5&amp;"",'Oxford Economics'!$A$6:$AZ$6,0))),'Oxford Economics'!$A$7:$A$1000,$C6,'Oxford Economics'!$B$7:$B$1000,Settings!$B$17)))),""))</f>
        <v>6448.37</v>
      </c>
      <c r="AC6" s="37" t="n">
        <f aca="false">IF($A6="","",IFERROR(1/(1/IF($B6="Residential",SUMIFS(INDEX('Oxford Economics'!$A$7:$AZ$1000,0,IFERROR(MATCH(AC$5,'Oxford Economics'!$A$6:$AZ$6,0),MATCH(AC$5&amp;"",'Oxford Economics'!$A$6:$AZ$6,0))),'Oxford Economics'!$A$7:$A$1000,$C6,'Oxford Economics'!$B$7:$B$1000,Settings!$B$11)-SUMIFS(INDEX('Oxford Economics'!$A$7:$AZ$1000,0,IFERROR(MATCH(AC$5,'Oxford Economics'!$A$6:$AZ$6,0),MATCH(AC$5&amp;"",'Oxford Economics'!$A$6:$AZ$6,0))),'Oxford Economics'!$A$7:$A$1000,$C6,'Oxford Economics'!$B$7:$B$1000,Settings!$B$13),SUMIFS(INDEX('Oxford Economics'!$A$7:$AZ$1000,0,IFERROR(MATCH(AC$5,'Oxford Economics'!$A$6:$AZ$6,0),MATCH(AC$5&amp;"",'Oxford Economics'!$A$6:$AZ$6,0))),'Oxford Economics'!$A$7:$A$1000,$C6,'Oxford Economics'!$B$7:$B$1000,Settings!$B$13)+SUMIFS(INDEX('Oxford Economics'!$A$7:$AZ$1000,0,IFERROR(MATCH(AC$5,'Oxford Economics'!$A$6:$AZ$6,0),MATCH(AC$5&amp;"",'Oxford Economics'!$A$6:$AZ$6,0))),'Oxford Economics'!$A$7:$A$1000,$C6,'Oxford Economics'!$B$7:$B$1000,Settings!$B$15)+IF(Settings!$B$17="",0,SUMIFS(INDEX('Oxford Economics'!$A$7:$AZ$1000,0,IFERROR(MATCH(AC$5,'Oxford Economics'!$A$6:$AZ$6,0),MATCH(AC$5&amp;"",'Oxford Economics'!$A$6:$AZ$6,0))),'Oxford Economics'!$A$7:$A$1000,$C6,'Oxford Economics'!$B$7:$B$1000,Settings!$B$17)))),""))</f>
        <v>7212.92</v>
      </c>
      <c r="AD6" s="37" t="n">
        <f aca="false">IF($A6="","",IFERROR(1/(1/IF($B6="Residential",SUMIFS(INDEX('Oxford Economics'!$A$7:$AZ$1000,0,IFERROR(MATCH(AD$5,'Oxford Economics'!$A$6:$AZ$6,0),MATCH(AD$5&amp;"",'Oxford Economics'!$A$6:$AZ$6,0))),'Oxford Economics'!$A$7:$A$1000,$C6,'Oxford Economics'!$B$7:$B$1000,Settings!$B$11)-SUMIFS(INDEX('Oxford Economics'!$A$7:$AZ$1000,0,IFERROR(MATCH(AD$5,'Oxford Economics'!$A$6:$AZ$6,0),MATCH(AD$5&amp;"",'Oxford Economics'!$A$6:$AZ$6,0))),'Oxford Economics'!$A$7:$A$1000,$C6,'Oxford Economics'!$B$7:$B$1000,Settings!$B$13),SUMIFS(INDEX('Oxford Economics'!$A$7:$AZ$1000,0,IFERROR(MATCH(AD$5,'Oxford Economics'!$A$6:$AZ$6,0),MATCH(AD$5&amp;"",'Oxford Economics'!$A$6:$AZ$6,0))),'Oxford Economics'!$A$7:$A$1000,$C6,'Oxford Economics'!$B$7:$B$1000,Settings!$B$13)+SUMIFS(INDEX('Oxford Economics'!$A$7:$AZ$1000,0,IFERROR(MATCH(AD$5,'Oxford Economics'!$A$6:$AZ$6,0),MATCH(AD$5&amp;"",'Oxford Economics'!$A$6:$AZ$6,0))),'Oxford Economics'!$A$7:$A$1000,$C6,'Oxford Economics'!$B$7:$B$1000,Settings!$B$15)+IF(Settings!$B$17="",0,SUMIFS(INDEX('Oxford Economics'!$A$7:$AZ$1000,0,IFERROR(MATCH(AD$5,'Oxford Economics'!$A$6:$AZ$6,0),MATCH(AD$5&amp;"",'Oxford Economics'!$A$6:$AZ$6,0))),'Oxford Economics'!$A$7:$A$1000,$C6,'Oxford Economics'!$B$7:$B$1000,Settings!$B$17)))),""))</f>
        <v>7085.72</v>
      </c>
      <c r="AE6" s="37" t="n">
        <f aca="false">IF($A6="","",IFERROR(1/(1/IF($B6="Residential",SUMIFS(INDEX('Oxford Economics'!$A$7:$AZ$1000,0,IFERROR(MATCH(AE$5,'Oxford Economics'!$A$6:$AZ$6,0),MATCH(AE$5&amp;"",'Oxford Economics'!$A$6:$AZ$6,0))),'Oxford Economics'!$A$7:$A$1000,$C6,'Oxford Economics'!$B$7:$B$1000,Settings!$B$11)-SUMIFS(INDEX('Oxford Economics'!$A$7:$AZ$1000,0,IFERROR(MATCH(AE$5,'Oxford Economics'!$A$6:$AZ$6,0),MATCH(AE$5&amp;"",'Oxford Economics'!$A$6:$AZ$6,0))),'Oxford Economics'!$A$7:$A$1000,$C6,'Oxford Economics'!$B$7:$B$1000,Settings!$B$13),SUMIFS(INDEX('Oxford Economics'!$A$7:$AZ$1000,0,IFERROR(MATCH(AE$5,'Oxford Economics'!$A$6:$AZ$6,0),MATCH(AE$5&amp;"",'Oxford Economics'!$A$6:$AZ$6,0))),'Oxford Economics'!$A$7:$A$1000,$C6,'Oxford Economics'!$B$7:$B$1000,Settings!$B$13)+SUMIFS(INDEX('Oxford Economics'!$A$7:$AZ$1000,0,IFERROR(MATCH(AE$5,'Oxford Economics'!$A$6:$AZ$6,0),MATCH(AE$5&amp;"",'Oxford Economics'!$A$6:$AZ$6,0))),'Oxford Economics'!$A$7:$A$1000,$C6,'Oxford Economics'!$B$7:$B$1000,Settings!$B$15)+IF(Settings!$B$17="",0,SUMIFS(INDEX('Oxford Economics'!$A$7:$AZ$1000,0,IFERROR(MATCH(AE$5,'Oxford Economics'!$A$6:$AZ$6,0),MATCH(AE$5&amp;"",'Oxford Economics'!$A$6:$AZ$6,0))),'Oxford Economics'!$A$7:$A$1000,$C6,'Oxford Economics'!$B$7:$B$1000,Settings!$B$17)))),""))</f>
        <v>5927.68</v>
      </c>
      <c r="AF6" s="37" t="n">
        <f aca="false">IF($A6="","",IFERROR(1/(1/IF($B6="Residential",SUMIFS(INDEX('Oxford Economics'!$A$7:$AZ$1000,0,IFERROR(MATCH(AF$5,'Oxford Economics'!$A$6:$AZ$6,0),MATCH(AF$5&amp;"",'Oxford Economics'!$A$6:$AZ$6,0))),'Oxford Economics'!$A$7:$A$1000,$C6,'Oxford Economics'!$B$7:$B$1000,Settings!$B$11)-SUMIFS(INDEX('Oxford Economics'!$A$7:$AZ$1000,0,IFERROR(MATCH(AF$5,'Oxford Economics'!$A$6:$AZ$6,0),MATCH(AF$5&amp;"",'Oxford Economics'!$A$6:$AZ$6,0))),'Oxford Economics'!$A$7:$A$1000,$C6,'Oxford Economics'!$B$7:$B$1000,Settings!$B$13),SUMIFS(INDEX('Oxford Economics'!$A$7:$AZ$1000,0,IFERROR(MATCH(AF$5,'Oxford Economics'!$A$6:$AZ$6,0),MATCH(AF$5&amp;"",'Oxford Economics'!$A$6:$AZ$6,0))),'Oxford Economics'!$A$7:$A$1000,$C6,'Oxford Economics'!$B$7:$B$1000,Settings!$B$13)+SUMIFS(INDEX('Oxford Economics'!$A$7:$AZ$1000,0,IFERROR(MATCH(AF$5,'Oxford Economics'!$A$6:$AZ$6,0),MATCH(AF$5&amp;"",'Oxford Economics'!$A$6:$AZ$6,0))),'Oxford Economics'!$A$7:$A$1000,$C6,'Oxford Economics'!$B$7:$B$1000,Settings!$B$15)+IF(Settings!$B$17="",0,SUMIFS(INDEX('Oxford Economics'!$A$7:$AZ$1000,0,IFERROR(MATCH(AF$5,'Oxford Economics'!$A$6:$AZ$6,0),MATCH(AF$5&amp;"",'Oxford Economics'!$A$6:$AZ$6,0))),'Oxford Economics'!$A$7:$A$1000,$C6,'Oxford Economics'!$B$7:$B$1000,Settings!$B$17)))),""))</f>
        <v>5278.96</v>
      </c>
      <c r="AG6" s="37" t="n">
        <f aca="false">IF($A6="","",IFERROR(1/(1/IF($B6="Residential",SUMIFS(INDEX('Oxford Economics'!$A$7:$AZ$1000,0,IFERROR(MATCH(AG$5,'Oxford Economics'!$A$6:$AZ$6,0),MATCH(AG$5&amp;"",'Oxford Economics'!$A$6:$AZ$6,0))),'Oxford Economics'!$A$7:$A$1000,$C6,'Oxford Economics'!$B$7:$B$1000,Settings!$B$11)-SUMIFS(INDEX('Oxford Economics'!$A$7:$AZ$1000,0,IFERROR(MATCH(AG$5,'Oxford Economics'!$A$6:$AZ$6,0),MATCH(AG$5&amp;"",'Oxford Economics'!$A$6:$AZ$6,0))),'Oxford Economics'!$A$7:$A$1000,$C6,'Oxford Economics'!$B$7:$B$1000,Settings!$B$13),SUMIFS(INDEX('Oxford Economics'!$A$7:$AZ$1000,0,IFERROR(MATCH(AG$5,'Oxford Economics'!$A$6:$AZ$6,0),MATCH(AG$5&amp;"",'Oxford Economics'!$A$6:$AZ$6,0))),'Oxford Economics'!$A$7:$A$1000,$C6,'Oxford Economics'!$B$7:$B$1000,Settings!$B$13)+SUMIFS(INDEX('Oxford Economics'!$A$7:$AZ$1000,0,IFERROR(MATCH(AG$5,'Oxford Economics'!$A$6:$AZ$6,0),MATCH(AG$5&amp;"",'Oxford Economics'!$A$6:$AZ$6,0))),'Oxford Economics'!$A$7:$A$1000,$C6,'Oxford Economics'!$B$7:$B$1000,Settings!$B$15)+IF(Settings!$B$17="",0,SUMIFS(INDEX('Oxford Economics'!$A$7:$AZ$1000,0,IFERROR(MATCH(AG$5,'Oxford Economics'!$A$6:$AZ$6,0),MATCH(AG$5&amp;"",'Oxford Economics'!$A$6:$AZ$6,0))),'Oxford Economics'!$A$7:$A$1000,$C6,'Oxford Economics'!$B$7:$B$1000,Settings!$B$17)))),""))</f>
        <v>4828.04</v>
      </c>
      <c r="AH6" s="37" t="n">
        <f aca="false">IF($A6="","",IFERROR(1/(1/IF($B6="Residential",SUMIFS(INDEX('Oxford Economics'!$A$7:$AZ$1000,0,IFERROR(MATCH(AH$5,'Oxford Economics'!$A$6:$AZ$6,0),MATCH(AH$5&amp;"",'Oxford Economics'!$A$6:$AZ$6,0))),'Oxford Economics'!$A$7:$A$1000,$C6,'Oxford Economics'!$B$7:$B$1000,Settings!$B$11)-SUMIFS(INDEX('Oxford Economics'!$A$7:$AZ$1000,0,IFERROR(MATCH(AH$5,'Oxford Economics'!$A$6:$AZ$6,0),MATCH(AH$5&amp;"",'Oxford Economics'!$A$6:$AZ$6,0))),'Oxford Economics'!$A$7:$A$1000,$C6,'Oxford Economics'!$B$7:$B$1000,Settings!$B$13),SUMIFS(INDEX('Oxford Economics'!$A$7:$AZ$1000,0,IFERROR(MATCH(AH$5,'Oxford Economics'!$A$6:$AZ$6,0),MATCH(AH$5&amp;"",'Oxford Economics'!$A$6:$AZ$6,0))),'Oxford Economics'!$A$7:$A$1000,$C6,'Oxford Economics'!$B$7:$B$1000,Settings!$B$13)+SUMIFS(INDEX('Oxford Economics'!$A$7:$AZ$1000,0,IFERROR(MATCH(AH$5,'Oxford Economics'!$A$6:$AZ$6,0),MATCH(AH$5&amp;"",'Oxford Economics'!$A$6:$AZ$6,0))),'Oxford Economics'!$A$7:$A$1000,$C6,'Oxford Economics'!$B$7:$B$1000,Settings!$B$15)+IF(Settings!$B$17="",0,SUMIFS(INDEX('Oxford Economics'!$A$7:$AZ$1000,0,IFERROR(MATCH(AH$5,'Oxford Economics'!$A$6:$AZ$6,0),MATCH(AH$5&amp;"",'Oxford Economics'!$A$6:$AZ$6,0))),'Oxford Economics'!$A$7:$A$1000,$C6,'Oxford Economics'!$B$7:$B$1000,Settings!$B$17)))),""))</f>
        <v>4481.48</v>
      </c>
      <c r="AI6" s="37" t="n">
        <f aca="false">IF($A6="","",IFERROR(1/(1/IF($B6="Residential",SUMIFS(INDEX('Oxford Economics'!$A$7:$AZ$1000,0,IFERROR(MATCH(AI$5,'Oxford Economics'!$A$6:$AZ$6,0),MATCH(AI$5&amp;"",'Oxford Economics'!$A$6:$AZ$6,0))),'Oxford Economics'!$A$7:$A$1000,$C6,'Oxford Economics'!$B$7:$B$1000,Settings!$B$11)-SUMIFS(INDEX('Oxford Economics'!$A$7:$AZ$1000,0,IFERROR(MATCH(AI$5,'Oxford Economics'!$A$6:$AZ$6,0),MATCH(AI$5&amp;"",'Oxford Economics'!$A$6:$AZ$6,0))),'Oxford Economics'!$A$7:$A$1000,$C6,'Oxford Economics'!$B$7:$B$1000,Settings!$B$13),SUMIFS(INDEX('Oxford Economics'!$A$7:$AZ$1000,0,IFERROR(MATCH(AI$5,'Oxford Economics'!$A$6:$AZ$6,0),MATCH(AI$5&amp;"",'Oxford Economics'!$A$6:$AZ$6,0))),'Oxford Economics'!$A$7:$A$1000,$C6,'Oxford Economics'!$B$7:$B$1000,Settings!$B$13)+SUMIFS(INDEX('Oxford Economics'!$A$7:$AZ$1000,0,IFERROR(MATCH(AI$5,'Oxford Economics'!$A$6:$AZ$6,0),MATCH(AI$5&amp;"",'Oxford Economics'!$A$6:$AZ$6,0))),'Oxford Economics'!$A$7:$A$1000,$C6,'Oxford Economics'!$B$7:$B$1000,Settings!$B$15)+IF(Settings!$B$17="",0,SUMIFS(INDEX('Oxford Economics'!$A$7:$AZ$1000,0,IFERROR(MATCH(AI$5,'Oxford Economics'!$A$6:$AZ$6,0),MATCH(AI$5&amp;"",'Oxford Economics'!$A$6:$AZ$6,0))),'Oxford Economics'!$A$7:$A$1000,$C6,'Oxford Economics'!$B$7:$B$1000,Settings!$B$17)))),""))</f>
        <v>4402.69</v>
      </c>
      <c r="AJ6" s="37" t="n">
        <f aca="false">IF($A6="","",IFERROR(1/(1/IF($B6="Residential",SUMIFS(INDEX('Oxford Economics'!$A$7:$AZ$1000,0,IFERROR(MATCH(AJ$5,'Oxford Economics'!$A$6:$AZ$6,0),MATCH(AJ$5&amp;"",'Oxford Economics'!$A$6:$AZ$6,0))),'Oxford Economics'!$A$7:$A$1000,$C6,'Oxford Economics'!$B$7:$B$1000,Settings!$B$11)-SUMIFS(INDEX('Oxford Economics'!$A$7:$AZ$1000,0,IFERROR(MATCH(AJ$5,'Oxford Economics'!$A$6:$AZ$6,0),MATCH(AJ$5&amp;"",'Oxford Economics'!$A$6:$AZ$6,0))),'Oxford Economics'!$A$7:$A$1000,$C6,'Oxford Economics'!$B$7:$B$1000,Settings!$B$13),SUMIFS(INDEX('Oxford Economics'!$A$7:$AZ$1000,0,IFERROR(MATCH(AJ$5,'Oxford Economics'!$A$6:$AZ$6,0),MATCH(AJ$5&amp;"",'Oxford Economics'!$A$6:$AZ$6,0))),'Oxford Economics'!$A$7:$A$1000,$C6,'Oxford Economics'!$B$7:$B$1000,Settings!$B$13)+SUMIFS(INDEX('Oxford Economics'!$A$7:$AZ$1000,0,IFERROR(MATCH(AJ$5,'Oxford Economics'!$A$6:$AZ$6,0),MATCH(AJ$5&amp;"",'Oxford Economics'!$A$6:$AZ$6,0))),'Oxford Economics'!$A$7:$A$1000,$C6,'Oxford Economics'!$B$7:$B$1000,Settings!$B$15)+IF(Settings!$B$17="",0,SUMIFS(INDEX('Oxford Economics'!$A$7:$AZ$1000,0,IFERROR(MATCH(AJ$5,'Oxford Economics'!$A$6:$AZ$6,0),MATCH(AJ$5&amp;"",'Oxford Economics'!$A$6:$AZ$6,0))),'Oxford Economics'!$A$7:$A$1000,$C6,'Oxford Economics'!$B$7:$B$1000,Settings!$B$17)))),""))</f>
        <v>4606.79</v>
      </c>
      <c r="AK6" s="37" t="n">
        <f aca="false">IF($A6="","",IFERROR(1/(1/IF($B6="Residential",SUMIFS(INDEX('Oxford Economics'!$A$7:$AZ$1000,0,IFERROR(MATCH(AK$5,'Oxford Economics'!$A$6:$AZ$6,0),MATCH(AK$5&amp;"",'Oxford Economics'!$A$6:$AZ$6,0))),'Oxford Economics'!$A$7:$A$1000,$C6,'Oxford Economics'!$B$7:$B$1000,Settings!$B$11)-SUMIFS(INDEX('Oxford Economics'!$A$7:$AZ$1000,0,IFERROR(MATCH(AK$5,'Oxford Economics'!$A$6:$AZ$6,0),MATCH(AK$5&amp;"",'Oxford Economics'!$A$6:$AZ$6,0))),'Oxford Economics'!$A$7:$A$1000,$C6,'Oxford Economics'!$B$7:$B$1000,Settings!$B$13),SUMIFS(INDEX('Oxford Economics'!$A$7:$AZ$1000,0,IFERROR(MATCH(AK$5,'Oxford Economics'!$A$6:$AZ$6,0),MATCH(AK$5&amp;"",'Oxford Economics'!$A$6:$AZ$6,0))),'Oxford Economics'!$A$7:$A$1000,$C6,'Oxford Economics'!$B$7:$B$1000,Settings!$B$13)+SUMIFS(INDEX('Oxford Economics'!$A$7:$AZ$1000,0,IFERROR(MATCH(AK$5,'Oxford Economics'!$A$6:$AZ$6,0),MATCH(AK$5&amp;"",'Oxford Economics'!$A$6:$AZ$6,0))),'Oxford Economics'!$A$7:$A$1000,$C6,'Oxford Economics'!$B$7:$B$1000,Settings!$B$15)+IF(Settings!$B$17="",0,SUMIFS(INDEX('Oxford Economics'!$A$7:$AZ$1000,0,IFERROR(MATCH(AK$5,'Oxford Economics'!$A$6:$AZ$6,0),MATCH(AK$5&amp;"",'Oxford Economics'!$A$6:$AZ$6,0))),'Oxford Economics'!$A$7:$A$1000,$C6,'Oxford Economics'!$B$7:$B$1000,Settings!$B$17)))),""))</f>
        <v>4882.46</v>
      </c>
      <c r="AL6" s="37" t="n">
        <f aca="false">IF($A6="","",IFERROR(1/(1/IF($B6="Residential",SUMIFS(INDEX('Oxford Economics'!$A$7:$AZ$1000,0,IFERROR(MATCH(AL$5,'Oxford Economics'!$A$6:$AZ$6,0),MATCH(AL$5&amp;"",'Oxford Economics'!$A$6:$AZ$6,0))),'Oxford Economics'!$A$7:$A$1000,$C6,'Oxford Economics'!$B$7:$B$1000,Settings!$B$11)-SUMIFS(INDEX('Oxford Economics'!$A$7:$AZ$1000,0,IFERROR(MATCH(AL$5,'Oxford Economics'!$A$6:$AZ$6,0),MATCH(AL$5&amp;"",'Oxford Economics'!$A$6:$AZ$6,0))),'Oxford Economics'!$A$7:$A$1000,$C6,'Oxford Economics'!$B$7:$B$1000,Settings!$B$13),SUMIFS(INDEX('Oxford Economics'!$A$7:$AZ$1000,0,IFERROR(MATCH(AL$5,'Oxford Economics'!$A$6:$AZ$6,0),MATCH(AL$5&amp;"",'Oxford Economics'!$A$6:$AZ$6,0))),'Oxford Economics'!$A$7:$A$1000,$C6,'Oxford Economics'!$B$7:$B$1000,Settings!$B$13)+SUMIFS(INDEX('Oxford Economics'!$A$7:$AZ$1000,0,IFERROR(MATCH(AL$5,'Oxford Economics'!$A$6:$AZ$6,0),MATCH(AL$5&amp;"",'Oxford Economics'!$A$6:$AZ$6,0))),'Oxford Economics'!$A$7:$A$1000,$C6,'Oxford Economics'!$B$7:$B$1000,Settings!$B$15)+IF(Settings!$B$17="",0,SUMIFS(INDEX('Oxford Economics'!$A$7:$AZ$1000,0,IFERROR(MATCH(AL$5,'Oxford Economics'!$A$6:$AZ$6,0),MATCH(AL$5&amp;"",'Oxford Economics'!$A$6:$AZ$6,0))),'Oxford Economics'!$A$7:$A$1000,$C6,'Oxford Economics'!$B$7:$B$1000,Settings!$B$17)))),""))</f>
        <v>5135.8</v>
      </c>
      <c r="AM6" s="37" t="n">
        <f aca="false">IF($A6="","",IFERROR(1/(1/IF($B6="Residential",SUMIFS(INDEX('Oxford Economics'!$A$7:$AZ$1000,0,IFERROR(MATCH(AM$5,'Oxford Economics'!$A$6:$AZ$6,0),MATCH(AM$5&amp;"",'Oxford Economics'!$A$6:$AZ$6,0))),'Oxford Economics'!$A$7:$A$1000,$C6,'Oxford Economics'!$B$7:$B$1000,Settings!$B$11)-SUMIFS(INDEX('Oxford Economics'!$A$7:$AZ$1000,0,IFERROR(MATCH(AM$5,'Oxford Economics'!$A$6:$AZ$6,0),MATCH(AM$5&amp;"",'Oxford Economics'!$A$6:$AZ$6,0))),'Oxford Economics'!$A$7:$A$1000,$C6,'Oxford Economics'!$B$7:$B$1000,Settings!$B$13),SUMIFS(INDEX('Oxford Economics'!$A$7:$AZ$1000,0,IFERROR(MATCH(AM$5,'Oxford Economics'!$A$6:$AZ$6,0),MATCH(AM$5&amp;"",'Oxford Economics'!$A$6:$AZ$6,0))),'Oxford Economics'!$A$7:$A$1000,$C6,'Oxford Economics'!$B$7:$B$1000,Settings!$B$13)+SUMIFS(INDEX('Oxford Economics'!$A$7:$AZ$1000,0,IFERROR(MATCH(AM$5,'Oxford Economics'!$A$6:$AZ$6,0),MATCH(AM$5&amp;"",'Oxford Economics'!$A$6:$AZ$6,0))),'Oxford Economics'!$A$7:$A$1000,$C6,'Oxford Economics'!$B$7:$B$1000,Settings!$B$15)+IF(Settings!$B$17="",0,SUMIFS(INDEX('Oxford Economics'!$A$7:$AZ$1000,0,IFERROR(MATCH(AM$5,'Oxford Economics'!$A$6:$AZ$6,0),MATCH(AM$5&amp;"",'Oxford Economics'!$A$6:$AZ$6,0))),'Oxford Economics'!$A$7:$A$1000,$C6,'Oxford Economics'!$B$7:$B$1000,Settings!$B$17)))),""))</f>
        <v>5300.78</v>
      </c>
    </row>
    <row r="7" customFormat="false" ht="15" hidden="false" customHeight="false" outlineLevel="0" collapsed="false">
      <c r="A7" s="36" t="str">
        <f aca="false">IF('Raw data'!$A7="","",'Raw data'!$A7)</f>
        <v>Poland</v>
      </c>
      <c r="B7" s="36" t="str">
        <f aca="false">IF($A7="","",'Raw data'!$C7)</f>
        <v>Commercial</v>
      </c>
      <c r="C7" s="36" t="str">
        <f aca="false">IF($A7="","",IF('Raw data'!$D7="",$A7,'Raw data'!$D7))</f>
        <v>Poland</v>
      </c>
      <c r="D7" s="37" t="n">
        <f aca="false">IF($A7="","",IF(AND(ISNUMBER(P7),ISNUMBER(AB7)),P7+AB7,""))</f>
        <v>23022.46</v>
      </c>
      <c r="E7" s="37" t="n">
        <f aca="false">IF($A7="","",IF(AND(ISNUMBER(Q7),ISNUMBER(AC7)),Q7+AC7,""))</f>
        <v>24690.96</v>
      </c>
      <c r="F7" s="37" t="n">
        <f aca="false">IF($A7="","",IF(AND(ISNUMBER(R7),ISNUMBER(AD7)),R7+AD7,""))</f>
        <v>26232.67</v>
      </c>
      <c r="G7" s="37" t="n">
        <f aca="false">IF($A7="","",IF(AND(ISNUMBER(S7),ISNUMBER(AE7)),S7+AE7,""))</f>
        <v>25718.99</v>
      </c>
      <c r="H7" s="37" t="n">
        <f aca="false">IF($A7="","",IF(AND(ISNUMBER(T7),ISNUMBER(AF7)),T7+AF7,""))</f>
        <v>23546.6</v>
      </c>
      <c r="I7" s="37" t="n">
        <f aca="false">IF($A7="","",IF(AND(ISNUMBER(U7),ISNUMBER(AG7)),U7+AG7,""))</f>
        <v>23418.23</v>
      </c>
      <c r="J7" s="37" t="n">
        <f aca="false">IF($A7="","",IF(AND(ISNUMBER(V7),ISNUMBER(AH7)),V7+AH7,""))</f>
        <v>24815.34</v>
      </c>
      <c r="K7" s="37" t="n">
        <f aca="false">IF($A7="","",IF(AND(ISNUMBER(W7),ISNUMBER(AI7)),W7+AI7,""))</f>
        <v>25932.61</v>
      </c>
      <c r="L7" s="37" t="n">
        <f aca="false">IF($A7="","",IF(AND(ISNUMBER(X7),ISNUMBER(AJ7)),X7+AJ7,""))</f>
        <v>26482.38</v>
      </c>
      <c r="M7" s="37" t="n">
        <f aca="false">IF($A7="","",IF(AND(ISNUMBER(Y7),ISNUMBER(AK7)),Y7+AK7,""))</f>
        <v>26945.25</v>
      </c>
      <c r="N7" s="37" t="n">
        <f aca="false">IF($A7="","",IF(AND(ISNUMBER(Z7),ISNUMBER(AL7)),Z7+AL7,""))</f>
        <v>27454.96</v>
      </c>
      <c r="O7" s="37" t="n">
        <f aca="false">IF($A7="","",IF(AND(ISNUMBER(AA7),ISNUMBER(AM7)),AA7+AM7,""))</f>
        <v>27864.75</v>
      </c>
      <c r="P7" s="37" t="n">
        <f aca="false">IF($A7="","",IFERROR(1/(1/IF($B7="Residential",SUMIFS(INDEX('Oxford Economics'!$A$7:$AZ$1000,0,IFERROR(MATCH(P$5,'Oxford Economics'!$A$6:$AZ$6,0),MATCH(P$5&amp;"",'Oxford Economics'!$A$6:$AZ$6,0))),'Oxford Economics'!$A$7:$A$1000,$C7,'Oxford Economics'!$B$7:$B$1000,Settings!$B$12)-SUMIFS(INDEX('Oxford Economics'!$A$7:$AZ$1000,0,IFERROR(MATCH(P$5,'Oxford Economics'!$A$6:$AZ$6,0),MATCH(P$5&amp;"",'Oxford Economics'!$A$6:$AZ$6,0))),'Oxford Economics'!$A$7:$A$1000,$C7,'Oxford Economics'!$B$7:$B$1000,Settings!$B$14),SUMIFS(INDEX('Oxford Economics'!$A$7:$AZ$1000,0,IFERROR(MATCH(P$5,'Oxford Economics'!$A$6:$AZ$6,0),MATCH(P$5&amp;"",'Oxford Economics'!$A$6:$AZ$6,0))),'Oxford Economics'!$A$7:$A$1000,$C7,'Oxford Economics'!$B$7:$B$1000,Settings!$B$14)+SUMIFS(INDEX('Oxford Economics'!$A$7:$AZ$1000,0,IFERROR(MATCH(P$5,'Oxford Economics'!$A$6:$AZ$6,0),MATCH(P$5&amp;"",'Oxford Economics'!$A$6:$AZ$6,0))),'Oxford Economics'!$A$7:$A$1000,$C7,'Oxford Economics'!$B$7:$B$1000,Settings!$B$16)+IF(Settings!$B$18="",0,SUMIFS(INDEX('Oxford Economics'!$A$7:$AZ$1000,0,IFERROR(MATCH(P$5,'Oxford Economics'!$A$6:$AZ$6,0),MATCH(P$5&amp;"",'Oxford Economics'!$A$6:$AZ$6,0))),'Oxford Economics'!$A$7:$A$1000,$C7,'Oxford Economics'!$B$7:$B$1000,Settings!$B$18)))),""))</f>
        <v>7288.73</v>
      </c>
      <c r="Q7" s="37" t="n">
        <f aca="false">IF($A7="","",IFERROR(1/(1/IF($B7="Residential",SUMIFS(INDEX('Oxford Economics'!$A$7:$AZ$1000,0,IFERROR(MATCH(Q$5,'Oxford Economics'!$A$6:$AZ$6,0),MATCH(Q$5&amp;"",'Oxford Economics'!$A$6:$AZ$6,0))),'Oxford Economics'!$A$7:$A$1000,$C7,'Oxford Economics'!$B$7:$B$1000,Settings!$B$12)-SUMIFS(INDEX('Oxford Economics'!$A$7:$AZ$1000,0,IFERROR(MATCH(Q$5,'Oxford Economics'!$A$6:$AZ$6,0),MATCH(Q$5&amp;"",'Oxford Economics'!$A$6:$AZ$6,0))),'Oxford Economics'!$A$7:$A$1000,$C7,'Oxford Economics'!$B$7:$B$1000,Settings!$B$14),SUMIFS(INDEX('Oxford Economics'!$A$7:$AZ$1000,0,IFERROR(MATCH(Q$5,'Oxford Economics'!$A$6:$AZ$6,0),MATCH(Q$5&amp;"",'Oxford Economics'!$A$6:$AZ$6,0))),'Oxford Economics'!$A$7:$A$1000,$C7,'Oxford Economics'!$B$7:$B$1000,Settings!$B$14)+SUMIFS(INDEX('Oxford Economics'!$A$7:$AZ$1000,0,IFERROR(MATCH(Q$5,'Oxford Economics'!$A$6:$AZ$6,0),MATCH(Q$5&amp;"",'Oxford Economics'!$A$6:$AZ$6,0))),'Oxford Economics'!$A$7:$A$1000,$C7,'Oxford Economics'!$B$7:$B$1000,Settings!$B$16)+IF(Settings!$B$18="",0,SUMIFS(INDEX('Oxford Economics'!$A$7:$AZ$1000,0,IFERROR(MATCH(Q$5,'Oxford Economics'!$A$6:$AZ$6,0),MATCH(Q$5&amp;"",'Oxford Economics'!$A$6:$AZ$6,0))),'Oxford Economics'!$A$7:$A$1000,$C7,'Oxford Economics'!$B$7:$B$1000,Settings!$B$18)))),""))</f>
        <v>8032.69</v>
      </c>
      <c r="R7" s="37" t="n">
        <f aca="false">IF($A7="","",IFERROR(1/(1/IF($B7="Residential",SUMIFS(INDEX('Oxford Economics'!$A$7:$AZ$1000,0,IFERROR(MATCH(R$5,'Oxford Economics'!$A$6:$AZ$6,0),MATCH(R$5&amp;"",'Oxford Economics'!$A$6:$AZ$6,0))),'Oxford Economics'!$A$7:$A$1000,$C7,'Oxford Economics'!$B$7:$B$1000,Settings!$B$12)-SUMIFS(INDEX('Oxford Economics'!$A$7:$AZ$1000,0,IFERROR(MATCH(R$5,'Oxford Economics'!$A$6:$AZ$6,0),MATCH(R$5&amp;"",'Oxford Economics'!$A$6:$AZ$6,0))),'Oxford Economics'!$A$7:$A$1000,$C7,'Oxford Economics'!$B$7:$B$1000,Settings!$B$14),SUMIFS(INDEX('Oxford Economics'!$A$7:$AZ$1000,0,IFERROR(MATCH(R$5,'Oxford Economics'!$A$6:$AZ$6,0),MATCH(R$5&amp;"",'Oxford Economics'!$A$6:$AZ$6,0))),'Oxford Economics'!$A$7:$A$1000,$C7,'Oxford Economics'!$B$7:$B$1000,Settings!$B$14)+SUMIFS(INDEX('Oxford Economics'!$A$7:$AZ$1000,0,IFERROR(MATCH(R$5,'Oxford Economics'!$A$6:$AZ$6,0),MATCH(R$5&amp;"",'Oxford Economics'!$A$6:$AZ$6,0))),'Oxford Economics'!$A$7:$A$1000,$C7,'Oxford Economics'!$B$7:$B$1000,Settings!$B$16)+IF(Settings!$B$18="",0,SUMIFS(INDEX('Oxford Economics'!$A$7:$AZ$1000,0,IFERROR(MATCH(R$5,'Oxford Economics'!$A$6:$AZ$6,0),MATCH(R$5&amp;"",'Oxford Economics'!$A$6:$AZ$6,0))),'Oxford Economics'!$A$7:$A$1000,$C7,'Oxford Economics'!$B$7:$B$1000,Settings!$B$18)))),""))</f>
        <v>8295.68</v>
      </c>
      <c r="S7" s="37" t="n">
        <f aca="false">IF($A7="","",IFERROR(1/(1/IF($B7="Residential",SUMIFS(INDEX('Oxford Economics'!$A$7:$AZ$1000,0,IFERROR(MATCH(S$5,'Oxford Economics'!$A$6:$AZ$6,0),MATCH(S$5&amp;"",'Oxford Economics'!$A$6:$AZ$6,0))),'Oxford Economics'!$A$7:$A$1000,$C7,'Oxford Economics'!$B$7:$B$1000,Settings!$B$12)-SUMIFS(INDEX('Oxford Economics'!$A$7:$AZ$1000,0,IFERROR(MATCH(S$5,'Oxford Economics'!$A$6:$AZ$6,0),MATCH(S$5&amp;"",'Oxford Economics'!$A$6:$AZ$6,0))),'Oxford Economics'!$A$7:$A$1000,$C7,'Oxford Economics'!$B$7:$B$1000,Settings!$B$14),SUMIFS(INDEX('Oxford Economics'!$A$7:$AZ$1000,0,IFERROR(MATCH(S$5,'Oxford Economics'!$A$6:$AZ$6,0),MATCH(S$5&amp;"",'Oxford Economics'!$A$6:$AZ$6,0))),'Oxford Economics'!$A$7:$A$1000,$C7,'Oxford Economics'!$B$7:$B$1000,Settings!$B$14)+SUMIFS(INDEX('Oxford Economics'!$A$7:$AZ$1000,0,IFERROR(MATCH(S$5,'Oxford Economics'!$A$6:$AZ$6,0),MATCH(S$5&amp;"",'Oxford Economics'!$A$6:$AZ$6,0))),'Oxford Economics'!$A$7:$A$1000,$C7,'Oxford Economics'!$B$7:$B$1000,Settings!$B$16)+IF(Settings!$B$18="",0,SUMIFS(INDEX('Oxford Economics'!$A$7:$AZ$1000,0,IFERROR(MATCH(S$5,'Oxford Economics'!$A$6:$AZ$6,0),MATCH(S$5&amp;"",'Oxford Economics'!$A$6:$AZ$6,0))),'Oxford Economics'!$A$7:$A$1000,$C7,'Oxford Economics'!$B$7:$B$1000,Settings!$B$18)))),""))</f>
        <v>8116.65</v>
      </c>
      <c r="T7" s="37" t="n">
        <f aca="false">IF($A7="","",IFERROR(1/(1/IF($B7="Residential",SUMIFS(INDEX('Oxford Economics'!$A$7:$AZ$1000,0,IFERROR(MATCH(T$5,'Oxford Economics'!$A$6:$AZ$6,0),MATCH(T$5&amp;"",'Oxford Economics'!$A$6:$AZ$6,0))),'Oxford Economics'!$A$7:$A$1000,$C7,'Oxford Economics'!$B$7:$B$1000,Settings!$B$12)-SUMIFS(INDEX('Oxford Economics'!$A$7:$AZ$1000,0,IFERROR(MATCH(T$5,'Oxford Economics'!$A$6:$AZ$6,0),MATCH(T$5&amp;"",'Oxford Economics'!$A$6:$AZ$6,0))),'Oxford Economics'!$A$7:$A$1000,$C7,'Oxford Economics'!$B$7:$B$1000,Settings!$B$14),SUMIFS(INDEX('Oxford Economics'!$A$7:$AZ$1000,0,IFERROR(MATCH(T$5,'Oxford Economics'!$A$6:$AZ$6,0),MATCH(T$5&amp;"",'Oxford Economics'!$A$6:$AZ$6,0))),'Oxford Economics'!$A$7:$A$1000,$C7,'Oxford Economics'!$B$7:$B$1000,Settings!$B$14)+SUMIFS(INDEX('Oxford Economics'!$A$7:$AZ$1000,0,IFERROR(MATCH(T$5,'Oxford Economics'!$A$6:$AZ$6,0),MATCH(T$5&amp;"",'Oxford Economics'!$A$6:$AZ$6,0))),'Oxford Economics'!$A$7:$A$1000,$C7,'Oxford Economics'!$B$7:$B$1000,Settings!$B$16)+IF(Settings!$B$18="",0,SUMIFS(INDEX('Oxford Economics'!$A$7:$AZ$1000,0,IFERROR(MATCH(T$5,'Oxford Economics'!$A$6:$AZ$6,0),MATCH(T$5&amp;"",'Oxford Economics'!$A$6:$AZ$6,0))),'Oxford Economics'!$A$7:$A$1000,$C7,'Oxford Economics'!$B$7:$B$1000,Settings!$B$18)))),""))</f>
        <v>7641.74</v>
      </c>
      <c r="U7" s="37" t="n">
        <f aca="false">IF($A7="","",IFERROR(1/(1/IF($B7="Residential",SUMIFS(INDEX('Oxford Economics'!$A$7:$AZ$1000,0,IFERROR(MATCH(U$5,'Oxford Economics'!$A$6:$AZ$6,0),MATCH(U$5&amp;"",'Oxford Economics'!$A$6:$AZ$6,0))),'Oxford Economics'!$A$7:$A$1000,$C7,'Oxford Economics'!$B$7:$B$1000,Settings!$B$12)-SUMIFS(INDEX('Oxford Economics'!$A$7:$AZ$1000,0,IFERROR(MATCH(U$5,'Oxford Economics'!$A$6:$AZ$6,0),MATCH(U$5&amp;"",'Oxford Economics'!$A$6:$AZ$6,0))),'Oxford Economics'!$A$7:$A$1000,$C7,'Oxford Economics'!$B$7:$B$1000,Settings!$B$14),SUMIFS(INDEX('Oxford Economics'!$A$7:$AZ$1000,0,IFERROR(MATCH(U$5,'Oxford Economics'!$A$6:$AZ$6,0),MATCH(U$5&amp;"",'Oxford Economics'!$A$6:$AZ$6,0))),'Oxford Economics'!$A$7:$A$1000,$C7,'Oxford Economics'!$B$7:$B$1000,Settings!$B$14)+SUMIFS(INDEX('Oxford Economics'!$A$7:$AZ$1000,0,IFERROR(MATCH(U$5,'Oxford Economics'!$A$6:$AZ$6,0),MATCH(U$5&amp;"",'Oxford Economics'!$A$6:$AZ$6,0))),'Oxford Economics'!$A$7:$A$1000,$C7,'Oxford Economics'!$B$7:$B$1000,Settings!$B$16)+IF(Settings!$B$18="",0,SUMIFS(INDEX('Oxford Economics'!$A$7:$AZ$1000,0,IFERROR(MATCH(U$5,'Oxford Economics'!$A$6:$AZ$6,0),MATCH(U$5&amp;"",'Oxford Economics'!$A$6:$AZ$6,0))),'Oxford Economics'!$A$7:$A$1000,$C7,'Oxford Economics'!$B$7:$B$1000,Settings!$B$18)))),""))</f>
        <v>7658.13</v>
      </c>
      <c r="V7" s="37" t="n">
        <f aca="false">IF($A7="","",IFERROR(1/(1/IF($B7="Residential",SUMIFS(INDEX('Oxford Economics'!$A$7:$AZ$1000,0,IFERROR(MATCH(V$5,'Oxford Economics'!$A$6:$AZ$6,0),MATCH(V$5&amp;"",'Oxford Economics'!$A$6:$AZ$6,0))),'Oxford Economics'!$A$7:$A$1000,$C7,'Oxford Economics'!$B$7:$B$1000,Settings!$B$12)-SUMIFS(INDEX('Oxford Economics'!$A$7:$AZ$1000,0,IFERROR(MATCH(V$5,'Oxford Economics'!$A$6:$AZ$6,0),MATCH(V$5&amp;"",'Oxford Economics'!$A$6:$AZ$6,0))),'Oxford Economics'!$A$7:$A$1000,$C7,'Oxford Economics'!$B$7:$B$1000,Settings!$B$14),SUMIFS(INDEX('Oxford Economics'!$A$7:$AZ$1000,0,IFERROR(MATCH(V$5,'Oxford Economics'!$A$6:$AZ$6,0),MATCH(V$5&amp;"",'Oxford Economics'!$A$6:$AZ$6,0))),'Oxford Economics'!$A$7:$A$1000,$C7,'Oxford Economics'!$B$7:$B$1000,Settings!$B$14)+SUMIFS(INDEX('Oxford Economics'!$A$7:$AZ$1000,0,IFERROR(MATCH(V$5,'Oxford Economics'!$A$6:$AZ$6,0),MATCH(V$5&amp;"",'Oxford Economics'!$A$6:$AZ$6,0))),'Oxford Economics'!$A$7:$A$1000,$C7,'Oxford Economics'!$B$7:$B$1000,Settings!$B$16)+IF(Settings!$B$18="",0,SUMIFS(INDEX('Oxford Economics'!$A$7:$AZ$1000,0,IFERROR(MATCH(V$5,'Oxford Economics'!$A$6:$AZ$6,0),MATCH(V$5&amp;"",'Oxford Economics'!$A$6:$AZ$6,0))),'Oxford Economics'!$A$7:$A$1000,$C7,'Oxford Economics'!$B$7:$B$1000,Settings!$B$18)))),""))</f>
        <v>8922.78</v>
      </c>
      <c r="W7" s="37" t="n">
        <f aca="false">IF($A7="","",IFERROR(1/(1/IF($B7="Residential",SUMIFS(INDEX('Oxford Economics'!$A$7:$AZ$1000,0,IFERROR(MATCH(W$5,'Oxford Economics'!$A$6:$AZ$6,0),MATCH(W$5&amp;"",'Oxford Economics'!$A$6:$AZ$6,0))),'Oxford Economics'!$A$7:$A$1000,$C7,'Oxford Economics'!$B$7:$B$1000,Settings!$B$12)-SUMIFS(INDEX('Oxford Economics'!$A$7:$AZ$1000,0,IFERROR(MATCH(W$5,'Oxford Economics'!$A$6:$AZ$6,0),MATCH(W$5&amp;"",'Oxford Economics'!$A$6:$AZ$6,0))),'Oxford Economics'!$A$7:$A$1000,$C7,'Oxford Economics'!$B$7:$B$1000,Settings!$B$14),SUMIFS(INDEX('Oxford Economics'!$A$7:$AZ$1000,0,IFERROR(MATCH(W$5,'Oxford Economics'!$A$6:$AZ$6,0),MATCH(W$5&amp;"",'Oxford Economics'!$A$6:$AZ$6,0))),'Oxford Economics'!$A$7:$A$1000,$C7,'Oxford Economics'!$B$7:$B$1000,Settings!$B$14)+SUMIFS(INDEX('Oxford Economics'!$A$7:$AZ$1000,0,IFERROR(MATCH(W$5,'Oxford Economics'!$A$6:$AZ$6,0),MATCH(W$5&amp;"",'Oxford Economics'!$A$6:$AZ$6,0))),'Oxford Economics'!$A$7:$A$1000,$C7,'Oxford Economics'!$B$7:$B$1000,Settings!$B$16)+IF(Settings!$B$18="",0,SUMIFS(INDEX('Oxford Economics'!$A$7:$AZ$1000,0,IFERROR(MATCH(W$5,'Oxford Economics'!$A$6:$AZ$6,0),MATCH(W$5&amp;"",'Oxford Economics'!$A$6:$AZ$6,0))),'Oxford Economics'!$A$7:$A$1000,$C7,'Oxford Economics'!$B$7:$B$1000,Settings!$B$18)))),""))</f>
        <v>10039.98</v>
      </c>
      <c r="X7" s="37" t="n">
        <f aca="false">IF($A7="","",IFERROR(1/(1/IF($B7="Residential",SUMIFS(INDEX('Oxford Economics'!$A$7:$AZ$1000,0,IFERROR(MATCH(X$5,'Oxford Economics'!$A$6:$AZ$6,0),MATCH(X$5&amp;"",'Oxford Economics'!$A$6:$AZ$6,0))),'Oxford Economics'!$A$7:$A$1000,$C7,'Oxford Economics'!$B$7:$B$1000,Settings!$B$12)-SUMIFS(INDEX('Oxford Economics'!$A$7:$AZ$1000,0,IFERROR(MATCH(X$5,'Oxford Economics'!$A$6:$AZ$6,0),MATCH(X$5&amp;"",'Oxford Economics'!$A$6:$AZ$6,0))),'Oxford Economics'!$A$7:$A$1000,$C7,'Oxford Economics'!$B$7:$B$1000,Settings!$B$14),SUMIFS(INDEX('Oxford Economics'!$A$7:$AZ$1000,0,IFERROR(MATCH(X$5,'Oxford Economics'!$A$6:$AZ$6,0),MATCH(X$5&amp;"",'Oxford Economics'!$A$6:$AZ$6,0))),'Oxford Economics'!$A$7:$A$1000,$C7,'Oxford Economics'!$B$7:$B$1000,Settings!$B$14)+SUMIFS(INDEX('Oxford Economics'!$A$7:$AZ$1000,0,IFERROR(MATCH(X$5,'Oxford Economics'!$A$6:$AZ$6,0),MATCH(X$5&amp;"",'Oxford Economics'!$A$6:$AZ$6,0))),'Oxford Economics'!$A$7:$A$1000,$C7,'Oxford Economics'!$B$7:$B$1000,Settings!$B$16)+IF(Settings!$B$18="",0,SUMIFS(INDEX('Oxford Economics'!$A$7:$AZ$1000,0,IFERROR(MATCH(X$5,'Oxford Economics'!$A$6:$AZ$6,0),MATCH(X$5&amp;"",'Oxford Economics'!$A$6:$AZ$6,0))),'Oxford Economics'!$A$7:$A$1000,$C7,'Oxford Economics'!$B$7:$B$1000,Settings!$B$18)))),""))</f>
        <v>10316.23</v>
      </c>
      <c r="Y7" s="37" t="n">
        <f aca="false">IF($A7="","",IFERROR(1/(1/IF($B7="Residential",SUMIFS(INDEX('Oxford Economics'!$A$7:$AZ$1000,0,IFERROR(MATCH(Y$5,'Oxford Economics'!$A$6:$AZ$6,0),MATCH(Y$5&amp;"",'Oxford Economics'!$A$6:$AZ$6,0))),'Oxford Economics'!$A$7:$A$1000,$C7,'Oxford Economics'!$B$7:$B$1000,Settings!$B$12)-SUMIFS(INDEX('Oxford Economics'!$A$7:$AZ$1000,0,IFERROR(MATCH(Y$5,'Oxford Economics'!$A$6:$AZ$6,0),MATCH(Y$5&amp;"",'Oxford Economics'!$A$6:$AZ$6,0))),'Oxford Economics'!$A$7:$A$1000,$C7,'Oxford Economics'!$B$7:$B$1000,Settings!$B$14),SUMIFS(INDEX('Oxford Economics'!$A$7:$AZ$1000,0,IFERROR(MATCH(Y$5,'Oxford Economics'!$A$6:$AZ$6,0),MATCH(Y$5&amp;"",'Oxford Economics'!$A$6:$AZ$6,0))),'Oxford Economics'!$A$7:$A$1000,$C7,'Oxford Economics'!$B$7:$B$1000,Settings!$B$14)+SUMIFS(INDEX('Oxford Economics'!$A$7:$AZ$1000,0,IFERROR(MATCH(Y$5,'Oxford Economics'!$A$6:$AZ$6,0),MATCH(Y$5&amp;"",'Oxford Economics'!$A$6:$AZ$6,0))),'Oxford Economics'!$A$7:$A$1000,$C7,'Oxford Economics'!$B$7:$B$1000,Settings!$B$16)+IF(Settings!$B$18="",0,SUMIFS(INDEX('Oxford Economics'!$A$7:$AZ$1000,0,IFERROR(MATCH(Y$5,'Oxford Economics'!$A$6:$AZ$6,0),MATCH(Y$5&amp;"",'Oxford Economics'!$A$6:$AZ$6,0))),'Oxford Economics'!$A$7:$A$1000,$C7,'Oxford Economics'!$B$7:$B$1000,Settings!$B$18)))),""))</f>
        <v>10203.37</v>
      </c>
      <c r="Z7" s="37" t="n">
        <f aca="false">IF($A7="","",IFERROR(1/(1/IF($B7="Residential",SUMIFS(INDEX('Oxford Economics'!$A$7:$AZ$1000,0,IFERROR(MATCH(Z$5,'Oxford Economics'!$A$6:$AZ$6,0),MATCH(Z$5&amp;"",'Oxford Economics'!$A$6:$AZ$6,0))),'Oxford Economics'!$A$7:$A$1000,$C7,'Oxford Economics'!$B$7:$B$1000,Settings!$B$12)-SUMIFS(INDEX('Oxford Economics'!$A$7:$AZ$1000,0,IFERROR(MATCH(Z$5,'Oxford Economics'!$A$6:$AZ$6,0),MATCH(Z$5&amp;"",'Oxford Economics'!$A$6:$AZ$6,0))),'Oxford Economics'!$A$7:$A$1000,$C7,'Oxford Economics'!$B$7:$B$1000,Settings!$B$14),SUMIFS(INDEX('Oxford Economics'!$A$7:$AZ$1000,0,IFERROR(MATCH(Z$5,'Oxford Economics'!$A$6:$AZ$6,0),MATCH(Z$5&amp;"",'Oxford Economics'!$A$6:$AZ$6,0))),'Oxford Economics'!$A$7:$A$1000,$C7,'Oxford Economics'!$B$7:$B$1000,Settings!$B$14)+SUMIFS(INDEX('Oxford Economics'!$A$7:$AZ$1000,0,IFERROR(MATCH(Z$5,'Oxford Economics'!$A$6:$AZ$6,0),MATCH(Z$5&amp;"",'Oxford Economics'!$A$6:$AZ$6,0))),'Oxford Economics'!$A$7:$A$1000,$C7,'Oxford Economics'!$B$7:$B$1000,Settings!$B$16)+IF(Settings!$B$18="",0,SUMIFS(INDEX('Oxford Economics'!$A$7:$AZ$1000,0,IFERROR(MATCH(Z$5,'Oxford Economics'!$A$6:$AZ$6,0),MATCH(Z$5&amp;"",'Oxford Economics'!$A$6:$AZ$6,0))),'Oxford Economics'!$A$7:$A$1000,$C7,'Oxford Economics'!$B$7:$B$1000,Settings!$B$18)))),""))</f>
        <v>10034.26</v>
      </c>
      <c r="AA7" s="37" t="n">
        <f aca="false">IF($A7="","",IFERROR(1/(1/IF($B7="Residential",SUMIFS(INDEX('Oxford Economics'!$A$7:$AZ$1000,0,IFERROR(MATCH(AA$5,'Oxford Economics'!$A$6:$AZ$6,0),MATCH(AA$5&amp;"",'Oxford Economics'!$A$6:$AZ$6,0))),'Oxford Economics'!$A$7:$A$1000,$C7,'Oxford Economics'!$B$7:$B$1000,Settings!$B$12)-SUMIFS(INDEX('Oxford Economics'!$A$7:$AZ$1000,0,IFERROR(MATCH(AA$5,'Oxford Economics'!$A$6:$AZ$6,0),MATCH(AA$5&amp;"",'Oxford Economics'!$A$6:$AZ$6,0))),'Oxford Economics'!$A$7:$A$1000,$C7,'Oxford Economics'!$B$7:$B$1000,Settings!$B$14),SUMIFS(INDEX('Oxford Economics'!$A$7:$AZ$1000,0,IFERROR(MATCH(AA$5,'Oxford Economics'!$A$6:$AZ$6,0),MATCH(AA$5&amp;"",'Oxford Economics'!$A$6:$AZ$6,0))),'Oxford Economics'!$A$7:$A$1000,$C7,'Oxford Economics'!$B$7:$B$1000,Settings!$B$14)+SUMIFS(INDEX('Oxford Economics'!$A$7:$AZ$1000,0,IFERROR(MATCH(AA$5,'Oxford Economics'!$A$6:$AZ$6,0),MATCH(AA$5&amp;"",'Oxford Economics'!$A$6:$AZ$6,0))),'Oxford Economics'!$A$7:$A$1000,$C7,'Oxford Economics'!$B$7:$B$1000,Settings!$B$16)+IF(Settings!$B$18="",0,SUMIFS(INDEX('Oxford Economics'!$A$7:$AZ$1000,0,IFERROR(MATCH(AA$5,'Oxford Economics'!$A$6:$AZ$6,0),MATCH(AA$5&amp;"",'Oxford Economics'!$A$6:$AZ$6,0))),'Oxford Economics'!$A$7:$A$1000,$C7,'Oxford Economics'!$B$7:$B$1000,Settings!$B$18)))),""))</f>
        <v>9875.23</v>
      </c>
      <c r="AB7" s="37" t="n">
        <f aca="false">IF($A7="","",IFERROR(1/(1/IF($B7="Residential",SUMIFS(INDEX('Oxford Economics'!$A$7:$AZ$1000,0,IFERROR(MATCH(AB$5,'Oxford Economics'!$A$6:$AZ$6,0),MATCH(AB$5&amp;"",'Oxford Economics'!$A$6:$AZ$6,0))),'Oxford Economics'!$A$7:$A$1000,$C7,'Oxford Economics'!$B$7:$B$1000,Settings!$B$11)-SUMIFS(INDEX('Oxford Economics'!$A$7:$AZ$1000,0,IFERROR(MATCH(AB$5,'Oxford Economics'!$A$6:$AZ$6,0),MATCH(AB$5&amp;"",'Oxford Economics'!$A$6:$AZ$6,0))),'Oxford Economics'!$A$7:$A$1000,$C7,'Oxford Economics'!$B$7:$B$1000,Settings!$B$13),SUMIFS(INDEX('Oxford Economics'!$A$7:$AZ$1000,0,IFERROR(MATCH(AB$5,'Oxford Economics'!$A$6:$AZ$6,0),MATCH(AB$5&amp;"",'Oxford Economics'!$A$6:$AZ$6,0))),'Oxford Economics'!$A$7:$A$1000,$C7,'Oxford Economics'!$B$7:$B$1000,Settings!$B$13)+SUMIFS(INDEX('Oxford Economics'!$A$7:$AZ$1000,0,IFERROR(MATCH(AB$5,'Oxford Economics'!$A$6:$AZ$6,0),MATCH(AB$5&amp;"",'Oxford Economics'!$A$6:$AZ$6,0))),'Oxford Economics'!$A$7:$A$1000,$C7,'Oxford Economics'!$B$7:$B$1000,Settings!$B$15)+IF(Settings!$B$17="",0,SUMIFS(INDEX('Oxford Economics'!$A$7:$AZ$1000,0,IFERROR(MATCH(AB$5,'Oxford Economics'!$A$6:$AZ$6,0),MATCH(AB$5&amp;"",'Oxford Economics'!$A$6:$AZ$6,0))),'Oxford Economics'!$A$7:$A$1000,$C7,'Oxford Economics'!$B$7:$B$1000,Settings!$B$17)))),""))</f>
        <v>15733.73</v>
      </c>
      <c r="AC7" s="37" t="n">
        <f aca="false">IF($A7="","",IFERROR(1/(1/IF($B7="Residential",SUMIFS(INDEX('Oxford Economics'!$A$7:$AZ$1000,0,IFERROR(MATCH(AC$5,'Oxford Economics'!$A$6:$AZ$6,0),MATCH(AC$5&amp;"",'Oxford Economics'!$A$6:$AZ$6,0))),'Oxford Economics'!$A$7:$A$1000,$C7,'Oxford Economics'!$B$7:$B$1000,Settings!$B$11)-SUMIFS(INDEX('Oxford Economics'!$A$7:$AZ$1000,0,IFERROR(MATCH(AC$5,'Oxford Economics'!$A$6:$AZ$6,0),MATCH(AC$5&amp;"",'Oxford Economics'!$A$6:$AZ$6,0))),'Oxford Economics'!$A$7:$A$1000,$C7,'Oxford Economics'!$B$7:$B$1000,Settings!$B$13),SUMIFS(INDEX('Oxford Economics'!$A$7:$AZ$1000,0,IFERROR(MATCH(AC$5,'Oxford Economics'!$A$6:$AZ$6,0),MATCH(AC$5&amp;"",'Oxford Economics'!$A$6:$AZ$6,0))),'Oxford Economics'!$A$7:$A$1000,$C7,'Oxford Economics'!$B$7:$B$1000,Settings!$B$13)+SUMIFS(INDEX('Oxford Economics'!$A$7:$AZ$1000,0,IFERROR(MATCH(AC$5,'Oxford Economics'!$A$6:$AZ$6,0),MATCH(AC$5&amp;"",'Oxford Economics'!$A$6:$AZ$6,0))),'Oxford Economics'!$A$7:$A$1000,$C7,'Oxford Economics'!$B$7:$B$1000,Settings!$B$15)+IF(Settings!$B$17="",0,SUMIFS(INDEX('Oxford Economics'!$A$7:$AZ$1000,0,IFERROR(MATCH(AC$5,'Oxford Economics'!$A$6:$AZ$6,0),MATCH(AC$5&amp;"",'Oxford Economics'!$A$6:$AZ$6,0))),'Oxford Economics'!$A$7:$A$1000,$C7,'Oxford Economics'!$B$7:$B$1000,Settings!$B$17)))),""))</f>
        <v>16658.27</v>
      </c>
      <c r="AD7" s="37" t="n">
        <f aca="false">IF($A7="","",IFERROR(1/(1/IF($B7="Residential",SUMIFS(INDEX('Oxford Economics'!$A$7:$AZ$1000,0,IFERROR(MATCH(AD$5,'Oxford Economics'!$A$6:$AZ$6,0),MATCH(AD$5&amp;"",'Oxford Economics'!$A$6:$AZ$6,0))),'Oxford Economics'!$A$7:$A$1000,$C7,'Oxford Economics'!$B$7:$B$1000,Settings!$B$11)-SUMIFS(INDEX('Oxford Economics'!$A$7:$AZ$1000,0,IFERROR(MATCH(AD$5,'Oxford Economics'!$A$6:$AZ$6,0),MATCH(AD$5&amp;"",'Oxford Economics'!$A$6:$AZ$6,0))),'Oxford Economics'!$A$7:$A$1000,$C7,'Oxford Economics'!$B$7:$B$1000,Settings!$B$13),SUMIFS(INDEX('Oxford Economics'!$A$7:$AZ$1000,0,IFERROR(MATCH(AD$5,'Oxford Economics'!$A$6:$AZ$6,0),MATCH(AD$5&amp;"",'Oxford Economics'!$A$6:$AZ$6,0))),'Oxford Economics'!$A$7:$A$1000,$C7,'Oxford Economics'!$B$7:$B$1000,Settings!$B$13)+SUMIFS(INDEX('Oxford Economics'!$A$7:$AZ$1000,0,IFERROR(MATCH(AD$5,'Oxford Economics'!$A$6:$AZ$6,0),MATCH(AD$5&amp;"",'Oxford Economics'!$A$6:$AZ$6,0))),'Oxford Economics'!$A$7:$A$1000,$C7,'Oxford Economics'!$B$7:$B$1000,Settings!$B$15)+IF(Settings!$B$17="",0,SUMIFS(INDEX('Oxford Economics'!$A$7:$AZ$1000,0,IFERROR(MATCH(AD$5,'Oxford Economics'!$A$6:$AZ$6,0),MATCH(AD$5&amp;"",'Oxford Economics'!$A$6:$AZ$6,0))),'Oxford Economics'!$A$7:$A$1000,$C7,'Oxford Economics'!$B$7:$B$1000,Settings!$B$17)))),""))</f>
        <v>17936.99</v>
      </c>
      <c r="AE7" s="37" t="n">
        <f aca="false">IF($A7="","",IFERROR(1/(1/IF($B7="Residential",SUMIFS(INDEX('Oxford Economics'!$A$7:$AZ$1000,0,IFERROR(MATCH(AE$5,'Oxford Economics'!$A$6:$AZ$6,0),MATCH(AE$5&amp;"",'Oxford Economics'!$A$6:$AZ$6,0))),'Oxford Economics'!$A$7:$A$1000,$C7,'Oxford Economics'!$B$7:$B$1000,Settings!$B$11)-SUMIFS(INDEX('Oxford Economics'!$A$7:$AZ$1000,0,IFERROR(MATCH(AE$5,'Oxford Economics'!$A$6:$AZ$6,0),MATCH(AE$5&amp;"",'Oxford Economics'!$A$6:$AZ$6,0))),'Oxford Economics'!$A$7:$A$1000,$C7,'Oxford Economics'!$B$7:$B$1000,Settings!$B$13),SUMIFS(INDEX('Oxford Economics'!$A$7:$AZ$1000,0,IFERROR(MATCH(AE$5,'Oxford Economics'!$A$6:$AZ$6,0),MATCH(AE$5&amp;"",'Oxford Economics'!$A$6:$AZ$6,0))),'Oxford Economics'!$A$7:$A$1000,$C7,'Oxford Economics'!$B$7:$B$1000,Settings!$B$13)+SUMIFS(INDEX('Oxford Economics'!$A$7:$AZ$1000,0,IFERROR(MATCH(AE$5,'Oxford Economics'!$A$6:$AZ$6,0),MATCH(AE$5&amp;"",'Oxford Economics'!$A$6:$AZ$6,0))),'Oxford Economics'!$A$7:$A$1000,$C7,'Oxford Economics'!$B$7:$B$1000,Settings!$B$15)+IF(Settings!$B$17="",0,SUMIFS(INDEX('Oxford Economics'!$A$7:$AZ$1000,0,IFERROR(MATCH(AE$5,'Oxford Economics'!$A$6:$AZ$6,0),MATCH(AE$5&amp;"",'Oxford Economics'!$A$6:$AZ$6,0))),'Oxford Economics'!$A$7:$A$1000,$C7,'Oxford Economics'!$B$7:$B$1000,Settings!$B$17)))),""))</f>
        <v>17602.34</v>
      </c>
      <c r="AF7" s="37" t="n">
        <f aca="false">IF($A7="","",IFERROR(1/(1/IF($B7="Residential",SUMIFS(INDEX('Oxford Economics'!$A$7:$AZ$1000,0,IFERROR(MATCH(AF$5,'Oxford Economics'!$A$6:$AZ$6,0),MATCH(AF$5&amp;"",'Oxford Economics'!$A$6:$AZ$6,0))),'Oxford Economics'!$A$7:$A$1000,$C7,'Oxford Economics'!$B$7:$B$1000,Settings!$B$11)-SUMIFS(INDEX('Oxford Economics'!$A$7:$AZ$1000,0,IFERROR(MATCH(AF$5,'Oxford Economics'!$A$6:$AZ$6,0),MATCH(AF$5&amp;"",'Oxford Economics'!$A$6:$AZ$6,0))),'Oxford Economics'!$A$7:$A$1000,$C7,'Oxford Economics'!$B$7:$B$1000,Settings!$B$13),SUMIFS(INDEX('Oxford Economics'!$A$7:$AZ$1000,0,IFERROR(MATCH(AF$5,'Oxford Economics'!$A$6:$AZ$6,0),MATCH(AF$5&amp;"",'Oxford Economics'!$A$6:$AZ$6,0))),'Oxford Economics'!$A$7:$A$1000,$C7,'Oxford Economics'!$B$7:$B$1000,Settings!$B$13)+SUMIFS(INDEX('Oxford Economics'!$A$7:$AZ$1000,0,IFERROR(MATCH(AF$5,'Oxford Economics'!$A$6:$AZ$6,0),MATCH(AF$5&amp;"",'Oxford Economics'!$A$6:$AZ$6,0))),'Oxford Economics'!$A$7:$A$1000,$C7,'Oxford Economics'!$B$7:$B$1000,Settings!$B$15)+IF(Settings!$B$17="",0,SUMIFS(INDEX('Oxford Economics'!$A$7:$AZ$1000,0,IFERROR(MATCH(AF$5,'Oxford Economics'!$A$6:$AZ$6,0),MATCH(AF$5&amp;"",'Oxford Economics'!$A$6:$AZ$6,0))),'Oxford Economics'!$A$7:$A$1000,$C7,'Oxford Economics'!$B$7:$B$1000,Settings!$B$17)))),""))</f>
        <v>15904.86</v>
      </c>
      <c r="AG7" s="37" t="n">
        <f aca="false">IF($A7="","",IFERROR(1/(1/IF($B7="Residential",SUMIFS(INDEX('Oxford Economics'!$A$7:$AZ$1000,0,IFERROR(MATCH(AG$5,'Oxford Economics'!$A$6:$AZ$6,0),MATCH(AG$5&amp;"",'Oxford Economics'!$A$6:$AZ$6,0))),'Oxford Economics'!$A$7:$A$1000,$C7,'Oxford Economics'!$B$7:$B$1000,Settings!$B$11)-SUMIFS(INDEX('Oxford Economics'!$A$7:$AZ$1000,0,IFERROR(MATCH(AG$5,'Oxford Economics'!$A$6:$AZ$6,0),MATCH(AG$5&amp;"",'Oxford Economics'!$A$6:$AZ$6,0))),'Oxford Economics'!$A$7:$A$1000,$C7,'Oxford Economics'!$B$7:$B$1000,Settings!$B$13),SUMIFS(INDEX('Oxford Economics'!$A$7:$AZ$1000,0,IFERROR(MATCH(AG$5,'Oxford Economics'!$A$6:$AZ$6,0),MATCH(AG$5&amp;"",'Oxford Economics'!$A$6:$AZ$6,0))),'Oxford Economics'!$A$7:$A$1000,$C7,'Oxford Economics'!$B$7:$B$1000,Settings!$B$13)+SUMIFS(INDEX('Oxford Economics'!$A$7:$AZ$1000,0,IFERROR(MATCH(AG$5,'Oxford Economics'!$A$6:$AZ$6,0),MATCH(AG$5&amp;"",'Oxford Economics'!$A$6:$AZ$6,0))),'Oxford Economics'!$A$7:$A$1000,$C7,'Oxford Economics'!$B$7:$B$1000,Settings!$B$15)+IF(Settings!$B$17="",0,SUMIFS(INDEX('Oxford Economics'!$A$7:$AZ$1000,0,IFERROR(MATCH(AG$5,'Oxford Economics'!$A$6:$AZ$6,0),MATCH(AG$5&amp;"",'Oxford Economics'!$A$6:$AZ$6,0))),'Oxford Economics'!$A$7:$A$1000,$C7,'Oxford Economics'!$B$7:$B$1000,Settings!$B$17)))),""))</f>
        <v>15760.1</v>
      </c>
      <c r="AH7" s="37" t="n">
        <f aca="false">IF($A7="","",IFERROR(1/(1/IF($B7="Residential",SUMIFS(INDEX('Oxford Economics'!$A$7:$AZ$1000,0,IFERROR(MATCH(AH$5,'Oxford Economics'!$A$6:$AZ$6,0),MATCH(AH$5&amp;"",'Oxford Economics'!$A$6:$AZ$6,0))),'Oxford Economics'!$A$7:$A$1000,$C7,'Oxford Economics'!$B$7:$B$1000,Settings!$B$11)-SUMIFS(INDEX('Oxford Economics'!$A$7:$AZ$1000,0,IFERROR(MATCH(AH$5,'Oxford Economics'!$A$6:$AZ$6,0),MATCH(AH$5&amp;"",'Oxford Economics'!$A$6:$AZ$6,0))),'Oxford Economics'!$A$7:$A$1000,$C7,'Oxford Economics'!$B$7:$B$1000,Settings!$B$13),SUMIFS(INDEX('Oxford Economics'!$A$7:$AZ$1000,0,IFERROR(MATCH(AH$5,'Oxford Economics'!$A$6:$AZ$6,0),MATCH(AH$5&amp;"",'Oxford Economics'!$A$6:$AZ$6,0))),'Oxford Economics'!$A$7:$A$1000,$C7,'Oxford Economics'!$B$7:$B$1000,Settings!$B$13)+SUMIFS(INDEX('Oxford Economics'!$A$7:$AZ$1000,0,IFERROR(MATCH(AH$5,'Oxford Economics'!$A$6:$AZ$6,0),MATCH(AH$5&amp;"",'Oxford Economics'!$A$6:$AZ$6,0))),'Oxford Economics'!$A$7:$A$1000,$C7,'Oxford Economics'!$B$7:$B$1000,Settings!$B$15)+IF(Settings!$B$17="",0,SUMIFS(INDEX('Oxford Economics'!$A$7:$AZ$1000,0,IFERROR(MATCH(AH$5,'Oxford Economics'!$A$6:$AZ$6,0),MATCH(AH$5&amp;"",'Oxford Economics'!$A$6:$AZ$6,0))),'Oxford Economics'!$A$7:$A$1000,$C7,'Oxford Economics'!$B$7:$B$1000,Settings!$B$17)))),""))</f>
        <v>15892.56</v>
      </c>
      <c r="AI7" s="37" t="n">
        <f aca="false">IF($A7="","",IFERROR(1/(1/IF($B7="Residential",SUMIFS(INDEX('Oxford Economics'!$A$7:$AZ$1000,0,IFERROR(MATCH(AI$5,'Oxford Economics'!$A$6:$AZ$6,0),MATCH(AI$5&amp;"",'Oxford Economics'!$A$6:$AZ$6,0))),'Oxford Economics'!$A$7:$A$1000,$C7,'Oxford Economics'!$B$7:$B$1000,Settings!$B$11)-SUMIFS(INDEX('Oxford Economics'!$A$7:$AZ$1000,0,IFERROR(MATCH(AI$5,'Oxford Economics'!$A$6:$AZ$6,0),MATCH(AI$5&amp;"",'Oxford Economics'!$A$6:$AZ$6,0))),'Oxford Economics'!$A$7:$A$1000,$C7,'Oxford Economics'!$B$7:$B$1000,Settings!$B$13),SUMIFS(INDEX('Oxford Economics'!$A$7:$AZ$1000,0,IFERROR(MATCH(AI$5,'Oxford Economics'!$A$6:$AZ$6,0),MATCH(AI$5&amp;"",'Oxford Economics'!$A$6:$AZ$6,0))),'Oxford Economics'!$A$7:$A$1000,$C7,'Oxford Economics'!$B$7:$B$1000,Settings!$B$13)+SUMIFS(INDEX('Oxford Economics'!$A$7:$AZ$1000,0,IFERROR(MATCH(AI$5,'Oxford Economics'!$A$6:$AZ$6,0),MATCH(AI$5&amp;"",'Oxford Economics'!$A$6:$AZ$6,0))),'Oxford Economics'!$A$7:$A$1000,$C7,'Oxford Economics'!$B$7:$B$1000,Settings!$B$15)+IF(Settings!$B$17="",0,SUMIFS(INDEX('Oxford Economics'!$A$7:$AZ$1000,0,IFERROR(MATCH(AI$5,'Oxford Economics'!$A$6:$AZ$6,0),MATCH(AI$5&amp;"",'Oxford Economics'!$A$6:$AZ$6,0))),'Oxford Economics'!$A$7:$A$1000,$C7,'Oxford Economics'!$B$7:$B$1000,Settings!$B$17)))),""))</f>
        <v>15892.63</v>
      </c>
      <c r="AJ7" s="37" t="n">
        <f aca="false">IF($A7="","",IFERROR(1/(1/IF($B7="Residential",SUMIFS(INDEX('Oxford Economics'!$A$7:$AZ$1000,0,IFERROR(MATCH(AJ$5,'Oxford Economics'!$A$6:$AZ$6,0),MATCH(AJ$5&amp;"",'Oxford Economics'!$A$6:$AZ$6,0))),'Oxford Economics'!$A$7:$A$1000,$C7,'Oxford Economics'!$B$7:$B$1000,Settings!$B$11)-SUMIFS(INDEX('Oxford Economics'!$A$7:$AZ$1000,0,IFERROR(MATCH(AJ$5,'Oxford Economics'!$A$6:$AZ$6,0),MATCH(AJ$5&amp;"",'Oxford Economics'!$A$6:$AZ$6,0))),'Oxford Economics'!$A$7:$A$1000,$C7,'Oxford Economics'!$B$7:$B$1000,Settings!$B$13),SUMIFS(INDEX('Oxford Economics'!$A$7:$AZ$1000,0,IFERROR(MATCH(AJ$5,'Oxford Economics'!$A$6:$AZ$6,0),MATCH(AJ$5&amp;"",'Oxford Economics'!$A$6:$AZ$6,0))),'Oxford Economics'!$A$7:$A$1000,$C7,'Oxford Economics'!$B$7:$B$1000,Settings!$B$13)+SUMIFS(INDEX('Oxford Economics'!$A$7:$AZ$1000,0,IFERROR(MATCH(AJ$5,'Oxford Economics'!$A$6:$AZ$6,0),MATCH(AJ$5&amp;"",'Oxford Economics'!$A$6:$AZ$6,0))),'Oxford Economics'!$A$7:$A$1000,$C7,'Oxford Economics'!$B$7:$B$1000,Settings!$B$15)+IF(Settings!$B$17="",0,SUMIFS(INDEX('Oxford Economics'!$A$7:$AZ$1000,0,IFERROR(MATCH(AJ$5,'Oxford Economics'!$A$6:$AZ$6,0),MATCH(AJ$5&amp;"",'Oxford Economics'!$A$6:$AZ$6,0))),'Oxford Economics'!$A$7:$A$1000,$C7,'Oxford Economics'!$B$7:$B$1000,Settings!$B$17)))),""))</f>
        <v>16166.15</v>
      </c>
      <c r="AK7" s="37" t="n">
        <f aca="false">IF($A7="","",IFERROR(1/(1/IF($B7="Residential",SUMIFS(INDEX('Oxford Economics'!$A$7:$AZ$1000,0,IFERROR(MATCH(AK$5,'Oxford Economics'!$A$6:$AZ$6,0),MATCH(AK$5&amp;"",'Oxford Economics'!$A$6:$AZ$6,0))),'Oxford Economics'!$A$7:$A$1000,$C7,'Oxford Economics'!$B$7:$B$1000,Settings!$B$11)-SUMIFS(INDEX('Oxford Economics'!$A$7:$AZ$1000,0,IFERROR(MATCH(AK$5,'Oxford Economics'!$A$6:$AZ$6,0),MATCH(AK$5&amp;"",'Oxford Economics'!$A$6:$AZ$6,0))),'Oxford Economics'!$A$7:$A$1000,$C7,'Oxford Economics'!$B$7:$B$1000,Settings!$B$13),SUMIFS(INDEX('Oxford Economics'!$A$7:$AZ$1000,0,IFERROR(MATCH(AK$5,'Oxford Economics'!$A$6:$AZ$6,0),MATCH(AK$5&amp;"",'Oxford Economics'!$A$6:$AZ$6,0))),'Oxford Economics'!$A$7:$A$1000,$C7,'Oxford Economics'!$B$7:$B$1000,Settings!$B$13)+SUMIFS(INDEX('Oxford Economics'!$A$7:$AZ$1000,0,IFERROR(MATCH(AK$5,'Oxford Economics'!$A$6:$AZ$6,0),MATCH(AK$5&amp;"",'Oxford Economics'!$A$6:$AZ$6,0))),'Oxford Economics'!$A$7:$A$1000,$C7,'Oxford Economics'!$B$7:$B$1000,Settings!$B$15)+IF(Settings!$B$17="",0,SUMIFS(INDEX('Oxford Economics'!$A$7:$AZ$1000,0,IFERROR(MATCH(AK$5,'Oxford Economics'!$A$6:$AZ$6,0),MATCH(AK$5&amp;"",'Oxford Economics'!$A$6:$AZ$6,0))),'Oxford Economics'!$A$7:$A$1000,$C7,'Oxford Economics'!$B$7:$B$1000,Settings!$B$17)))),""))</f>
        <v>16741.88</v>
      </c>
      <c r="AL7" s="37" t="n">
        <f aca="false">IF($A7="","",IFERROR(1/(1/IF($B7="Residential",SUMIFS(INDEX('Oxford Economics'!$A$7:$AZ$1000,0,IFERROR(MATCH(AL$5,'Oxford Economics'!$A$6:$AZ$6,0),MATCH(AL$5&amp;"",'Oxford Economics'!$A$6:$AZ$6,0))),'Oxford Economics'!$A$7:$A$1000,$C7,'Oxford Economics'!$B$7:$B$1000,Settings!$B$11)-SUMIFS(INDEX('Oxford Economics'!$A$7:$AZ$1000,0,IFERROR(MATCH(AL$5,'Oxford Economics'!$A$6:$AZ$6,0),MATCH(AL$5&amp;"",'Oxford Economics'!$A$6:$AZ$6,0))),'Oxford Economics'!$A$7:$A$1000,$C7,'Oxford Economics'!$B$7:$B$1000,Settings!$B$13),SUMIFS(INDEX('Oxford Economics'!$A$7:$AZ$1000,0,IFERROR(MATCH(AL$5,'Oxford Economics'!$A$6:$AZ$6,0),MATCH(AL$5&amp;"",'Oxford Economics'!$A$6:$AZ$6,0))),'Oxford Economics'!$A$7:$A$1000,$C7,'Oxford Economics'!$B$7:$B$1000,Settings!$B$13)+SUMIFS(INDEX('Oxford Economics'!$A$7:$AZ$1000,0,IFERROR(MATCH(AL$5,'Oxford Economics'!$A$6:$AZ$6,0),MATCH(AL$5&amp;"",'Oxford Economics'!$A$6:$AZ$6,0))),'Oxford Economics'!$A$7:$A$1000,$C7,'Oxford Economics'!$B$7:$B$1000,Settings!$B$15)+IF(Settings!$B$17="",0,SUMIFS(INDEX('Oxford Economics'!$A$7:$AZ$1000,0,IFERROR(MATCH(AL$5,'Oxford Economics'!$A$6:$AZ$6,0),MATCH(AL$5&amp;"",'Oxford Economics'!$A$6:$AZ$6,0))),'Oxford Economics'!$A$7:$A$1000,$C7,'Oxford Economics'!$B$7:$B$1000,Settings!$B$17)))),""))</f>
        <v>17420.7</v>
      </c>
      <c r="AM7" s="37" t="n">
        <f aca="false">IF($A7="","",IFERROR(1/(1/IF($B7="Residential",SUMIFS(INDEX('Oxford Economics'!$A$7:$AZ$1000,0,IFERROR(MATCH(AM$5,'Oxford Economics'!$A$6:$AZ$6,0),MATCH(AM$5&amp;"",'Oxford Economics'!$A$6:$AZ$6,0))),'Oxford Economics'!$A$7:$A$1000,$C7,'Oxford Economics'!$B$7:$B$1000,Settings!$B$11)-SUMIFS(INDEX('Oxford Economics'!$A$7:$AZ$1000,0,IFERROR(MATCH(AM$5,'Oxford Economics'!$A$6:$AZ$6,0),MATCH(AM$5&amp;"",'Oxford Economics'!$A$6:$AZ$6,0))),'Oxford Economics'!$A$7:$A$1000,$C7,'Oxford Economics'!$B$7:$B$1000,Settings!$B$13),SUMIFS(INDEX('Oxford Economics'!$A$7:$AZ$1000,0,IFERROR(MATCH(AM$5,'Oxford Economics'!$A$6:$AZ$6,0),MATCH(AM$5&amp;"",'Oxford Economics'!$A$6:$AZ$6,0))),'Oxford Economics'!$A$7:$A$1000,$C7,'Oxford Economics'!$B$7:$B$1000,Settings!$B$13)+SUMIFS(INDEX('Oxford Economics'!$A$7:$AZ$1000,0,IFERROR(MATCH(AM$5,'Oxford Economics'!$A$6:$AZ$6,0),MATCH(AM$5&amp;"",'Oxford Economics'!$A$6:$AZ$6,0))),'Oxford Economics'!$A$7:$A$1000,$C7,'Oxford Economics'!$B$7:$B$1000,Settings!$B$15)+IF(Settings!$B$17="",0,SUMIFS(INDEX('Oxford Economics'!$A$7:$AZ$1000,0,IFERROR(MATCH(AM$5,'Oxford Economics'!$A$6:$AZ$6,0),MATCH(AM$5&amp;"",'Oxford Economics'!$A$6:$AZ$6,0))),'Oxford Economics'!$A$7:$A$1000,$C7,'Oxford Economics'!$B$7:$B$1000,Settings!$B$17)))),""))</f>
        <v>17989.52</v>
      </c>
    </row>
    <row r="8" customFormat="false" ht="15" hidden="false" customHeight="false" outlineLevel="0" collapsed="false">
      <c r="A8" s="36" t="str">
        <f aca="false">IF('Raw data'!$A8="","",'Raw data'!$A8)</f>
        <v>Czech Republic</v>
      </c>
      <c r="B8" s="36" t="str">
        <f aca="false">IF($A8="","",'Raw data'!$C8)</f>
        <v>Residential</v>
      </c>
      <c r="C8" s="36" t="str">
        <f aca="false">IF($A8="","",IF('Raw data'!$D8="",$A8,'Raw data'!$D8))</f>
        <v>Czech Republic</v>
      </c>
      <c r="D8" s="37" t="n">
        <f aca="false">IF($A8="","",IF(AND(ISNUMBER(P8),ISNUMBER(AB8)),P8+AB8,""))</f>
        <v>6593.17</v>
      </c>
      <c r="E8" s="37" t="n">
        <f aca="false">IF($A8="","",IF(AND(ISNUMBER(Q8),ISNUMBER(AC8)),Q8+AC8,""))</f>
        <v>6639.44</v>
      </c>
      <c r="F8" s="37" t="n">
        <f aca="false">IF($A8="","",IF(AND(ISNUMBER(R8),ISNUMBER(AD8)),R8+AD8,""))</f>
        <v>6514.5</v>
      </c>
      <c r="G8" s="37" t="n">
        <f aca="false">IF($A8="","",IF(AND(ISNUMBER(S8),ISNUMBER(AE8)),S8+AE8,""))</f>
        <v>6260.49</v>
      </c>
      <c r="H8" s="37" t="n">
        <f aca="false">IF($A8="","",IF(AND(ISNUMBER(T8),ISNUMBER(AF8)),T8+AF8,""))</f>
        <v>6042.31</v>
      </c>
      <c r="I8" s="37" t="n">
        <f aca="false">IF($A8="","",IF(AND(ISNUMBER(U8),ISNUMBER(AG8)),U8+AG8,""))</f>
        <v>5836.52</v>
      </c>
      <c r="J8" s="37" t="n">
        <f aca="false">IF($A8="","",IF(AND(ISNUMBER(V8),ISNUMBER(AH8)),V8+AH8,""))</f>
        <v>5738.38</v>
      </c>
      <c r="K8" s="37" t="n">
        <f aca="false">IF($A8="","",IF(AND(ISNUMBER(W8),ISNUMBER(AI8)),W8+AI8,""))</f>
        <v>5843.95</v>
      </c>
      <c r="L8" s="37" t="n">
        <f aca="false">IF($A8="","",IF(AND(ISNUMBER(X8),ISNUMBER(AJ8)),X8+AJ8,""))</f>
        <v>5961.88</v>
      </c>
      <c r="M8" s="37" t="n">
        <f aca="false">IF($A8="","",IF(AND(ISNUMBER(Y8),ISNUMBER(AK8)),Y8+AK8,""))</f>
        <v>6059.96</v>
      </c>
      <c r="N8" s="37" t="n">
        <f aca="false">IF($A8="","",IF(AND(ISNUMBER(Z8),ISNUMBER(AL8)),Z8+AL8,""))</f>
        <v>6217.52</v>
      </c>
      <c r="O8" s="37" t="n">
        <f aca="false">IF($A8="","",IF(AND(ISNUMBER(AA8),ISNUMBER(AM8)),AA8+AM8,""))</f>
        <v>6395</v>
      </c>
      <c r="P8" s="37" t="n">
        <f aca="false">IF($A8="","",IFERROR(1/(1/IF($B8="Residential",SUMIFS(INDEX('Oxford Economics'!$A$7:$AZ$1000,0,IFERROR(MATCH(P$5,'Oxford Economics'!$A$6:$AZ$6,0),MATCH(P$5&amp;"",'Oxford Economics'!$A$6:$AZ$6,0))),'Oxford Economics'!$A$7:$A$1000,$C8,'Oxford Economics'!$B$7:$B$1000,Settings!$B$12)-SUMIFS(INDEX('Oxford Economics'!$A$7:$AZ$1000,0,IFERROR(MATCH(P$5,'Oxford Economics'!$A$6:$AZ$6,0),MATCH(P$5&amp;"",'Oxford Economics'!$A$6:$AZ$6,0))),'Oxford Economics'!$A$7:$A$1000,$C8,'Oxford Economics'!$B$7:$B$1000,Settings!$B$14),SUMIFS(INDEX('Oxford Economics'!$A$7:$AZ$1000,0,IFERROR(MATCH(P$5,'Oxford Economics'!$A$6:$AZ$6,0),MATCH(P$5&amp;"",'Oxford Economics'!$A$6:$AZ$6,0))),'Oxford Economics'!$A$7:$A$1000,$C8,'Oxford Economics'!$B$7:$B$1000,Settings!$B$14)+SUMIFS(INDEX('Oxford Economics'!$A$7:$AZ$1000,0,IFERROR(MATCH(P$5,'Oxford Economics'!$A$6:$AZ$6,0),MATCH(P$5&amp;"",'Oxford Economics'!$A$6:$AZ$6,0))),'Oxford Economics'!$A$7:$A$1000,$C8,'Oxford Economics'!$B$7:$B$1000,Settings!$B$16)+IF(Settings!$B$18="",0,SUMIFS(INDEX('Oxford Economics'!$A$7:$AZ$1000,0,IFERROR(MATCH(P$5,'Oxford Economics'!$A$6:$AZ$6,0),MATCH(P$5&amp;"",'Oxford Economics'!$A$6:$AZ$6,0))),'Oxford Economics'!$A$7:$A$1000,$C8,'Oxford Economics'!$B$7:$B$1000,Settings!$B$18)))),""))</f>
        <v>1612.86</v>
      </c>
      <c r="Q8" s="37" t="n">
        <f aca="false">IF($A8="","",IFERROR(1/(1/IF($B8="Residential",SUMIFS(INDEX('Oxford Economics'!$A$7:$AZ$1000,0,IFERROR(MATCH(Q$5,'Oxford Economics'!$A$6:$AZ$6,0),MATCH(Q$5&amp;"",'Oxford Economics'!$A$6:$AZ$6,0))),'Oxford Economics'!$A$7:$A$1000,$C8,'Oxford Economics'!$B$7:$B$1000,Settings!$B$12)-SUMIFS(INDEX('Oxford Economics'!$A$7:$AZ$1000,0,IFERROR(MATCH(Q$5,'Oxford Economics'!$A$6:$AZ$6,0),MATCH(Q$5&amp;"",'Oxford Economics'!$A$6:$AZ$6,0))),'Oxford Economics'!$A$7:$A$1000,$C8,'Oxford Economics'!$B$7:$B$1000,Settings!$B$14),SUMIFS(INDEX('Oxford Economics'!$A$7:$AZ$1000,0,IFERROR(MATCH(Q$5,'Oxford Economics'!$A$6:$AZ$6,0),MATCH(Q$5&amp;"",'Oxford Economics'!$A$6:$AZ$6,0))),'Oxford Economics'!$A$7:$A$1000,$C8,'Oxford Economics'!$B$7:$B$1000,Settings!$B$14)+SUMIFS(INDEX('Oxford Economics'!$A$7:$AZ$1000,0,IFERROR(MATCH(Q$5,'Oxford Economics'!$A$6:$AZ$6,0),MATCH(Q$5&amp;"",'Oxford Economics'!$A$6:$AZ$6,0))),'Oxford Economics'!$A$7:$A$1000,$C8,'Oxford Economics'!$B$7:$B$1000,Settings!$B$16)+IF(Settings!$B$18="",0,SUMIFS(INDEX('Oxford Economics'!$A$7:$AZ$1000,0,IFERROR(MATCH(Q$5,'Oxford Economics'!$A$6:$AZ$6,0),MATCH(Q$5&amp;"",'Oxford Economics'!$A$6:$AZ$6,0))),'Oxford Economics'!$A$7:$A$1000,$C8,'Oxford Economics'!$B$7:$B$1000,Settings!$B$18)))),""))</f>
        <v>1643.71</v>
      </c>
      <c r="R8" s="37" t="n">
        <f aca="false">IF($A8="","",IFERROR(1/(1/IF($B8="Residential",SUMIFS(INDEX('Oxford Economics'!$A$7:$AZ$1000,0,IFERROR(MATCH(R$5,'Oxford Economics'!$A$6:$AZ$6,0),MATCH(R$5&amp;"",'Oxford Economics'!$A$6:$AZ$6,0))),'Oxford Economics'!$A$7:$A$1000,$C8,'Oxford Economics'!$B$7:$B$1000,Settings!$B$12)-SUMIFS(INDEX('Oxford Economics'!$A$7:$AZ$1000,0,IFERROR(MATCH(R$5,'Oxford Economics'!$A$6:$AZ$6,0),MATCH(R$5&amp;"",'Oxford Economics'!$A$6:$AZ$6,0))),'Oxford Economics'!$A$7:$A$1000,$C8,'Oxford Economics'!$B$7:$B$1000,Settings!$B$14),SUMIFS(INDEX('Oxford Economics'!$A$7:$AZ$1000,0,IFERROR(MATCH(R$5,'Oxford Economics'!$A$6:$AZ$6,0),MATCH(R$5&amp;"",'Oxford Economics'!$A$6:$AZ$6,0))),'Oxford Economics'!$A$7:$A$1000,$C8,'Oxford Economics'!$B$7:$B$1000,Settings!$B$14)+SUMIFS(INDEX('Oxford Economics'!$A$7:$AZ$1000,0,IFERROR(MATCH(R$5,'Oxford Economics'!$A$6:$AZ$6,0),MATCH(R$5&amp;"",'Oxford Economics'!$A$6:$AZ$6,0))),'Oxford Economics'!$A$7:$A$1000,$C8,'Oxford Economics'!$B$7:$B$1000,Settings!$B$16)+IF(Settings!$B$18="",0,SUMIFS(INDEX('Oxford Economics'!$A$7:$AZ$1000,0,IFERROR(MATCH(R$5,'Oxford Economics'!$A$6:$AZ$6,0),MATCH(R$5&amp;"",'Oxford Economics'!$A$6:$AZ$6,0))),'Oxford Economics'!$A$7:$A$1000,$C8,'Oxford Economics'!$B$7:$B$1000,Settings!$B$18)))),""))</f>
        <v>1568.02</v>
      </c>
      <c r="S8" s="37" t="n">
        <f aca="false">IF($A8="","",IFERROR(1/(1/IF($B8="Residential",SUMIFS(INDEX('Oxford Economics'!$A$7:$AZ$1000,0,IFERROR(MATCH(S$5,'Oxford Economics'!$A$6:$AZ$6,0),MATCH(S$5&amp;"",'Oxford Economics'!$A$6:$AZ$6,0))),'Oxford Economics'!$A$7:$A$1000,$C8,'Oxford Economics'!$B$7:$B$1000,Settings!$B$12)-SUMIFS(INDEX('Oxford Economics'!$A$7:$AZ$1000,0,IFERROR(MATCH(S$5,'Oxford Economics'!$A$6:$AZ$6,0),MATCH(S$5&amp;"",'Oxford Economics'!$A$6:$AZ$6,0))),'Oxford Economics'!$A$7:$A$1000,$C8,'Oxford Economics'!$B$7:$B$1000,Settings!$B$14),SUMIFS(INDEX('Oxford Economics'!$A$7:$AZ$1000,0,IFERROR(MATCH(S$5,'Oxford Economics'!$A$6:$AZ$6,0),MATCH(S$5&amp;"",'Oxford Economics'!$A$6:$AZ$6,0))),'Oxford Economics'!$A$7:$A$1000,$C8,'Oxford Economics'!$B$7:$B$1000,Settings!$B$14)+SUMIFS(INDEX('Oxford Economics'!$A$7:$AZ$1000,0,IFERROR(MATCH(S$5,'Oxford Economics'!$A$6:$AZ$6,0),MATCH(S$5&amp;"",'Oxford Economics'!$A$6:$AZ$6,0))),'Oxford Economics'!$A$7:$A$1000,$C8,'Oxford Economics'!$B$7:$B$1000,Settings!$B$16)+IF(Settings!$B$18="",0,SUMIFS(INDEX('Oxford Economics'!$A$7:$AZ$1000,0,IFERROR(MATCH(S$5,'Oxford Economics'!$A$6:$AZ$6,0),MATCH(S$5&amp;"",'Oxford Economics'!$A$6:$AZ$6,0))),'Oxford Economics'!$A$7:$A$1000,$C8,'Oxford Economics'!$B$7:$B$1000,Settings!$B$18)))),""))</f>
        <v>1854.22</v>
      </c>
      <c r="T8" s="37" t="n">
        <f aca="false">IF($A8="","",IFERROR(1/(1/IF($B8="Residential",SUMIFS(INDEX('Oxford Economics'!$A$7:$AZ$1000,0,IFERROR(MATCH(T$5,'Oxford Economics'!$A$6:$AZ$6,0),MATCH(T$5&amp;"",'Oxford Economics'!$A$6:$AZ$6,0))),'Oxford Economics'!$A$7:$A$1000,$C8,'Oxford Economics'!$B$7:$B$1000,Settings!$B$12)-SUMIFS(INDEX('Oxford Economics'!$A$7:$AZ$1000,0,IFERROR(MATCH(T$5,'Oxford Economics'!$A$6:$AZ$6,0),MATCH(T$5&amp;"",'Oxford Economics'!$A$6:$AZ$6,0))),'Oxford Economics'!$A$7:$A$1000,$C8,'Oxford Economics'!$B$7:$B$1000,Settings!$B$14),SUMIFS(INDEX('Oxford Economics'!$A$7:$AZ$1000,0,IFERROR(MATCH(T$5,'Oxford Economics'!$A$6:$AZ$6,0),MATCH(T$5&amp;"",'Oxford Economics'!$A$6:$AZ$6,0))),'Oxford Economics'!$A$7:$A$1000,$C8,'Oxford Economics'!$B$7:$B$1000,Settings!$B$14)+SUMIFS(INDEX('Oxford Economics'!$A$7:$AZ$1000,0,IFERROR(MATCH(T$5,'Oxford Economics'!$A$6:$AZ$6,0),MATCH(T$5&amp;"",'Oxford Economics'!$A$6:$AZ$6,0))),'Oxford Economics'!$A$7:$A$1000,$C8,'Oxford Economics'!$B$7:$B$1000,Settings!$B$16)+IF(Settings!$B$18="",0,SUMIFS(INDEX('Oxford Economics'!$A$7:$AZ$1000,0,IFERROR(MATCH(T$5,'Oxford Economics'!$A$6:$AZ$6,0),MATCH(T$5&amp;"",'Oxford Economics'!$A$6:$AZ$6,0))),'Oxford Economics'!$A$7:$A$1000,$C8,'Oxford Economics'!$B$7:$B$1000,Settings!$B$18)))),""))</f>
        <v>2004.93</v>
      </c>
      <c r="U8" s="37" t="n">
        <f aca="false">IF($A8="","",IFERROR(1/(1/IF($B8="Residential",SUMIFS(INDEX('Oxford Economics'!$A$7:$AZ$1000,0,IFERROR(MATCH(U$5,'Oxford Economics'!$A$6:$AZ$6,0),MATCH(U$5&amp;"",'Oxford Economics'!$A$6:$AZ$6,0))),'Oxford Economics'!$A$7:$A$1000,$C8,'Oxford Economics'!$B$7:$B$1000,Settings!$B$12)-SUMIFS(INDEX('Oxford Economics'!$A$7:$AZ$1000,0,IFERROR(MATCH(U$5,'Oxford Economics'!$A$6:$AZ$6,0),MATCH(U$5&amp;"",'Oxford Economics'!$A$6:$AZ$6,0))),'Oxford Economics'!$A$7:$A$1000,$C8,'Oxford Economics'!$B$7:$B$1000,Settings!$B$14),SUMIFS(INDEX('Oxford Economics'!$A$7:$AZ$1000,0,IFERROR(MATCH(U$5,'Oxford Economics'!$A$6:$AZ$6,0),MATCH(U$5&amp;"",'Oxford Economics'!$A$6:$AZ$6,0))),'Oxford Economics'!$A$7:$A$1000,$C8,'Oxford Economics'!$B$7:$B$1000,Settings!$B$14)+SUMIFS(INDEX('Oxford Economics'!$A$7:$AZ$1000,0,IFERROR(MATCH(U$5,'Oxford Economics'!$A$6:$AZ$6,0),MATCH(U$5&amp;"",'Oxford Economics'!$A$6:$AZ$6,0))),'Oxford Economics'!$A$7:$A$1000,$C8,'Oxford Economics'!$B$7:$B$1000,Settings!$B$16)+IF(Settings!$B$18="",0,SUMIFS(INDEX('Oxford Economics'!$A$7:$AZ$1000,0,IFERROR(MATCH(U$5,'Oxford Economics'!$A$6:$AZ$6,0),MATCH(U$5&amp;"",'Oxford Economics'!$A$6:$AZ$6,0))),'Oxford Economics'!$A$7:$A$1000,$C8,'Oxford Economics'!$B$7:$B$1000,Settings!$B$18)))),""))</f>
        <v>1887.32</v>
      </c>
      <c r="V8" s="37" t="n">
        <f aca="false">IF($A8="","",IFERROR(1/(1/IF($B8="Residential",SUMIFS(INDEX('Oxford Economics'!$A$7:$AZ$1000,0,IFERROR(MATCH(V$5,'Oxford Economics'!$A$6:$AZ$6,0),MATCH(V$5&amp;"",'Oxford Economics'!$A$6:$AZ$6,0))),'Oxford Economics'!$A$7:$A$1000,$C8,'Oxford Economics'!$B$7:$B$1000,Settings!$B$12)-SUMIFS(INDEX('Oxford Economics'!$A$7:$AZ$1000,0,IFERROR(MATCH(V$5,'Oxford Economics'!$A$6:$AZ$6,0),MATCH(V$5&amp;"",'Oxford Economics'!$A$6:$AZ$6,0))),'Oxford Economics'!$A$7:$A$1000,$C8,'Oxford Economics'!$B$7:$B$1000,Settings!$B$14),SUMIFS(INDEX('Oxford Economics'!$A$7:$AZ$1000,0,IFERROR(MATCH(V$5,'Oxford Economics'!$A$6:$AZ$6,0),MATCH(V$5&amp;"",'Oxford Economics'!$A$6:$AZ$6,0))),'Oxford Economics'!$A$7:$A$1000,$C8,'Oxford Economics'!$B$7:$B$1000,Settings!$B$14)+SUMIFS(INDEX('Oxford Economics'!$A$7:$AZ$1000,0,IFERROR(MATCH(V$5,'Oxford Economics'!$A$6:$AZ$6,0),MATCH(V$5&amp;"",'Oxford Economics'!$A$6:$AZ$6,0))),'Oxford Economics'!$A$7:$A$1000,$C8,'Oxford Economics'!$B$7:$B$1000,Settings!$B$16)+IF(Settings!$B$18="",0,SUMIFS(INDEX('Oxford Economics'!$A$7:$AZ$1000,0,IFERROR(MATCH(V$5,'Oxford Economics'!$A$6:$AZ$6,0),MATCH(V$5&amp;"",'Oxford Economics'!$A$6:$AZ$6,0))),'Oxford Economics'!$A$7:$A$1000,$C8,'Oxford Economics'!$B$7:$B$1000,Settings!$B$18)))),""))</f>
        <v>1709.38</v>
      </c>
      <c r="W8" s="37" t="n">
        <f aca="false">IF($A8="","",IFERROR(1/(1/IF($B8="Residential",SUMIFS(INDEX('Oxford Economics'!$A$7:$AZ$1000,0,IFERROR(MATCH(W$5,'Oxford Economics'!$A$6:$AZ$6,0),MATCH(W$5&amp;"",'Oxford Economics'!$A$6:$AZ$6,0))),'Oxford Economics'!$A$7:$A$1000,$C8,'Oxford Economics'!$B$7:$B$1000,Settings!$B$12)-SUMIFS(INDEX('Oxford Economics'!$A$7:$AZ$1000,0,IFERROR(MATCH(W$5,'Oxford Economics'!$A$6:$AZ$6,0),MATCH(W$5&amp;"",'Oxford Economics'!$A$6:$AZ$6,0))),'Oxford Economics'!$A$7:$A$1000,$C8,'Oxford Economics'!$B$7:$B$1000,Settings!$B$14),SUMIFS(INDEX('Oxford Economics'!$A$7:$AZ$1000,0,IFERROR(MATCH(W$5,'Oxford Economics'!$A$6:$AZ$6,0),MATCH(W$5&amp;"",'Oxford Economics'!$A$6:$AZ$6,0))),'Oxford Economics'!$A$7:$A$1000,$C8,'Oxford Economics'!$B$7:$B$1000,Settings!$B$14)+SUMIFS(INDEX('Oxford Economics'!$A$7:$AZ$1000,0,IFERROR(MATCH(W$5,'Oxford Economics'!$A$6:$AZ$6,0),MATCH(W$5&amp;"",'Oxford Economics'!$A$6:$AZ$6,0))),'Oxford Economics'!$A$7:$A$1000,$C8,'Oxford Economics'!$B$7:$B$1000,Settings!$B$16)+IF(Settings!$B$18="",0,SUMIFS(INDEX('Oxford Economics'!$A$7:$AZ$1000,0,IFERROR(MATCH(W$5,'Oxford Economics'!$A$6:$AZ$6,0),MATCH(W$5&amp;"",'Oxford Economics'!$A$6:$AZ$6,0))),'Oxford Economics'!$A$7:$A$1000,$C8,'Oxford Economics'!$B$7:$B$1000,Settings!$B$18)))),""))</f>
        <v>1735.95</v>
      </c>
      <c r="X8" s="37" t="n">
        <f aca="false">IF($A8="","",IFERROR(1/(1/IF($B8="Residential",SUMIFS(INDEX('Oxford Economics'!$A$7:$AZ$1000,0,IFERROR(MATCH(X$5,'Oxford Economics'!$A$6:$AZ$6,0),MATCH(X$5&amp;"",'Oxford Economics'!$A$6:$AZ$6,0))),'Oxford Economics'!$A$7:$A$1000,$C8,'Oxford Economics'!$B$7:$B$1000,Settings!$B$12)-SUMIFS(INDEX('Oxford Economics'!$A$7:$AZ$1000,0,IFERROR(MATCH(X$5,'Oxford Economics'!$A$6:$AZ$6,0),MATCH(X$5&amp;"",'Oxford Economics'!$A$6:$AZ$6,0))),'Oxford Economics'!$A$7:$A$1000,$C8,'Oxford Economics'!$B$7:$B$1000,Settings!$B$14),SUMIFS(INDEX('Oxford Economics'!$A$7:$AZ$1000,0,IFERROR(MATCH(X$5,'Oxford Economics'!$A$6:$AZ$6,0),MATCH(X$5&amp;"",'Oxford Economics'!$A$6:$AZ$6,0))),'Oxford Economics'!$A$7:$A$1000,$C8,'Oxford Economics'!$B$7:$B$1000,Settings!$B$14)+SUMIFS(INDEX('Oxford Economics'!$A$7:$AZ$1000,0,IFERROR(MATCH(X$5,'Oxford Economics'!$A$6:$AZ$6,0),MATCH(X$5&amp;"",'Oxford Economics'!$A$6:$AZ$6,0))),'Oxford Economics'!$A$7:$A$1000,$C8,'Oxford Economics'!$B$7:$B$1000,Settings!$B$16)+IF(Settings!$B$18="",0,SUMIFS(INDEX('Oxford Economics'!$A$7:$AZ$1000,0,IFERROR(MATCH(X$5,'Oxford Economics'!$A$6:$AZ$6,0),MATCH(X$5&amp;"",'Oxford Economics'!$A$6:$AZ$6,0))),'Oxford Economics'!$A$7:$A$1000,$C8,'Oxford Economics'!$B$7:$B$1000,Settings!$B$18)))),""))</f>
        <v>1808.74</v>
      </c>
      <c r="Y8" s="37" t="n">
        <f aca="false">IF($A8="","",IFERROR(1/(1/IF($B8="Residential",SUMIFS(INDEX('Oxford Economics'!$A$7:$AZ$1000,0,IFERROR(MATCH(Y$5,'Oxford Economics'!$A$6:$AZ$6,0),MATCH(Y$5&amp;"",'Oxford Economics'!$A$6:$AZ$6,0))),'Oxford Economics'!$A$7:$A$1000,$C8,'Oxford Economics'!$B$7:$B$1000,Settings!$B$12)-SUMIFS(INDEX('Oxford Economics'!$A$7:$AZ$1000,0,IFERROR(MATCH(Y$5,'Oxford Economics'!$A$6:$AZ$6,0),MATCH(Y$5&amp;"",'Oxford Economics'!$A$6:$AZ$6,0))),'Oxford Economics'!$A$7:$A$1000,$C8,'Oxford Economics'!$B$7:$B$1000,Settings!$B$14),SUMIFS(INDEX('Oxford Economics'!$A$7:$AZ$1000,0,IFERROR(MATCH(Y$5,'Oxford Economics'!$A$6:$AZ$6,0),MATCH(Y$5&amp;"",'Oxford Economics'!$A$6:$AZ$6,0))),'Oxford Economics'!$A$7:$A$1000,$C8,'Oxford Economics'!$B$7:$B$1000,Settings!$B$14)+SUMIFS(INDEX('Oxford Economics'!$A$7:$AZ$1000,0,IFERROR(MATCH(Y$5,'Oxford Economics'!$A$6:$AZ$6,0),MATCH(Y$5&amp;"",'Oxford Economics'!$A$6:$AZ$6,0))),'Oxford Economics'!$A$7:$A$1000,$C8,'Oxford Economics'!$B$7:$B$1000,Settings!$B$16)+IF(Settings!$B$18="",0,SUMIFS(INDEX('Oxford Economics'!$A$7:$AZ$1000,0,IFERROR(MATCH(Y$5,'Oxford Economics'!$A$6:$AZ$6,0),MATCH(Y$5&amp;"",'Oxford Economics'!$A$6:$AZ$6,0))),'Oxford Economics'!$A$7:$A$1000,$C8,'Oxford Economics'!$B$7:$B$1000,Settings!$B$18)))),""))</f>
        <v>1868.93</v>
      </c>
      <c r="Z8" s="37" t="n">
        <f aca="false">IF($A8="","",IFERROR(1/(1/IF($B8="Residential",SUMIFS(INDEX('Oxford Economics'!$A$7:$AZ$1000,0,IFERROR(MATCH(Z$5,'Oxford Economics'!$A$6:$AZ$6,0),MATCH(Z$5&amp;"",'Oxford Economics'!$A$6:$AZ$6,0))),'Oxford Economics'!$A$7:$A$1000,$C8,'Oxford Economics'!$B$7:$B$1000,Settings!$B$12)-SUMIFS(INDEX('Oxford Economics'!$A$7:$AZ$1000,0,IFERROR(MATCH(Z$5,'Oxford Economics'!$A$6:$AZ$6,0),MATCH(Z$5&amp;"",'Oxford Economics'!$A$6:$AZ$6,0))),'Oxford Economics'!$A$7:$A$1000,$C8,'Oxford Economics'!$B$7:$B$1000,Settings!$B$14),SUMIFS(INDEX('Oxford Economics'!$A$7:$AZ$1000,0,IFERROR(MATCH(Z$5,'Oxford Economics'!$A$6:$AZ$6,0),MATCH(Z$5&amp;"",'Oxford Economics'!$A$6:$AZ$6,0))),'Oxford Economics'!$A$7:$A$1000,$C8,'Oxford Economics'!$B$7:$B$1000,Settings!$B$14)+SUMIFS(INDEX('Oxford Economics'!$A$7:$AZ$1000,0,IFERROR(MATCH(Z$5,'Oxford Economics'!$A$6:$AZ$6,0),MATCH(Z$5&amp;"",'Oxford Economics'!$A$6:$AZ$6,0))),'Oxford Economics'!$A$7:$A$1000,$C8,'Oxford Economics'!$B$7:$B$1000,Settings!$B$16)+IF(Settings!$B$18="",0,SUMIFS(INDEX('Oxford Economics'!$A$7:$AZ$1000,0,IFERROR(MATCH(Z$5,'Oxford Economics'!$A$6:$AZ$6,0),MATCH(Z$5&amp;"",'Oxford Economics'!$A$6:$AZ$6,0))),'Oxford Economics'!$A$7:$A$1000,$C8,'Oxford Economics'!$B$7:$B$1000,Settings!$B$18)))),""))</f>
        <v>1930.29</v>
      </c>
      <c r="AA8" s="37" t="n">
        <f aca="false">IF($A8="","",IFERROR(1/(1/IF($B8="Residential",SUMIFS(INDEX('Oxford Economics'!$A$7:$AZ$1000,0,IFERROR(MATCH(AA$5,'Oxford Economics'!$A$6:$AZ$6,0),MATCH(AA$5&amp;"",'Oxford Economics'!$A$6:$AZ$6,0))),'Oxford Economics'!$A$7:$A$1000,$C8,'Oxford Economics'!$B$7:$B$1000,Settings!$B$12)-SUMIFS(INDEX('Oxford Economics'!$A$7:$AZ$1000,0,IFERROR(MATCH(AA$5,'Oxford Economics'!$A$6:$AZ$6,0),MATCH(AA$5&amp;"",'Oxford Economics'!$A$6:$AZ$6,0))),'Oxford Economics'!$A$7:$A$1000,$C8,'Oxford Economics'!$B$7:$B$1000,Settings!$B$14),SUMIFS(INDEX('Oxford Economics'!$A$7:$AZ$1000,0,IFERROR(MATCH(AA$5,'Oxford Economics'!$A$6:$AZ$6,0),MATCH(AA$5&amp;"",'Oxford Economics'!$A$6:$AZ$6,0))),'Oxford Economics'!$A$7:$A$1000,$C8,'Oxford Economics'!$B$7:$B$1000,Settings!$B$14)+SUMIFS(INDEX('Oxford Economics'!$A$7:$AZ$1000,0,IFERROR(MATCH(AA$5,'Oxford Economics'!$A$6:$AZ$6,0),MATCH(AA$5&amp;"",'Oxford Economics'!$A$6:$AZ$6,0))),'Oxford Economics'!$A$7:$A$1000,$C8,'Oxford Economics'!$B$7:$B$1000,Settings!$B$16)+IF(Settings!$B$18="",0,SUMIFS(INDEX('Oxford Economics'!$A$7:$AZ$1000,0,IFERROR(MATCH(AA$5,'Oxford Economics'!$A$6:$AZ$6,0),MATCH(AA$5&amp;"",'Oxford Economics'!$A$6:$AZ$6,0))),'Oxford Economics'!$A$7:$A$1000,$C8,'Oxford Economics'!$B$7:$B$1000,Settings!$B$18)))),""))</f>
        <v>1991.94</v>
      </c>
      <c r="AB8" s="37" t="n">
        <f aca="false">IF($A8="","",IFERROR(1/(1/IF($B8="Residential",SUMIFS(INDEX('Oxford Economics'!$A$7:$AZ$1000,0,IFERROR(MATCH(AB$5,'Oxford Economics'!$A$6:$AZ$6,0),MATCH(AB$5&amp;"",'Oxford Economics'!$A$6:$AZ$6,0))),'Oxford Economics'!$A$7:$A$1000,$C8,'Oxford Economics'!$B$7:$B$1000,Settings!$B$11)-SUMIFS(INDEX('Oxford Economics'!$A$7:$AZ$1000,0,IFERROR(MATCH(AB$5,'Oxford Economics'!$A$6:$AZ$6,0),MATCH(AB$5&amp;"",'Oxford Economics'!$A$6:$AZ$6,0))),'Oxford Economics'!$A$7:$A$1000,$C8,'Oxford Economics'!$B$7:$B$1000,Settings!$B$13),SUMIFS(INDEX('Oxford Economics'!$A$7:$AZ$1000,0,IFERROR(MATCH(AB$5,'Oxford Economics'!$A$6:$AZ$6,0),MATCH(AB$5&amp;"",'Oxford Economics'!$A$6:$AZ$6,0))),'Oxford Economics'!$A$7:$A$1000,$C8,'Oxford Economics'!$B$7:$B$1000,Settings!$B$13)+SUMIFS(INDEX('Oxford Economics'!$A$7:$AZ$1000,0,IFERROR(MATCH(AB$5,'Oxford Economics'!$A$6:$AZ$6,0),MATCH(AB$5&amp;"",'Oxford Economics'!$A$6:$AZ$6,0))),'Oxford Economics'!$A$7:$A$1000,$C8,'Oxford Economics'!$B$7:$B$1000,Settings!$B$15)+IF(Settings!$B$17="",0,SUMIFS(INDEX('Oxford Economics'!$A$7:$AZ$1000,0,IFERROR(MATCH(AB$5,'Oxford Economics'!$A$6:$AZ$6,0),MATCH(AB$5&amp;"",'Oxford Economics'!$A$6:$AZ$6,0))),'Oxford Economics'!$A$7:$A$1000,$C8,'Oxford Economics'!$B$7:$B$1000,Settings!$B$17)))),""))</f>
        <v>4980.31</v>
      </c>
      <c r="AC8" s="37" t="n">
        <f aca="false">IF($A8="","",IFERROR(1/(1/IF($B8="Residential",SUMIFS(INDEX('Oxford Economics'!$A$7:$AZ$1000,0,IFERROR(MATCH(AC$5,'Oxford Economics'!$A$6:$AZ$6,0),MATCH(AC$5&amp;"",'Oxford Economics'!$A$6:$AZ$6,0))),'Oxford Economics'!$A$7:$A$1000,$C8,'Oxford Economics'!$B$7:$B$1000,Settings!$B$11)-SUMIFS(INDEX('Oxford Economics'!$A$7:$AZ$1000,0,IFERROR(MATCH(AC$5,'Oxford Economics'!$A$6:$AZ$6,0),MATCH(AC$5&amp;"",'Oxford Economics'!$A$6:$AZ$6,0))),'Oxford Economics'!$A$7:$A$1000,$C8,'Oxford Economics'!$B$7:$B$1000,Settings!$B$13),SUMIFS(INDEX('Oxford Economics'!$A$7:$AZ$1000,0,IFERROR(MATCH(AC$5,'Oxford Economics'!$A$6:$AZ$6,0),MATCH(AC$5&amp;"",'Oxford Economics'!$A$6:$AZ$6,0))),'Oxford Economics'!$A$7:$A$1000,$C8,'Oxford Economics'!$B$7:$B$1000,Settings!$B$13)+SUMIFS(INDEX('Oxford Economics'!$A$7:$AZ$1000,0,IFERROR(MATCH(AC$5,'Oxford Economics'!$A$6:$AZ$6,0),MATCH(AC$5&amp;"",'Oxford Economics'!$A$6:$AZ$6,0))),'Oxford Economics'!$A$7:$A$1000,$C8,'Oxford Economics'!$B$7:$B$1000,Settings!$B$15)+IF(Settings!$B$17="",0,SUMIFS(INDEX('Oxford Economics'!$A$7:$AZ$1000,0,IFERROR(MATCH(AC$5,'Oxford Economics'!$A$6:$AZ$6,0),MATCH(AC$5&amp;"",'Oxford Economics'!$A$6:$AZ$6,0))),'Oxford Economics'!$A$7:$A$1000,$C8,'Oxford Economics'!$B$7:$B$1000,Settings!$B$17)))),""))</f>
        <v>4995.73</v>
      </c>
      <c r="AD8" s="37" t="n">
        <f aca="false">IF($A8="","",IFERROR(1/(1/IF($B8="Residential",SUMIFS(INDEX('Oxford Economics'!$A$7:$AZ$1000,0,IFERROR(MATCH(AD$5,'Oxford Economics'!$A$6:$AZ$6,0),MATCH(AD$5&amp;"",'Oxford Economics'!$A$6:$AZ$6,0))),'Oxford Economics'!$A$7:$A$1000,$C8,'Oxford Economics'!$B$7:$B$1000,Settings!$B$11)-SUMIFS(INDEX('Oxford Economics'!$A$7:$AZ$1000,0,IFERROR(MATCH(AD$5,'Oxford Economics'!$A$6:$AZ$6,0),MATCH(AD$5&amp;"",'Oxford Economics'!$A$6:$AZ$6,0))),'Oxford Economics'!$A$7:$A$1000,$C8,'Oxford Economics'!$B$7:$B$1000,Settings!$B$13),SUMIFS(INDEX('Oxford Economics'!$A$7:$AZ$1000,0,IFERROR(MATCH(AD$5,'Oxford Economics'!$A$6:$AZ$6,0),MATCH(AD$5&amp;"",'Oxford Economics'!$A$6:$AZ$6,0))),'Oxford Economics'!$A$7:$A$1000,$C8,'Oxford Economics'!$B$7:$B$1000,Settings!$B$13)+SUMIFS(INDEX('Oxford Economics'!$A$7:$AZ$1000,0,IFERROR(MATCH(AD$5,'Oxford Economics'!$A$6:$AZ$6,0),MATCH(AD$5&amp;"",'Oxford Economics'!$A$6:$AZ$6,0))),'Oxford Economics'!$A$7:$A$1000,$C8,'Oxford Economics'!$B$7:$B$1000,Settings!$B$15)+IF(Settings!$B$17="",0,SUMIFS(INDEX('Oxford Economics'!$A$7:$AZ$1000,0,IFERROR(MATCH(AD$5,'Oxford Economics'!$A$6:$AZ$6,0),MATCH(AD$5&amp;"",'Oxford Economics'!$A$6:$AZ$6,0))),'Oxford Economics'!$A$7:$A$1000,$C8,'Oxford Economics'!$B$7:$B$1000,Settings!$B$17)))),""))</f>
        <v>4946.48</v>
      </c>
      <c r="AE8" s="37" t="n">
        <f aca="false">IF($A8="","",IFERROR(1/(1/IF($B8="Residential",SUMIFS(INDEX('Oxford Economics'!$A$7:$AZ$1000,0,IFERROR(MATCH(AE$5,'Oxford Economics'!$A$6:$AZ$6,0),MATCH(AE$5&amp;"",'Oxford Economics'!$A$6:$AZ$6,0))),'Oxford Economics'!$A$7:$A$1000,$C8,'Oxford Economics'!$B$7:$B$1000,Settings!$B$11)-SUMIFS(INDEX('Oxford Economics'!$A$7:$AZ$1000,0,IFERROR(MATCH(AE$5,'Oxford Economics'!$A$6:$AZ$6,0),MATCH(AE$5&amp;"",'Oxford Economics'!$A$6:$AZ$6,0))),'Oxford Economics'!$A$7:$A$1000,$C8,'Oxford Economics'!$B$7:$B$1000,Settings!$B$13),SUMIFS(INDEX('Oxford Economics'!$A$7:$AZ$1000,0,IFERROR(MATCH(AE$5,'Oxford Economics'!$A$6:$AZ$6,0),MATCH(AE$5&amp;"",'Oxford Economics'!$A$6:$AZ$6,0))),'Oxford Economics'!$A$7:$A$1000,$C8,'Oxford Economics'!$B$7:$B$1000,Settings!$B$13)+SUMIFS(INDEX('Oxford Economics'!$A$7:$AZ$1000,0,IFERROR(MATCH(AE$5,'Oxford Economics'!$A$6:$AZ$6,0),MATCH(AE$5&amp;"",'Oxford Economics'!$A$6:$AZ$6,0))),'Oxford Economics'!$A$7:$A$1000,$C8,'Oxford Economics'!$B$7:$B$1000,Settings!$B$15)+IF(Settings!$B$17="",0,SUMIFS(INDEX('Oxford Economics'!$A$7:$AZ$1000,0,IFERROR(MATCH(AE$5,'Oxford Economics'!$A$6:$AZ$6,0),MATCH(AE$5&amp;"",'Oxford Economics'!$A$6:$AZ$6,0))),'Oxford Economics'!$A$7:$A$1000,$C8,'Oxford Economics'!$B$7:$B$1000,Settings!$B$17)))),""))</f>
        <v>4406.27</v>
      </c>
      <c r="AF8" s="37" t="n">
        <f aca="false">IF($A8="","",IFERROR(1/(1/IF($B8="Residential",SUMIFS(INDEX('Oxford Economics'!$A$7:$AZ$1000,0,IFERROR(MATCH(AF$5,'Oxford Economics'!$A$6:$AZ$6,0),MATCH(AF$5&amp;"",'Oxford Economics'!$A$6:$AZ$6,0))),'Oxford Economics'!$A$7:$A$1000,$C8,'Oxford Economics'!$B$7:$B$1000,Settings!$B$11)-SUMIFS(INDEX('Oxford Economics'!$A$7:$AZ$1000,0,IFERROR(MATCH(AF$5,'Oxford Economics'!$A$6:$AZ$6,0),MATCH(AF$5&amp;"",'Oxford Economics'!$A$6:$AZ$6,0))),'Oxford Economics'!$A$7:$A$1000,$C8,'Oxford Economics'!$B$7:$B$1000,Settings!$B$13),SUMIFS(INDEX('Oxford Economics'!$A$7:$AZ$1000,0,IFERROR(MATCH(AF$5,'Oxford Economics'!$A$6:$AZ$6,0),MATCH(AF$5&amp;"",'Oxford Economics'!$A$6:$AZ$6,0))),'Oxford Economics'!$A$7:$A$1000,$C8,'Oxford Economics'!$B$7:$B$1000,Settings!$B$13)+SUMIFS(INDEX('Oxford Economics'!$A$7:$AZ$1000,0,IFERROR(MATCH(AF$5,'Oxford Economics'!$A$6:$AZ$6,0),MATCH(AF$5&amp;"",'Oxford Economics'!$A$6:$AZ$6,0))),'Oxford Economics'!$A$7:$A$1000,$C8,'Oxford Economics'!$B$7:$B$1000,Settings!$B$15)+IF(Settings!$B$17="",0,SUMIFS(INDEX('Oxford Economics'!$A$7:$AZ$1000,0,IFERROR(MATCH(AF$5,'Oxford Economics'!$A$6:$AZ$6,0),MATCH(AF$5&amp;"",'Oxford Economics'!$A$6:$AZ$6,0))),'Oxford Economics'!$A$7:$A$1000,$C8,'Oxford Economics'!$B$7:$B$1000,Settings!$B$17)))),""))</f>
        <v>4037.38</v>
      </c>
      <c r="AG8" s="37" t="n">
        <f aca="false">IF($A8="","",IFERROR(1/(1/IF($B8="Residential",SUMIFS(INDEX('Oxford Economics'!$A$7:$AZ$1000,0,IFERROR(MATCH(AG$5,'Oxford Economics'!$A$6:$AZ$6,0),MATCH(AG$5&amp;"",'Oxford Economics'!$A$6:$AZ$6,0))),'Oxford Economics'!$A$7:$A$1000,$C8,'Oxford Economics'!$B$7:$B$1000,Settings!$B$11)-SUMIFS(INDEX('Oxford Economics'!$A$7:$AZ$1000,0,IFERROR(MATCH(AG$5,'Oxford Economics'!$A$6:$AZ$6,0),MATCH(AG$5&amp;"",'Oxford Economics'!$A$6:$AZ$6,0))),'Oxford Economics'!$A$7:$A$1000,$C8,'Oxford Economics'!$B$7:$B$1000,Settings!$B$13),SUMIFS(INDEX('Oxford Economics'!$A$7:$AZ$1000,0,IFERROR(MATCH(AG$5,'Oxford Economics'!$A$6:$AZ$6,0),MATCH(AG$5&amp;"",'Oxford Economics'!$A$6:$AZ$6,0))),'Oxford Economics'!$A$7:$A$1000,$C8,'Oxford Economics'!$B$7:$B$1000,Settings!$B$13)+SUMIFS(INDEX('Oxford Economics'!$A$7:$AZ$1000,0,IFERROR(MATCH(AG$5,'Oxford Economics'!$A$6:$AZ$6,0),MATCH(AG$5&amp;"",'Oxford Economics'!$A$6:$AZ$6,0))),'Oxford Economics'!$A$7:$A$1000,$C8,'Oxford Economics'!$B$7:$B$1000,Settings!$B$15)+IF(Settings!$B$17="",0,SUMIFS(INDEX('Oxford Economics'!$A$7:$AZ$1000,0,IFERROR(MATCH(AG$5,'Oxford Economics'!$A$6:$AZ$6,0),MATCH(AG$5&amp;"",'Oxford Economics'!$A$6:$AZ$6,0))),'Oxford Economics'!$A$7:$A$1000,$C8,'Oxford Economics'!$B$7:$B$1000,Settings!$B$17)))),""))</f>
        <v>3949.2</v>
      </c>
      <c r="AH8" s="37" t="n">
        <f aca="false">IF($A8="","",IFERROR(1/(1/IF($B8="Residential",SUMIFS(INDEX('Oxford Economics'!$A$7:$AZ$1000,0,IFERROR(MATCH(AH$5,'Oxford Economics'!$A$6:$AZ$6,0),MATCH(AH$5&amp;"",'Oxford Economics'!$A$6:$AZ$6,0))),'Oxford Economics'!$A$7:$A$1000,$C8,'Oxford Economics'!$B$7:$B$1000,Settings!$B$11)-SUMIFS(INDEX('Oxford Economics'!$A$7:$AZ$1000,0,IFERROR(MATCH(AH$5,'Oxford Economics'!$A$6:$AZ$6,0),MATCH(AH$5&amp;"",'Oxford Economics'!$A$6:$AZ$6,0))),'Oxford Economics'!$A$7:$A$1000,$C8,'Oxford Economics'!$B$7:$B$1000,Settings!$B$13),SUMIFS(INDEX('Oxford Economics'!$A$7:$AZ$1000,0,IFERROR(MATCH(AH$5,'Oxford Economics'!$A$6:$AZ$6,0),MATCH(AH$5&amp;"",'Oxford Economics'!$A$6:$AZ$6,0))),'Oxford Economics'!$A$7:$A$1000,$C8,'Oxford Economics'!$B$7:$B$1000,Settings!$B$13)+SUMIFS(INDEX('Oxford Economics'!$A$7:$AZ$1000,0,IFERROR(MATCH(AH$5,'Oxford Economics'!$A$6:$AZ$6,0),MATCH(AH$5&amp;"",'Oxford Economics'!$A$6:$AZ$6,0))),'Oxford Economics'!$A$7:$A$1000,$C8,'Oxford Economics'!$B$7:$B$1000,Settings!$B$15)+IF(Settings!$B$17="",0,SUMIFS(INDEX('Oxford Economics'!$A$7:$AZ$1000,0,IFERROR(MATCH(AH$5,'Oxford Economics'!$A$6:$AZ$6,0),MATCH(AH$5&amp;"",'Oxford Economics'!$A$6:$AZ$6,0))),'Oxford Economics'!$A$7:$A$1000,$C8,'Oxford Economics'!$B$7:$B$1000,Settings!$B$17)))),""))</f>
        <v>4029</v>
      </c>
      <c r="AI8" s="37" t="n">
        <f aca="false">IF($A8="","",IFERROR(1/(1/IF($B8="Residential",SUMIFS(INDEX('Oxford Economics'!$A$7:$AZ$1000,0,IFERROR(MATCH(AI$5,'Oxford Economics'!$A$6:$AZ$6,0),MATCH(AI$5&amp;"",'Oxford Economics'!$A$6:$AZ$6,0))),'Oxford Economics'!$A$7:$A$1000,$C8,'Oxford Economics'!$B$7:$B$1000,Settings!$B$11)-SUMIFS(INDEX('Oxford Economics'!$A$7:$AZ$1000,0,IFERROR(MATCH(AI$5,'Oxford Economics'!$A$6:$AZ$6,0),MATCH(AI$5&amp;"",'Oxford Economics'!$A$6:$AZ$6,0))),'Oxford Economics'!$A$7:$A$1000,$C8,'Oxford Economics'!$B$7:$B$1000,Settings!$B$13),SUMIFS(INDEX('Oxford Economics'!$A$7:$AZ$1000,0,IFERROR(MATCH(AI$5,'Oxford Economics'!$A$6:$AZ$6,0),MATCH(AI$5&amp;"",'Oxford Economics'!$A$6:$AZ$6,0))),'Oxford Economics'!$A$7:$A$1000,$C8,'Oxford Economics'!$B$7:$B$1000,Settings!$B$13)+SUMIFS(INDEX('Oxford Economics'!$A$7:$AZ$1000,0,IFERROR(MATCH(AI$5,'Oxford Economics'!$A$6:$AZ$6,0),MATCH(AI$5&amp;"",'Oxford Economics'!$A$6:$AZ$6,0))),'Oxford Economics'!$A$7:$A$1000,$C8,'Oxford Economics'!$B$7:$B$1000,Settings!$B$15)+IF(Settings!$B$17="",0,SUMIFS(INDEX('Oxford Economics'!$A$7:$AZ$1000,0,IFERROR(MATCH(AI$5,'Oxford Economics'!$A$6:$AZ$6,0),MATCH(AI$5&amp;"",'Oxford Economics'!$A$6:$AZ$6,0))),'Oxford Economics'!$A$7:$A$1000,$C8,'Oxford Economics'!$B$7:$B$1000,Settings!$B$17)))),""))</f>
        <v>4108</v>
      </c>
      <c r="AJ8" s="37" t="n">
        <f aca="false">IF($A8="","",IFERROR(1/(1/IF($B8="Residential",SUMIFS(INDEX('Oxford Economics'!$A$7:$AZ$1000,0,IFERROR(MATCH(AJ$5,'Oxford Economics'!$A$6:$AZ$6,0),MATCH(AJ$5&amp;"",'Oxford Economics'!$A$6:$AZ$6,0))),'Oxford Economics'!$A$7:$A$1000,$C8,'Oxford Economics'!$B$7:$B$1000,Settings!$B$11)-SUMIFS(INDEX('Oxford Economics'!$A$7:$AZ$1000,0,IFERROR(MATCH(AJ$5,'Oxford Economics'!$A$6:$AZ$6,0),MATCH(AJ$5&amp;"",'Oxford Economics'!$A$6:$AZ$6,0))),'Oxford Economics'!$A$7:$A$1000,$C8,'Oxford Economics'!$B$7:$B$1000,Settings!$B$13),SUMIFS(INDEX('Oxford Economics'!$A$7:$AZ$1000,0,IFERROR(MATCH(AJ$5,'Oxford Economics'!$A$6:$AZ$6,0),MATCH(AJ$5&amp;"",'Oxford Economics'!$A$6:$AZ$6,0))),'Oxford Economics'!$A$7:$A$1000,$C8,'Oxford Economics'!$B$7:$B$1000,Settings!$B$13)+SUMIFS(INDEX('Oxford Economics'!$A$7:$AZ$1000,0,IFERROR(MATCH(AJ$5,'Oxford Economics'!$A$6:$AZ$6,0),MATCH(AJ$5&amp;"",'Oxford Economics'!$A$6:$AZ$6,0))),'Oxford Economics'!$A$7:$A$1000,$C8,'Oxford Economics'!$B$7:$B$1000,Settings!$B$15)+IF(Settings!$B$17="",0,SUMIFS(INDEX('Oxford Economics'!$A$7:$AZ$1000,0,IFERROR(MATCH(AJ$5,'Oxford Economics'!$A$6:$AZ$6,0),MATCH(AJ$5&amp;"",'Oxford Economics'!$A$6:$AZ$6,0))),'Oxford Economics'!$A$7:$A$1000,$C8,'Oxford Economics'!$B$7:$B$1000,Settings!$B$17)))),""))</f>
        <v>4153.14</v>
      </c>
      <c r="AK8" s="37" t="n">
        <f aca="false">IF($A8="","",IFERROR(1/(1/IF($B8="Residential",SUMIFS(INDEX('Oxford Economics'!$A$7:$AZ$1000,0,IFERROR(MATCH(AK$5,'Oxford Economics'!$A$6:$AZ$6,0),MATCH(AK$5&amp;"",'Oxford Economics'!$A$6:$AZ$6,0))),'Oxford Economics'!$A$7:$A$1000,$C8,'Oxford Economics'!$B$7:$B$1000,Settings!$B$11)-SUMIFS(INDEX('Oxford Economics'!$A$7:$AZ$1000,0,IFERROR(MATCH(AK$5,'Oxford Economics'!$A$6:$AZ$6,0),MATCH(AK$5&amp;"",'Oxford Economics'!$A$6:$AZ$6,0))),'Oxford Economics'!$A$7:$A$1000,$C8,'Oxford Economics'!$B$7:$B$1000,Settings!$B$13),SUMIFS(INDEX('Oxford Economics'!$A$7:$AZ$1000,0,IFERROR(MATCH(AK$5,'Oxford Economics'!$A$6:$AZ$6,0),MATCH(AK$5&amp;"",'Oxford Economics'!$A$6:$AZ$6,0))),'Oxford Economics'!$A$7:$A$1000,$C8,'Oxford Economics'!$B$7:$B$1000,Settings!$B$13)+SUMIFS(INDEX('Oxford Economics'!$A$7:$AZ$1000,0,IFERROR(MATCH(AK$5,'Oxford Economics'!$A$6:$AZ$6,0),MATCH(AK$5&amp;"",'Oxford Economics'!$A$6:$AZ$6,0))),'Oxford Economics'!$A$7:$A$1000,$C8,'Oxford Economics'!$B$7:$B$1000,Settings!$B$15)+IF(Settings!$B$17="",0,SUMIFS(INDEX('Oxford Economics'!$A$7:$AZ$1000,0,IFERROR(MATCH(AK$5,'Oxford Economics'!$A$6:$AZ$6,0),MATCH(AK$5&amp;"",'Oxford Economics'!$A$6:$AZ$6,0))),'Oxford Economics'!$A$7:$A$1000,$C8,'Oxford Economics'!$B$7:$B$1000,Settings!$B$17)))),""))</f>
        <v>4191.03</v>
      </c>
      <c r="AL8" s="37" t="n">
        <f aca="false">IF($A8="","",IFERROR(1/(1/IF($B8="Residential",SUMIFS(INDEX('Oxford Economics'!$A$7:$AZ$1000,0,IFERROR(MATCH(AL$5,'Oxford Economics'!$A$6:$AZ$6,0),MATCH(AL$5&amp;"",'Oxford Economics'!$A$6:$AZ$6,0))),'Oxford Economics'!$A$7:$A$1000,$C8,'Oxford Economics'!$B$7:$B$1000,Settings!$B$11)-SUMIFS(INDEX('Oxford Economics'!$A$7:$AZ$1000,0,IFERROR(MATCH(AL$5,'Oxford Economics'!$A$6:$AZ$6,0),MATCH(AL$5&amp;"",'Oxford Economics'!$A$6:$AZ$6,0))),'Oxford Economics'!$A$7:$A$1000,$C8,'Oxford Economics'!$B$7:$B$1000,Settings!$B$13),SUMIFS(INDEX('Oxford Economics'!$A$7:$AZ$1000,0,IFERROR(MATCH(AL$5,'Oxford Economics'!$A$6:$AZ$6,0),MATCH(AL$5&amp;"",'Oxford Economics'!$A$6:$AZ$6,0))),'Oxford Economics'!$A$7:$A$1000,$C8,'Oxford Economics'!$B$7:$B$1000,Settings!$B$13)+SUMIFS(INDEX('Oxford Economics'!$A$7:$AZ$1000,0,IFERROR(MATCH(AL$5,'Oxford Economics'!$A$6:$AZ$6,0),MATCH(AL$5&amp;"",'Oxford Economics'!$A$6:$AZ$6,0))),'Oxford Economics'!$A$7:$A$1000,$C8,'Oxford Economics'!$B$7:$B$1000,Settings!$B$15)+IF(Settings!$B$17="",0,SUMIFS(INDEX('Oxford Economics'!$A$7:$AZ$1000,0,IFERROR(MATCH(AL$5,'Oxford Economics'!$A$6:$AZ$6,0),MATCH(AL$5&amp;"",'Oxford Economics'!$A$6:$AZ$6,0))),'Oxford Economics'!$A$7:$A$1000,$C8,'Oxford Economics'!$B$7:$B$1000,Settings!$B$17)))),""))</f>
        <v>4287.23</v>
      </c>
      <c r="AM8" s="37" t="n">
        <f aca="false">IF($A8="","",IFERROR(1/(1/IF($B8="Residential",SUMIFS(INDEX('Oxford Economics'!$A$7:$AZ$1000,0,IFERROR(MATCH(AM$5,'Oxford Economics'!$A$6:$AZ$6,0),MATCH(AM$5&amp;"",'Oxford Economics'!$A$6:$AZ$6,0))),'Oxford Economics'!$A$7:$A$1000,$C8,'Oxford Economics'!$B$7:$B$1000,Settings!$B$11)-SUMIFS(INDEX('Oxford Economics'!$A$7:$AZ$1000,0,IFERROR(MATCH(AM$5,'Oxford Economics'!$A$6:$AZ$6,0),MATCH(AM$5&amp;"",'Oxford Economics'!$A$6:$AZ$6,0))),'Oxford Economics'!$A$7:$A$1000,$C8,'Oxford Economics'!$B$7:$B$1000,Settings!$B$13),SUMIFS(INDEX('Oxford Economics'!$A$7:$AZ$1000,0,IFERROR(MATCH(AM$5,'Oxford Economics'!$A$6:$AZ$6,0),MATCH(AM$5&amp;"",'Oxford Economics'!$A$6:$AZ$6,0))),'Oxford Economics'!$A$7:$A$1000,$C8,'Oxford Economics'!$B$7:$B$1000,Settings!$B$13)+SUMIFS(INDEX('Oxford Economics'!$A$7:$AZ$1000,0,IFERROR(MATCH(AM$5,'Oxford Economics'!$A$6:$AZ$6,0),MATCH(AM$5&amp;"",'Oxford Economics'!$A$6:$AZ$6,0))),'Oxford Economics'!$A$7:$A$1000,$C8,'Oxford Economics'!$B$7:$B$1000,Settings!$B$15)+IF(Settings!$B$17="",0,SUMIFS(INDEX('Oxford Economics'!$A$7:$AZ$1000,0,IFERROR(MATCH(AM$5,'Oxford Economics'!$A$6:$AZ$6,0),MATCH(AM$5&amp;"",'Oxford Economics'!$A$6:$AZ$6,0))),'Oxford Economics'!$A$7:$A$1000,$C8,'Oxford Economics'!$B$7:$B$1000,Settings!$B$17)))),""))</f>
        <v>4403.06</v>
      </c>
    </row>
    <row r="9" customFormat="false" ht="15" hidden="false" customHeight="false" outlineLevel="0" collapsed="false">
      <c r="A9" s="36" t="str">
        <f aca="false">IF('Raw data'!$A9="","",'Raw data'!$A9)</f>
        <v>Czech Republic</v>
      </c>
      <c r="B9" s="36" t="str">
        <f aca="false">IF($A9="","",'Raw data'!$C9)</f>
        <v>Commercial</v>
      </c>
      <c r="C9" s="36" t="str">
        <f aca="false">IF($A9="","",IF('Raw data'!$D9="",$A9,'Raw data'!$D9))</f>
        <v>Czech Republic</v>
      </c>
      <c r="D9" s="37" t="n">
        <f aca="false">IF($A9="","",IF(AND(ISNUMBER(P9),ISNUMBER(AB9)),P9+AB9,""))</f>
        <v>7896.16</v>
      </c>
      <c r="E9" s="37" t="n">
        <f aca="false">IF($A9="","",IF(AND(ISNUMBER(Q9),ISNUMBER(AC9)),Q9+AC9,""))</f>
        <v>7964.26</v>
      </c>
      <c r="F9" s="37" t="n">
        <f aca="false">IF($A9="","",IF(AND(ISNUMBER(R9),ISNUMBER(AD9)),R9+AD9,""))</f>
        <v>7825.68</v>
      </c>
      <c r="G9" s="37" t="n">
        <f aca="false">IF($A9="","",IF(AND(ISNUMBER(S9),ISNUMBER(AE9)),S9+AE9,""))</f>
        <v>7566.64</v>
      </c>
      <c r="H9" s="37" t="n">
        <f aca="false">IF($A9="","",IF(AND(ISNUMBER(T9),ISNUMBER(AF9)),T9+AF9,""))</f>
        <v>7611.46</v>
      </c>
      <c r="I9" s="37" t="n">
        <f aca="false">IF($A9="","",IF(AND(ISNUMBER(U9),ISNUMBER(AG9)),U9+AG9,""))</f>
        <v>7763.99</v>
      </c>
      <c r="J9" s="37" t="n">
        <f aca="false">IF($A9="","",IF(AND(ISNUMBER(V9),ISNUMBER(AH9)),V9+AH9,""))</f>
        <v>8161.12</v>
      </c>
      <c r="K9" s="37" t="n">
        <f aca="false">IF($A9="","",IF(AND(ISNUMBER(W9),ISNUMBER(AI9)),W9+AI9,""))</f>
        <v>8583.41</v>
      </c>
      <c r="L9" s="37" t="n">
        <f aca="false">IF($A9="","",IF(AND(ISNUMBER(X9),ISNUMBER(AJ9)),X9+AJ9,""))</f>
        <v>8955.14</v>
      </c>
      <c r="M9" s="37" t="n">
        <f aca="false">IF($A9="","",IF(AND(ISNUMBER(Y9),ISNUMBER(AK9)),Y9+AK9,""))</f>
        <v>9395.31</v>
      </c>
      <c r="N9" s="37" t="n">
        <f aca="false">IF($A9="","",IF(AND(ISNUMBER(Z9),ISNUMBER(AL9)),Z9+AL9,""))</f>
        <v>9729.59</v>
      </c>
      <c r="O9" s="37" t="n">
        <f aca="false">IF($A9="","",IF(AND(ISNUMBER(AA9),ISNUMBER(AM9)),AA9+AM9,""))</f>
        <v>9929.42</v>
      </c>
      <c r="P9" s="37" t="n">
        <f aca="false">IF($A9="","",IFERROR(1/(1/IF($B9="Residential",SUMIFS(INDEX('Oxford Economics'!$A$7:$AZ$1000,0,IFERROR(MATCH(P$5,'Oxford Economics'!$A$6:$AZ$6,0),MATCH(P$5&amp;"",'Oxford Economics'!$A$6:$AZ$6,0))),'Oxford Economics'!$A$7:$A$1000,$C9,'Oxford Economics'!$B$7:$B$1000,Settings!$B$12)-SUMIFS(INDEX('Oxford Economics'!$A$7:$AZ$1000,0,IFERROR(MATCH(P$5,'Oxford Economics'!$A$6:$AZ$6,0),MATCH(P$5&amp;"",'Oxford Economics'!$A$6:$AZ$6,0))),'Oxford Economics'!$A$7:$A$1000,$C9,'Oxford Economics'!$B$7:$B$1000,Settings!$B$14),SUMIFS(INDEX('Oxford Economics'!$A$7:$AZ$1000,0,IFERROR(MATCH(P$5,'Oxford Economics'!$A$6:$AZ$6,0),MATCH(P$5&amp;"",'Oxford Economics'!$A$6:$AZ$6,0))),'Oxford Economics'!$A$7:$A$1000,$C9,'Oxford Economics'!$B$7:$B$1000,Settings!$B$14)+SUMIFS(INDEX('Oxford Economics'!$A$7:$AZ$1000,0,IFERROR(MATCH(P$5,'Oxford Economics'!$A$6:$AZ$6,0),MATCH(P$5&amp;"",'Oxford Economics'!$A$6:$AZ$6,0))),'Oxford Economics'!$A$7:$A$1000,$C9,'Oxford Economics'!$B$7:$B$1000,Settings!$B$16)+IF(Settings!$B$18="",0,SUMIFS(INDEX('Oxford Economics'!$A$7:$AZ$1000,0,IFERROR(MATCH(P$5,'Oxford Economics'!$A$6:$AZ$6,0),MATCH(P$5&amp;"",'Oxford Economics'!$A$6:$AZ$6,0))),'Oxford Economics'!$A$7:$A$1000,$C9,'Oxford Economics'!$B$7:$B$1000,Settings!$B$18)))),""))</f>
        <v>2472.3</v>
      </c>
      <c r="Q9" s="37" t="n">
        <f aca="false">IF($A9="","",IFERROR(1/(1/IF($B9="Residential",SUMIFS(INDEX('Oxford Economics'!$A$7:$AZ$1000,0,IFERROR(MATCH(Q$5,'Oxford Economics'!$A$6:$AZ$6,0),MATCH(Q$5&amp;"",'Oxford Economics'!$A$6:$AZ$6,0))),'Oxford Economics'!$A$7:$A$1000,$C9,'Oxford Economics'!$B$7:$B$1000,Settings!$B$12)-SUMIFS(INDEX('Oxford Economics'!$A$7:$AZ$1000,0,IFERROR(MATCH(Q$5,'Oxford Economics'!$A$6:$AZ$6,0),MATCH(Q$5&amp;"",'Oxford Economics'!$A$6:$AZ$6,0))),'Oxford Economics'!$A$7:$A$1000,$C9,'Oxford Economics'!$B$7:$B$1000,Settings!$B$14),SUMIFS(INDEX('Oxford Economics'!$A$7:$AZ$1000,0,IFERROR(MATCH(Q$5,'Oxford Economics'!$A$6:$AZ$6,0),MATCH(Q$5&amp;"",'Oxford Economics'!$A$6:$AZ$6,0))),'Oxford Economics'!$A$7:$A$1000,$C9,'Oxford Economics'!$B$7:$B$1000,Settings!$B$14)+SUMIFS(INDEX('Oxford Economics'!$A$7:$AZ$1000,0,IFERROR(MATCH(Q$5,'Oxford Economics'!$A$6:$AZ$6,0),MATCH(Q$5&amp;"",'Oxford Economics'!$A$6:$AZ$6,0))),'Oxford Economics'!$A$7:$A$1000,$C9,'Oxford Economics'!$B$7:$B$1000,Settings!$B$16)+IF(Settings!$B$18="",0,SUMIFS(INDEX('Oxford Economics'!$A$7:$AZ$1000,0,IFERROR(MATCH(Q$5,'Oxford Economics'!$A$6:$AZ$6,0),MATCH(Q$5&amp;"",'Oxford Economics'!$A$6:$AZ$6,0))),'Oxford Economics'!$A$7:$A$1000,$C9,'Oxford Economics'!$B$7:$B$1000,Settings!$B$18)))),""))</f>
        <v>2635.6</v>
      </c>
      <c r="R9" s="37" t="n">
        <f aca="false">IF($A9="","",IFERROR(1/(1/IF($B9="Residential",SUMIFS(INDEX('Oxford Economics'!$A$7:$AZ$1000,0,IFERROR(MATCH(R$5,'Oxford Economics'!$A$6:$AZ$6,0),MATCH(R$5&amp;"",'Oxford Economics'!$A$6:$AZ$6,0))),'Oxford Economics'!$A$7:$A$1000,$C9,'Oxford Economics'!$B$7:$B$1000,Settings!$B$12)-SUMIFS(INDEX('Oxford Economics'!$A$7:$AZ$1000,0,IFERROR(MATCH(R$5,'Oxford Economics'!$A$6:$AZ$6,0),MATCH(R$5&amp;"",'Oxford Economics'!$A$6:$AZ$6,0))),'Oxford Economics'!$A$7:$A$1000,$C9,'Oxford Economics'!$B$7:$B$1000,Settings!$B$14),SUMIFS(INDEX('Oxford Economics'!$A$7:$AZ$1000,0,IFERROR(MATCH(R$5,'Oxford Economics'!$A$6:$AZ$6,0),MATCH(R$5&amp;"",'Oxford Economics'!$A$6:$AZ$6,0))),'Oxford Economics'!$A$7:$A$1000,$C9,'Oxford Economics'!$B$7:$B$1000,Settings!$B$14)+SUMIFS(INDEX('Oxford Economics'!$A$7:$AZ$1000,0,IFERROR(MATCH(R$5,'Oxford Economics'!$A$6:$AZ$6,0),MATCH(R$5&amp;"",'Oxford Economics'!$A$6:$AZ$6,0))),'Oxford Economics'!$A$7:$A$1000,$C9,'Oxford Economics'!$B$7:$B$1000,Settings!$B$16)+IF(Settings!$B$18="",0,SUMIFS(INDEX('Oxford Economics'!$A$7:$AZ$1000,0,IFERROR(MATCH(R$5,'Oxford Economics'!$A$6:$AZ$6,0),MATCH(R$5&amp;"",'Oxford Economics'!$A$6:$AZ$6,0))),'Oxford Economics'!$A$7:$A$1000,$C9,'Oxford Economics'!$B$7:$B$1000,Settings!$B$18)))),""))</f>
        <v>2339.06</v>
      </c>
      <c r="S9" s="37" t="n">
        <f aca="false">IF($A9="","",IFERROR(1/(1/IF($B9="Residential",SUMIFS(INDEX('Oxford Economics'!$A$7:$AZ$1000,0,IFERROR(MATCH(S$5,'Oxford Economics'!$A$6:$AZ$6,0),MATCH(S$5&amp;"",'Oxford Economics'!$A$6:$AZ$6,0))),'Oxford Economics'!$A$7:$A$1000,$C9,'Oxford Economics'!$B$7:$B$1000,Settings!$B$12)-SUMIFS(INDEX('Oxford Economics'!$A$7:$AZ$1000,0,IFERROR(MATCH(S$5,'Oxford Economics'!$A$6:$AZ$6,0),MATCH(S$5&amp;"",'Oxford Economics'!$A$6:$AZ$6,0))),'Oxford Economics'!$A$7:$A$1000,$C9,'Oxford Economics'!$B$7:$B$1000,Settings!$B$14),SUMIFS(INDEX('Oxford Economics'!$A$7:$AZ$1000,0,IFERROR(MATCH(S$5,'Oxford Economics'!$A$6:$AZ$6,0),MATCH(S$5&amp;"",'Oxford Economics'!$A$6:$AZ$6,0))),'Oxford Economics'!$A$7:$A$1000,$C9,'Oxford Economics'!$B$7:$B$1000,Settings!$B$14)+SUMIFS(INDEX('Oxford Economics'!$A$7:$AZ$1000,0,IFERROR(MATCH(S$5,'Oxford Economics'!$A$6:$AZ$6,0),MATCH(S$5&amp;"",'Oxford Economics'!$A$6:$AZ$6,0))),'Oxford Economics'!$A$7:$A$1000,$C9,'Oxford Economics'!$B$7:$B$1000,Settings!$B$16)+IF(Settings!$B$18="",0,SUMIFS(INDEX('Oxford Economics'!$A$7:$AZ$1000,0,IFERROR(MATCH(S$5,'Oxford Economics'!$A$6:$AZ$6,0),MATCH(S$5&amp;"",'Oxford Economics'!$A$6:$AZ$6,0))),'Oxford Economics'!$A$7:$A$1000,$C9,'Oxford Economics'!$B$7:$B$1000,Settings!$B$18)))),""))</f>
        <v>2438.97</v>
      </c>
      <c r="T9" s="37" t="n">
        <f aca="false">IF($A9="","",IFERROR(1/(1/IF($B9="Residential",SUMIFS(INDEX('Oxford Economics'!$A$7:$AZ$1000,0,IFERROR(MATCH(T$5,'Oxford Economics'!$A$6:$AZ$6,0),MATCH(T$5&amp;"",'Oxford Economics'!$A$6:$AZ$6,0))),'Oxford Economics'!$A$7:$A$1000,$C9,'Oxford Economics'!$B$7:$B$1000,Settings!$B$12)-SUMIFS(INDEX('Oxford Economics'!$A$7:$AZ$1000,0,IFERROR(MATCH(T$5,'Oxford Economics'!$A$6:$AZ$6,0),MATCH(T$5&amp;"",'Oxford Economics'!$A$6:$AZ$6,0))),'Oxford Economics'!$A$7:$A$1000,$C9,'Oxford Economics'!$B$7:$B$1000,Settings!$B$14),SUMIFS(INDEX('Oxford Economics'!$A$7:$AZ$1000,0,IFERROR(MATCH(T$5,'Oxford Economics'!$A$6:$AZ$6,0),MATCH(T$5&amp;"",'Oxford Economics'!$A$6:$AZ$6,0))),'Oxford Economics'!$A$7:$A$1000,$C9,'Oxford Economics'!$B$7:$B$1000,Settings!$B$14)+SUMIFS(INDEX('Oxford Economics'!$A$7:$AZ$1000,0,IFERROR(MATCH(T$5,'Oxford Economics'!$A$6:$AZ$6,0),MATCH(T$5&amp;"",'Oxford Economics'!$A$6:$AZ$6,0))),'Oxford Economics'!$A$7:$A$1000,$C9,'Oxford Economics'!$B$7:$B$1000,Settings!$B$16)+IF(Settings!$B$18="",0,SUMIFS(INDEX('Oxford Economics'!$A$7:$AZ$1000,0,IFERROR(MATCH(T$5,'Oxford Economics'!$A$6:$AZ$6,0),MATCH(T$5&amp;"",'Oxford Economics'!$A$6:$AZ$6,0))),'Oxford Economics'!$A$7:$A$1000,$C9,'Oxford Economics'!$B$7:$B$1000,Settings!$B$18)))),""))</f>
        <v>2433.11</v>
      </c>
      <c r="U9" s="37" t="n">
        <f aca="false">IF($A9="","",IFERROR(1/(1/IF($B9="Residential",SUMIFS(INDEX('Oxford Economics'!$A$7:$AZ$1000,0,IFERROR(MATCH(U$5,'Oxford Economics'!$A$6:$AZ$6,0),MATCH(U$5&amp;"",'Oxford Economics'!$A$6:$AZ$6,0))),'Oxford Economics'!$A$7:$A$1000,$C9,'Oxford Economics'!$B$7:$B$1000,Settings!$B$12)-SUMIFS(INDEX('Oxford Economics'!$A$7:$AZ$1000,0,IFERROR(MATCH(U$5,'Oxford Economics'!$A$6:$AZ$6,0),MATCH(U$5&amp;"",'Oxford Economics'!$A$6:$AZ$6,0))),'Oxford Economics'!$A$7:$A$1000,$C9,'Oxford Economics'!$B$7:$B$1000,Settings!$B$14),SUMIFS(INDEX('Oxford Economics'!$A$7:$AZ$1000,0,IFERROR(MATCH(U$5,'Oxford Economics'!$A$6:$AZ$6,0),MATCH(U$5&amp;"",'Oxford Economics'!$A$6:$AZ$6,0))),'Oxford Economics'!$A$7:$A$1000,$C9,'Oxford Economics'!$B$7:$B$1000,Settings!$B$14)+SUMIFS(INDEX('Oxford Economics'!$A$7:$AZ$1000,0,IFERROR(MATCH(U$5,'Oxford Economics'!$A$6:$AZ$6,0),MATCH(U$5&amp;"",'Oxford Economics'!$A$6:$AZ$6,0))),'Oxford Economics'!$A$7:$A$1000,$C9,'Oxford Economics'!$B$7:$B$1000,Settings!$B$16)+IF(Settings!$B$18="",0,SUMIFS(INDEX('Oxford Economics'!$A$7:$AZ$1000,0,IFERROR(MATCH(U$5,'Oxford Economics'!$A$6:$AZ$6,0),MATCH(U$5&amp;"",'Oxford Economics'!$A$6:$AZ$6,0))),'Oxford Economics'!$A$7:$A$1000,$C9,'Oxford Economics'!$B$7:$B$1000,Settings!$B$18)))),""))</f>
        <v>2470.17</v>
      </c>
      <c r="V9" s="37" t="n">
        <f aca="false">IF($A9="","",IFERROR(1/(1/IF($B9="Residential",SUMIFS(INDEX('Oxford Economics'!$A$7:$AZ$1000,0,IFERROR(MATCH(V$5,'Oxford Economics'!$A$6:$AZ$6,0),MATCH(V$5&amp;"",'Oxford Economics'!$A$6:$AZ$6,0))),'Oxford Economics'!$A$7:$A$1000,$C9,'Oxford Economics'!$B$7:$B$1000,Settings!$B$12)-SUMIFS(INDEX('Oxford Economics'!$A$7:$AZ$1000,0,IFERROR(MATCH(V$5,'Oxford Economics'!$A$6:$AZ$6,0),MATCH(V$5&amp;"",'Oxford Economics'!$A$6:$AZ$6,0))),'Oxford Economics'!$A$7:$A$1000,$C9,'Oxford Economics'!$B$7:$B$1000,Settings!$B$14),SUMIFS(INDEX('Oxford Economics'!$A$7:$AZ$1000,0,IFERROR(MATCH(V$5,'Oxford Economics'!$A$6:$AZ$6,0),MATCH(V$5&amp;"",'Oxford Economics'!$A$6:$AZ$6,0))),'Oxford Economics'!$A$7:$A$1000,$C9,'Oxford Economics'!$B$7:$B$1000,Settings!$B$14)+SUMIFS(INDEX('Oxford Economics'!$A$7:$AZ$1000,0,IFERROR(MATCH(V$5,'Oxford Economics'!$A$6:$AZ$6,0),MATCH(V$5&amp;"",'Oxford Economics'!$A$6:$AZ$6,0))),'Oxford Economics'!$A$7:$A$1000,$C9,'Oxford Economics'!$B$7:$B$1000,Settings!$B$16)+IF(Settings!$B$18="",0,SUMIFS(INDEX('Oxford Economics'!$A$7:$AZ$1000,0,IFERROR(MATCH(V$5,'Oxford Economics'!$A$6:$AZ$6,0),MATCH(V$5&amp;"",'Oxford Economics'!$A$6:$AZ$6,0))),'Oxford Economics'!$A$7:$A$1000,$C9,'Oxford Economics'!$B$7:$B$1000,Settings!$B$18)))),""))</f>
        <v>2558.37</v>
      </c>
      <c r="W9" s="37" t="n">
        <f aca="false">IF($A9="","",IFERROR(1/(1/IF($B9="Residential",SUMIFS(INDEX('Oxford Economics'!$A$7:$AZ$1000,0,IFERROR(MATCH(W$5,'Oxford Economics'!$A$6:$AZ$6,0),MATCH(W$5&amp;"",'Oxford Economics'!$A$6:$AZ$6,0))),'Oxford Economics'!$A$7:$A$1000,$C9,'Oxford Economics'!$B$7:$B$1000,Settings!$B$12)-SUMIFS(INDEX('Oxford Economics'!$A$7:$AZ$1000,0,IFERROR(MATCH(W$5,'Oxford Economics'!$A$6:$AZ$6,0),MATCH(W$5&amp;"",'Oxford Economics'!$A$6:$AZ$6,0))),'Oxford Economics'!$A$7:$A$1000,$C9,'Oxford Economics'!$B$7:$B$1000,Settings!$B$14),SUMIFS(INDEX('Oxford Economics'!$A$7:$AZ$1000,0,IFERROR(MATCH(W$5,'Oxford Economics'!$A$6:$AZ$6,0),MATCH(W$5&amp;"",'Oxford Economics'!$A$6:$AZ$6,0))),'Oxford Economics'!$A$7:$A$1000,$C9,'Oxford Economics'!$B$7:$B$1000,Settings!$B$14)+SUMIFS(INDEX('Oxford Economics'!$A$7:$AZ$1000,0,IFERROR(MATCH(W$5,'Oxford Economics'!$A$6:$AZ$6,0),MATCH(W$5&amp;"",'Oxford Economics'!$A$6:$AZ$6,0))),'Oxford Economics'!$A$7:$A$1000,$C9,'Oxford Economics'!$B$7:$B$1000,Settings!$B$16)+IF(Settings!$B$18="",0,SUMIFS(INDEX('Oxford Economics'!$A$7:$AZ$1000,0,IFERROR(MATCH(W$5,'Oxford Economics'!$A$6:$AZ$6,0),MATCH(W$5&amp;"",'Oxford Economics'!$A$6:$AZ$6,0))),'Oxford Economics'!$A$7:$A$1000,$C9,'Oxford Economics'!$B$7:$B$1000,Settings!$B$18)))),""))</f>
        <v>2698.04</v>
      </c>
      <c r="X9" s="37" t="n">
        <f aca="false">IF($A9="","",IFERROR(1/(1/IF($B9="Residential",SUMIFS(INDEX('Oxford Economics'!$A$7:$AZ$1000,0,IFERROR(MATCH(X$5,'Oxford Economics'!$A$6:$AZ$6,0),MATCH(X$5&amp;"",'Oxford Economics'!$A$6:$AZ$6,0))),'Oxford Economics'!$A$7:$A$1000,$C9,'Oxford Economics'!$B$7:$B$1000,Settings!$B$12)-SUMIFS(INDEX('Oxford Economics'!$A$7:$AZ$1000,0,IFERROR(MATCH(X$5,'Oxford Economics'!$A$6:$AZ$6,0),MATCH(X$5&amp;"",'Oxford Economics'!$A$6:$AZ$6,0))),'Oxford Economics'!$A$7:$A$1000,$C9,'Oxford Economics'!$B$7:$B$1000,Settings!$B$14),SUMIFS(INDEX('Oxford Economics'!$A$7:$AZ$1000,0,IFERROR(MATCH(X$5,'Oxford Economics'!$A$6:$AZ$6,0),MATCH(X$5&amp;"",'Oxford Economics'!$A$6:$AZ$6,0))),'Oxford Economics'!$A$7:$A$1000,$C9,'Oxford Economics'!$B$7:$B$1000,Settings!$B$14)+SUMIFS(INDEX('Oxford Economics'!$A$7:$AZ$1000,0,IFERROR(MATCH(X$5,'Oxford Economics'!$A$6:$AZ$6,0),MATCH(X$5&amp;"",'Oxford Economics'!$A$6:$AZ$6,0))),'Oxford Economics'!$A$7:$A$1000,$C9,'Oxford Economics'!$B$7:$B$1000,Settings!$B$16)+IF(Settings!$B$18="",0,SUMIFS(INDEX('Oxford Economics'!$A$7:$AZ$1000,0,IFERROR(MATCH(X$5,'Oxford Economics'!$A$6:$AZ$6,0),MATCH(X$5&amp;"",'Oxford Economics'!$A$6:$AZ$6,0))),'Oxford Economics'!$A$7:$A$1000,$C9,'Oxford Economics'!$B$7:$B$1000,Settings!$B$18)))),""))</f>
        <v>2894.32</v>
      </c>
      <c r="Y9" s="37" t="n">
        <f aca="false">IF($A9="","",IFERROR(1/(1/IF($B9="Residential",SUMIFS(INDEX('Oxford Economics'!$A$7:$AZ$1000,0,IFERROR(MATCH(Y$5,'Oxford Economics'!$A$6:$AZ$6,0),MATCH(Y$5&amp;"",'Oxford Economics'!$A$6:$AZ$6,0))),'Oxford Economics'!$A$7:$A$1000,$C9,'Oxford Economics'!$B$7:$B$1000,Settings!$B$12)-SUMIFS(INDEX('Oxford Economics'!$A$7:$AZ$1000,0,IFERROR(MATCH(Y$5,'Oxford Economics'!$A$6:$AZ$6,0),MATCH(Y$5&amp;"",'Oxford Economics'!$A$6:$AZ$6,0))),'Oxford Economics'!$A$7:$A$1000,$C9,'Oxford Economics'!$B$7:$B$1000,Settings!$B$14),SUMIFS(INDEX('Oxford Economics'!$A$7:$AZ$1000,0,IFERROR(MATCH(Y$5,'Oxford Economics'!$A$6:$AZ$6,0),MATCH(Y$5&amp;"",'Oxford Economics'!$A$6:$AZ$6,0))),'Oxford Economics'!$A$7:$A$1000,$C9,'Oxford Economics'!$B$7:$B$1000,Settings!$B$14)+SUMIFS(INDEX('Oxford Economics'!$A$7:$AZ$1000,0,IFERROR(MATCH(Y$5,'Oxford Economics'!$A$6:$AZ$6,0),MATCH(Y$5&amp;"",'Oxford Economics'!$A$6:$AZ$6,0))),'Oxford Economics'!$A$7:$A$1000,$C9,'Oxford Economics'!$B$7:$B$1000,Settings!$B$16)+IF(Settings!$B$18="",0,SUMIFS(INDEX('Oxford Economics'!$A$7:$AZ$1000,0,IFERROR(MATCH(Y$5,'Oxford Economics'!$A$6:$AZ$6,0),MATCH(Y$5&amp;"",'Oxford Economics'!$A$6:$AZ$6,0))),'Oxford Economics'!$A$7:$A$1000,$C9,'Oxford Economics'!$B$7:$B$1000,Settings!$B$18)))),""))</f>
        <v>3115.05</v>
      </c>
      <c r="Z9" s="37" t="n">
        <f aca="false">IF($A9="","",IFERROR(1/(1/IF($B9="Residential",SUMIFS(INDEX('Oxford Economics'!$A$7:$AZ$1000,0,IFERROR(MATCH(Z$5,'Oxford Economics'!$A$6:$AZ$6,0),MATCH(Z$5&amp;"",'Oxford Economics'!$A$6:$AZ$6,0))),'Oxford Economics'!$A$7:$A$1000,$C9,'Oxford Economics'!$B$7:$B$1000,Settings!$B$12)-SUMIFS(INDEX('Oxford Economics'!$A$7:$AZ$1000,0,IFERROR(MATCH(Z$5,'Oxford Economics'!$A$6:$AZ$6,0),MATCH(Z$5&amp;"",'Oxford Economics'!$A$6:$AZ$6,0))),'Oxford Economics'!$A$7:$A$1000,$C9,'Oxford Economics'!$B$7:$B$1000,Settings!$B$14),SUMIFS(INDEX('Oxford Economics'!$A$7:$AZ$1000,0,IFERROR(MATCH(Z$5,'Oxford Economics'!$A$6:$AZ$6,0),MATCH(Z$5&amp;"",'Oxford Economics'!$A$6:$AZ$6,0))),'Oxford Economics'!$A$7:$A$1000,$C9,'Oxford Economics'!$B$7:$B$1000,Settings!$B$14)+SUMIFS(INDEX('Oxford Economics'!$A$7:$AZ$1000,0,IFERROR(MATCH(Z$5,'Oxford Economics'!$A$6:$AZ$6,0),MATCH(Z$5&amp;"",'Oxford Economics'!$A$6:$AZ$6,0))),'Oxford Economics'!$A$7:$A$1000,$C9,'Oxford Economics'!$B$7:$B$1000,Settings!$B$16)+IF(Settings!$B$18="",0,SUMIFS(INDEX('Oxford Economics'!$A$7:$AZ$1000,0,IFERROR(MATCH(Z$5,'Oxford Economics'!$A$6:$AZ$6,0),MATCH(Z$5&amp;"",'Oxford Economics'!$A$6:$AZ$6,0))),'Oxford Economics'!$A$7:$A$1000,$C9,'Oxford Economics'!$B$7:$B$1000,Settings!$B$18)))),""))</f>
        <v>3261.16</v>
      </c>
      <c r="AA9" s="37" t="n">
        <f aca="false">IF($A9="","",IFERROR(1/(1/IF($B9="Residential",SUMIFS(INDEX('Oxford Economics'!$A$7:$AZ$1000,0,IFERROR(MATCH(AA$5,'Oxford Economics'!$A$6:$AZ$6,0),MATCH(AA$5&amp;"",'Oxford Economics'!$A$6:$AZ$6,0))),'Oxford Economics'!$A$7:$A$1000,$C9,'Oxford Economics'!$B$7:$B$1000,Settings!$B$12)-SUMIFS(INDEX('Oxford Economics'!$A$7:$AZ$1000,0,IFERROR(MATCH(AA$5,'Oxford Economics'!$A$6:$AZ$6,0),MATCH(AA$5&amp;"",'Oxford Economics'!$A$6:$AZ$6,0))),'Oxford Economics'!$A$7:$A$1000,$C9,'Oxford Economics'!$B$7:$B$1000,Settings!$B$14),SUMIFS(INDEX('Oxford Economics'!$A$7:$AZ$1000,0,IFERROR(MATCH(AA$5,'Oxford Economics'!$A$6:$AZ$6,0),MATCH(AA$5&amp;"",'Oxford Economics'!$A$6:$AZ$6,0))),'Oxford Economics'!$A$7:$A$1000,$C9,'Oxford Economics'!$B$7:$B$1000,Settings!$B$14)+SUMIFS(INDEX('Oxford Economics'!$A$7:$AZ$1000,0,IFERROR(MATCH(AA$5,'Oxford Economics'!$A$6:$AZ$6,0),MATCH(AA$5&amp;"",'Oxford Economics'!$A$6:$AZ$6,0))),'Oxford Economics'!$A$7:$A$1000,$C9,'Oxford Economics'!$B$7:$B$1000,Settings!$B$16)+IF(Settings!$B$18="",0,SUMIFS(INDEX('Oxford Economics'!$A$7:$AZ$1000,0,IFERROR(MATCH(AA$5,'Oxford Economics'!$A$6:$AZ$6,0),MATCH(AA$5&amp;"",'Oxford Economics'!$A$6:$AZ$6,0))),'Oxford Economics'!$A$7:$A$1000,$C9,'Oxford Economics'!$B$7:$B$1000,Settings!$B$18)))),""))</f>
        <v>3330.39</v>
      </c>
      <c r="AB9" s="37" t="n">
        <f aca="false">IF($A9="","",IFERROR(1/(1/IF($B9="Residential",SUMIFS(INDEX('Oxford Economics'!$A$7:$AZ$1000,0,IFERROR(MATCH(AB$5,'Oxford Economics'!$A$6:$AZ$6,0),MATCH(AB$5&amp;"",'Oxford Economics'!$A$6:$AZ$6,0))),'Oxford Economics'!$A$7:$A$1000,$C9,'Oxford Economics'!$B$7:$B$1000,Settings!$B$11)-SUMIFS(INDEX('Oxford Economics'!$A$7:$AZ$1000,0,IFERROR(MATCH(AB$5,'Oxford Economics'!$A$6:$AZ$6,0),MATCH(AB$5&amp;"",'Oxford Economics'!$A$6:$AZ$6,0))),'Oxford Economics'!$A$7:$A$1000,$C9,'Oxford Economics'!$B$7:$B$1000,Settings!$B$13),SUMIFS(INDEX('Oxford Economics'!$A$7:$AZ$1000,0,IFERROR(MATCH(AB$5,'Oxford Economics'!$A$6:$AZ$6,0),MATCH(AB$5&amp;"",'Oxford Economics'!$A$6:$AZ$6,0))),'Oxford Economics'!$A$7:$A$1000,$C9,'Oxford Economics'!$B$7:$B$1000,Settings!$B$13)+SUMIFS(INDEX('Oxford Economics'!$A$7:$AZ$1000,0,IFERROR(MATCH(AB$5,'Oxford Economics'!$A$6:$AZ$6,0),MATCH(AB$5&amp;"",'Oxford Economics'!$A$6:$AZ$6,0))),'Oxford Economics'!$A$7:$A$1000,$C9,'Oxford Economics'!$B$7:$B$1000,Settings!$B$15)+IF(Settings!$B$17="",0,SUMIFS(INDEX('Oxford Economics'!$A$7:$AZ$1000,0,IFERROR(MATCH(AB$5,'Oxford Economics'!$A$6:$AZ$6,0),MATCH(AB$5&amp;"",'Oxford Economics'!$A$6:$AZ$6,0))),'Oxford Economics'!$A$7:$A$1000,$C9,'Oxford Economics'!$B$7:$B$1000,Settings!$B$17)))),""))</f>
        <v>5423.86</v>
      </c>
      <c r="AC9" s="37" t="n">
        <f aca="false">IF($A9="","",IFERROR(1/(1/IF($B9="Residential",SUMIFS(INDEX('Oxford Economics'!$A$7:$AZ$1000,0,IFERROR(MATCH(AC$5,'Oxford Economics'!$A$6:$AZ$6,0),MATCH(AC$5&amp;"",'Oxford Economics'!$A$6:$AZ$6,0))),'Oxford Economics'!$A$7:$A$1000,$C9,'Oxford Economics'!$B$7:$B$1000,Settings!$B$11)-SUMIFS(INDEX('Oxford Economics'!$A$7:$AZ$1000,0,IFERROR(MATCH(AC$5,'Oxford Economics'!$A$6:$AZ$6,0),MATCH(AC$5&amp;"",'Oxford Economics'!$A$6:$AZ$6,0))),'Oxford Economics'!$A$7:$A$1000,$C9,'Oxford Economics'!$B$7:$B$1000,Settings!$B$13),SUMIFS(INDEX('Oxford Economics'!$A$7:$AZ$1000,0,IFERROR(MATCH(AC$5,'Oxford Economics'!$A$6:$AZ$6,0),MATCH(AC$5&amp;"",'Oxford Economics'!$A$6:$AZ$6,0))),'Oxford Economics'!$A$7:$A$1000,$C9,'Oxford Economics'!$B$7:$B$1000,Settings!$B$13)+SUMIFS(INDEX('Oxford Economics'!$A$7:$AZ$1000,0,IFERROR(MATCH(AC$5,'Oxford Economics'!$A$6:$AZ$6,0),MATCH(AC$5&amp;"",'Oxford Economics'!$A$6:$AZ$6,0))),'Oxford Economics'!$A$7:$A$1000,$C9,'Oxford Economics'!$B$7:$B$1000,Settings!$B$15)+IF(Settings!$B$17="",0,SUMIFS(INDEX('Oxford Economics'!$A$7:$AZ$1000,0,IFERROR(MATCH(AC$5,'Oxford Economics'!$A$6:$AZ$6,0),MATCH(AC$5&amp;"",'Oxford Economics'!$A$6:$AZ$6,0))),'Oxford Economics'!$A$7:$A$1000,$C9,'Oxford Economics'!$B$7:$B$1000,Settings!$B$17)))),""))</f>
        <v>5328.66</v>
      </c>
      <c r="AD9" s="37" t="n">
        <f aca="false">IF($A9="","",IFERROR(1/(1/IF($B9="Residential",SUMIFS(INDEX('Oxford Economics'!$A$7:$AZ$1000,0,IFERROR(MATCH(AD$5,'Oxford Economics'!$A$6:$AZ$6,0),MATCH(AD$5&amp;"",'Oxford Economics'!$A$6:$AZ$6,0))),'Oxford Economics'!$A$7:$A$1000,$C9,'Oxford Economics'!$B$7:$B$1000,Settings!$B$11)-SUMIFS(INDEX('Oxford Economics'!$A$7:$AZ$1000,0,IFERROR(MATCH(AD$5,'Oxford Economics'!$A$6:$AZ$6,0),MATCH(AD$5&amp;"",'Oxford Economics'!$A$6:$AZ$6,0))),'Oxford Economics'!$A$7:$A$1000,$C9,'Oxford Economics'!$B$7:$B$1000,Settings!$B$13),SUMIFS(INDEX('Oxford Economics'!$A$7:$AZ$1000,0,IFERROR(MATCH(AD$5,'Oxford Economics'!$A$6:$AZ$6,0),MATCH(AD$5&amp;"",'Oxford Economics'!$A$6:$AZ$6,0))),'Oxford Economics'!$A$7:$A$1000,$C9,'Oxford Economics'!$B$7:$B$1000,Settings!$B$13)+SUMIFS(INDEX('Oxford Economics'!$A$7:$AZ$1000,0,IFERROR(MATCH(AD$5,'Oxford Economics'!$A$6:$AZ$6,0),MATCH(AD$5&amp;"",'Oxford Economics'!$A$6:$AZ$6,0))),'Oxford Economics'!$A$7:$A$1000,$C9,'Oxford Economics'!$B$7:$B$1000,Settings!$B$15)+IF(Settings!$B$17="",0,SUMIFS(INDEX('Oxford Economics'!$A$7:$AZ$1000,0,IFERROR(MATCH(AD$5,'Oxford Economics'!$A$6:$AZ$6,0),MATCH(AD$5&amp;"",'Oxford Economics'!$A$6:$AZ$6,0))),'Oxford Economics'!$A$7:$A$1000,$C9,'Oxford Economics'!$B$7:$B$1000,Settings!$B$17)))),""))</f>
        <v>5486.62</v>
      </c>
      <c r="AE9" s="37" t="n">
        <f aca="false">IF($A9="","",IFERROR(1/(1/IF($B9="Residential",SUMIFS(INDEX('Oxford Economics'!$A$7:$AZ$1000,0,IFERROR(MATCH(AE$5,'Oxford Economics'!$A$6:$AZ$6,0),MATCH(AE$5&amp;"",'Oxford Economics'!$A$6:$AZ$6,0))),'Oxford Economics'!$A$7:$A$1000,$C9,'Oxford Economics'!$B$7:$B$1000,Settings!$B$11)-SUMIFS(INDEX('Oxford Economics'!$A$7:$AZ$1000,0,IFERROR(MATCH(AE$5,'Oxford Economics'!$A$6:$AZ$6,0),MATCH(AE$5&amp;"",'Oxford Economics'!$A$6:$AZ$6,0))),'Oxford Economics'!$A$7:$A$1000,$C9,'Oxford Economics'!$B$7:$B$1000,Settings!$B$13),SUMIFS(INDEX('Oxford Economics'!$A$7:$AZ$1000,0,IFERROR(MATCH(AE$5,'Oxford Economics'!$A$6:$AZ$6,0),MATCH(AE$5&amp;"",'Oxford Economics'!$A$6:$AZ$6,0))),'Oxford Economics'!$A$7:$A$1000,$C9,'Oxford Economics'!$B$7:$B$1000,Settings!$B$13)+SUMIFS(INDEX('Oxford Economics'!$A$7:$AZ$1000,0,IFERROR(MATCH(AE$5,'Oxford Economics'!$A$6:$AZ$6,0),MATCH(AE$5&amp;"",'Oxford Economics'!$A$6:$AZ$6,0))),'Oxford Economics'!$A$7:$A$1000,$C9,'Oxford Economics'!$B$7:$B$1000,Settings!$B$15)+IF(Settings!$B$17="",0,SUMIFS(INDEX('Oxford Economics'!$A$7:$AZ$1000,0,IFERROR(MATCH(AE$5,'Oxford Economics'!$A$6:$AZ$6,0),MATCH(AE$5&amp;"",'Oxford Economics'!$A$6:$AZ$6,0))),'Oxford Economics'!$A$7:$A$1000,$C9,'Oxford Economics'!$B$7:$B$1000,Settings!$B$17)))),""))</f>
        <v>5127.67</v>
      </c>
      <c r="AF9" s="37" t="n">
        <f aca="false">IF($A9="","",IFERROR(1/(1/IF($B9="Residential",SUMIFS(INDEX('Oxford Economics'!$A$7:$AZ$1000,0,IFERROR(MATCH(AF$5,'Oxford Economics'!$A$6:$AZ$6,0),MATCH(AF$5&amp;"",'Oxford Economics'!$A$6:$AZ$6,0))),'Oxford Economics'!$A$7:$A$1000,$C9,'Oxford Economics'!$B$7:$B$1000,Settings!$B$11)-SUMIFS(INDEX('Oxford Economics'!$A$7:$AZ$1000,0,IFERROR(MATCH(AF$5,'Oxford Economics'!$A$6:$AZ$6,0),MATCH(AF$5&amp;"",'Oxford Economics'!$A$6:$AZ$6,0))),'Oxford Economics'!$A$7:$A$1000,$C9,'Oxford Economics'!$B$7:$B$1000,Settings!$B$13),SUMIFS(INDEX('Oxford Economics'!$A$7:$AZ$1000,0,IFERROR(MATCH(AF$5,'Oxford Economics'!$A$6:$AZ$6,0),MATCH(AF$5&amp;"",'Oxford Economics'!$A$6:$AZ$6,0))),'Oxford Economics'!$A$7:$A$1000,$C9,'Oxford Economics'!$B$7:$B$1000,Settings!$B$13)+SUMIFS(INDEX('Oxford Economics'!$A$7:$AZ$1000,0,IFERROR(MATCH(AF$5,'Oxford Economics'!$A$6:$AZ$6,0),MATCH(AF$5&amp;"",'Oxford Economics'!$A$6:$AZ$6,0))),'Oxford Economics'!$A$7:$A$1000,$C9,'Oxford Economics'!$B$7:$B$1000,Settings!$B$15)+IF(Settings!$B$17="",0,SUMIFS(INDEX('Oxford Economics'!$A$7:$AZ$1000,0,IFERROR(MATCH(AF$5,'Oxford Economics'!$A$6:$AZ$6,0),MATCH(AF$5&amp;"",'Oxford Economics'!$A$6:$AZ$6,0))),'Oxford Economics'!$A$7:$A$1000,$C9,'Oxford Economics'!$B$7:$B$1000,Settings!$B$17)))),""))</f>
        <v>5178.35</v>
      </c>
      <c r="AG9" s="37" t="n">
        <f aca="false">IF($A9="","",IFERROR(1/(1/IF($B9="Residential",SUMIFS(INDEX('Oxford Economics'!$A$7:$AZ$1000,0,IFERROR(MATCH(AG$5,'Oxford Economics'!$A$6:$AZ$6,0),MATCH(AG$5&amp;"",'Oxford Economics'!$A$6:$AZ$6,0))),'Oxford Economics'!$A$7:$A$1000,$C9,'Oxford Economics'!$B$7:$B$1000,Settings!$B$11)-SUMIFS(INDEX('Oxford Economics'!$A$7:$AZ$1000,0,IFERROR(MATCH(AG$5,'Oxford Economics'!$A$6:$AZ$6,0),MATCH(AG$5&amp;"",'Oxford Economics'!$A$6:$AZ$6,0))),'Oxford Economics'!$A$7:$A$1000,$C9,'Oxford Economics'!$B$7:$B$1000,Settings!$B$13),SUMIFS(INDEX('Oxford Economics'!$A$7:$AZ$1000,0,IFERROR(MATCH(AG$5,'Oxford Economics'!$A$6:$AZ$6,0),MATCH(AG$5&amp;"",'Oxford Economics'!$A$6:$AZ$6,0))),'Oxford Economics'!$A$7:$A$1000,$C9,'Oxford Economics'!$B$7:$B$1000,Settings!$B$13)+SUMIFS(INDEX('Oxford Economics'!$A$7:$AZ$1000,0,IFERROR(MATCH(AG$5,'Oxford Economics'!$A$6:$AZ$6,0),MATCH(AG$5&amp;"",'Oxford Economics'!$A$6:$AZ$6,0))),'Oxford Economics'!$A$7:$A$1000,$C9,'Oxford Economics'!$B$7:$B$1000,Settings!$B$15)+IF(Settings!$B$17="",0,SUMIFS(INDEX('Oxford Economics'!$A$7:$AZ$1000,0,IFERROR(MATCH(AG$5,'Oxford Economics'!$A$6:$AZ$6,0),MATCH(AG$5&amp;"",'Oxford Economics'!$A$6:$AZ$6,0))),'Oxford Economics'!$A$7:$A$1000,$C9,'Oxford Economics'!$B$7:$B$1000,Settings!$B$17)))),""))</f>
        <v>5293.82</v>
      </c>
      <c r="AH9" s="37" t="n">
        <f aca="false">IF($A9="","",IFERROR(1/(1/IF($B9="Residential",SUMIFS(INDEX('Oxford Economics'!$A$7:$AZ$1000,0,IFERROR(MATCH(AH$5,'Oxford Economics'!$A$6:$AZ$6,0),MATCH(AH$5&amp;"",'Oxford Economics'!$A$6:$AZ$6,0))),'Oxford Economics'!$A$7:$A$1000,$C9,'Oxford Economics'!$B$7:$B$1000,Settings!$B$11)-SUMIFS(INDEX('Oxford Economics'!$A$7:$AZ$1000,0,IFERROR(MATCH(AH$5,'Oxford Economics'!$A$6:$AZ$6,0),MATCH(AH$5&amp;"",'Oxford Economics'!$A$6:$AZ$6,0))),'Oxford Economics'!$A$7:$A$1000,$C9,'Oxford Economics'!$B$7:$B$1000,Settings!$B$13),SUMIFS(INDEX('Oxford Economics'!$A$7:$AZ$1000,0,IFERROR(MATCH(AH$5,'Oxford Economics'!$A$6:$AZ$6,0),MATCH(AH$5&amp;"",'Oxford Economics'!$A$6:$AZ$6,0))),'Oxford Economics'!$A$7:$A$1000,$C9,'Oxford Economics'!$B$7:$B$1000,Settings!$B$13)+SUMIFS(INDEX('Oxford Economics'!$A$7:$AZ$1000,0,IFERROR(MATCH(AH$5,'Oxford Economics'!$A$6:$AZ$6,0),MATCH(AH$5&amp;"",'Oxford Economics'!$A$6:$AZ$6,0))),'Oxford Economics'!$A$7:$A$1000,$C9,'Oxford Economics'!$B$7:$B$1000,Settings!$B$15)+IF(Settings!$B$17="",0,SUMIFS(INDEX('Oxford Economics'!$A$7:$AZ$1000,0,IFERROR(MATCH(AH$5,'Oxford Economics'!$A$6:$AZ$6,0),MATCH(AH$5&amp;"",'Oxford Economics'!$A$6:$AZ$6,0))),'Oxford Economics'!$A$7:$A$1000,$C9,'Oxford Economics'!$B$7:$B$1000,Settings!$B$17)))),""))</f>
        <v>5602.75</v>
      </c>
      <c r="AI9" s="37" t="n">
        <f aca="false">IF($A9="","",IFERROR(1/(1/IF($B9="Residential",SUMIFS(INDEX('Oxford Economics'!$A$7:$AZ$1000,0,IFERROR(MATCH(AI$5,'Oxford Economics'!$A$6:$AZ$6,0),MATCH(AI$5&amp;"",'Oxford Economics'!$A$6:$AZ$6,0))),'Oxford Economics'!$A$7:$A$1000,$C9,'Oxford Economics'!$B$7:$B$1000,Settings!$B$11)-SUMIFS(INDEX('Oxford Economics'!$A$7:$AZ$1000,0,IFERROR(MATCH(AI$5,'Oxford Economics'!$A$6:$AZ$6,0),MATCH(AI$5&amp;"",'Oxford Economics'!$A$6:$AZ$6,0))),'Oxford Economics'!$A$7:$A$1000,$C9,'Oxford Economics'!$B$7:$B$1000,Settings!$B$13),SUMIFS(INDEX('Oxford Economics'!$A$7:$AZ$1000,0,IFERROR(MATCH(AI$5,'Oxford Economics'!$A$6:$AZ$6,0),MATCH(AI$5&amp;"",'Oxford Economics'!$A$6:$AZ$6,0))),'Oxford Economics'!$A$7:$A$1000,$C9,'Oxford Economics'!$B$7:$B$1000,Settings!$B$13)+SUMIFS(INDEX('Oxford Economics'!$A$7:$AZ$1000,0,IFERROR(MATCH(AI$5,'Oxford Economics'!$A$6:$AZ$6,0),MATCH(AI$5&amp;"",'Oxford Economics'!$A$6:$AZ$6,0))),'Oxford Economics'!$A$7:$A$1000,$C9,'Oxford Economics'!$B$7:$B$1000,Settings!$B$15)+IF(Settings!$B$17="",0,SUMIFS(INDEX('Oxford Economics'!$A$7:$AZ$1000,0,IFERROR(MATCH(AI$5,'Oxford Economics'!$A$6:$AZ$6,0),MATCH(AI$5&amp;"",'Oxford Economics'!$A$6:$AZ$6,0))),'Oxford Economics'!$A$7:$A$1000,$C9,'Oxford Economics'!$B$7:$B$1000,Settings!$B$17)))),""))</f>
        <v>5885.37</v>
      </c>
      <c r="AJ9" s="37" t="n">
        <f aca="false">IF($A9="","",IFERROR(1/(1/IF($B9="Residential",SUMIFS(INDEX('Oxford Economics'!$A$7:$AZ$1000,0,IFERROR(MATCH(AJ$5,'Oxford Economics'!$A$6:$AZ$6,0),MATCH(AJ$5&amp;"",'Oxford Economics'!$A$6:$AZ$6,0))),'Oxford Economics'!$A$7:$A$1000,$C9,'Oxford Economics'!$B$7:$B$1000,Settings!$B$11)-SUMIFS(INDEX('Oxford Economics'!$A$7:$AZ$1000,0,IFERROR(MATCH(AJ$5,'Oxford Economics'!$A$6:$AZ$6,0),MATCH(AJ$5&amp;"",'Oxford Economics'!$A$6:$AZ$6,0))),'Oxford Economics'!$A$7:$A$1000,$C9,'Oxford Economics'!$B$7:$B$1000,Settings!$B$13),SUMIFS(INDEX('Oxford Economics'!$A$7:$AZ$1000,0,IFERROR(MATCH(AJ$5,'Oxford Economics'!$A$6:$AZ$6,0),MATCH(AJ$5&amp;"",'Oxford Economics'!$A$6:$AZ$6,0))),'Oxford Economics'!$A$7:$A$1000,$C9,'Oxford Economics'!$B$7:$B$1000,Settings!$B$13)+SUMIFS(INDEX('Oxford Economics'!$A$7:$AZ$1000,0,IFERROR(MATCH(AJ$5,'Oxford Economics'!$A$6:$AZ$6,0),MATCH(AJ$5&amp;"",'Oxford Economics'!$A$6:$AZ$6,0))),'Oxford Economics'!$A$7:$A$1000,$C9,'Oxford Economics'!$B$7:$B$1000,Settings!$B$15)+IF(Settings!$B$17="",0,SUMIFS(INDEX('Oxford Economics'!$A$7:$AZ$1000,0,IFERROR(MATCH(AJ$5,'Oxford Economics'!$A$6:$AZ$6,0),MATCH(AJ$5&amp;"",'Oxford Economics'!$A$6:$AZ$6,0))),'Oxford Economics'!$A$7:$A$1000,$C9,'Oxford Economics'!$B$7:$B$1000,Settings!$B$17)))),""))</f>
        <v>6060.82</v>
      </c>
      <c r="AK9" s="37" t="n">
        <f aca="false">IF($A9="","",IFERROR(1/(1/IF($B9="Residential",SUMIFS(INDEX('Oxford Economics'!$A$7:$AZ$1000,0,IFERROR(MATCH(AK$5,'Oxford Economics'!$A$6:$AZ$6,0),MATCH(AK$5&amp;"",'Oxford Economics'!$A$6:$AZ$6,0))),'Oxford Economics'!$A$7:$A$1000,$C9,'Oxford Economics'!$B$7:$B$1000,Settings!$B$11)-SUMIFS(INDEX('Oxford Economics'!$A$7:$AZ$1000,0,IFERROR(MATCH(AK$5,'Oxford Economics'!$A$6:$AZ$6,0),MATCH(AK$5&amp;"",'Oxford Economics'!$A$6:$AZ$6,0))),'Oxford Economics'!$A$7:$A$1000,$C9,'Oxford Economics'!$B$7:$B$1000,Settings!$B$13),SUMIFS(INDEX('Oxford Economics'!$A$7:$AZ$1000,0,IFERROR(MATCH(AK$5,'Oxford Economics'!$A$6:$AZ$6,0),MATCH(AK$5&amp;"",'Oxford Economics'!$A$6:$AZ$6,0))),'Oxford Economics'!$A$7:$A$1000,$C9,'Oxford Economics'!$B$7:$B$1000,Settings!$B$13)+SUMIFS(INDEX('Oxford Economics'!$A$7:$AZ$1000,0,IFERROR(MATCH(AK$5,'Oxford Economics'!$A$6:$AZ$6,0),MATCH(AK$5&amp;"",'Oxford Economics'!$A$6:$AZ$6,0))),'Oxford Economics'!$A$7:$A$1000,$C9,'Oxford Economics'!$B$7:$B$1000,Settings!$B$15)+IF(Settings!$B$17="",0,SUMIFS(INDEX('Oxford Economics'!$A$7:$AZ$1000,0,IFERROR(MATCH(AK$5,'Oxford Economics'!$A$6:$AZ$6,0),MATCH(AK$5&amp;"",'Oxford Economics'!$A$6:$AZ$6,0))),'Oxford Economics'!$A$7:$A$1000,$C9,'Oxford Economics'!$B$7:$B$1000,Settings!$B$17)))),""))</f>
        <v>6280.26</v>
      </c>
      <c r="AL9" s="37" t="n">
        <f aca="false">IF($A9="","",IFERROR(1/(1/IF($B9="Residential",SUMIFS(INDEX('Oxford Economics'!$A$7:$AZ$1000,0,IFERROR(MATCH(AL$5,'Oxford Economics'!$A$6:$AZ$6,0),MATCH(AL$5&amp;"",'Oxford Economics'!$A$6:$AZ$6,0))),'Oxford Economics'!$A$7:$A$1000,$C9,'Oxford Economics'!$B$7:$B$1000,Settings!$B$11)-SUMIFS(INDEX('Oxford Economics'!$A$7:$AZ$1000,0,IFERROR(MATCH(AL$5,'Oxford Economics'!$A$6:$AZ$6,0),MATCH(AL$5&amp;"",'Oxford Economics'!$A$6:$AZ$6,0))),'Oxford Economics'!$A$7:$A$1000,$C9,'Oxford Economics'!$B$7:$B$1000,Settings!$B$13),SUMIFS(INDEX('Oxford Economics'!$A$7:$AZ$1000,0,IFERROR(MATCH(AL$5,'Oxford Economics'!$A$6:$AZ$6,0),MATCH(AL$5&amp;"",'Oxford Economics'!$A$6:$AZ$6,0))),'Oxford Economics'!$A$7:$A$1000,$C9,'Oxford Economics'!$B$7:$B$1000,Settings!$B$13)+SUMIFS(INDEX('Oxford Economics'!$A$7:$AZ$1000,0,IFERROR(MATCH(AL$5,'Oxford Economics'!$A$6:$AZ$6,0),MATCH(AL$5&amp;"",'Oxford Economics'!$A$6:$AZ$6,0))),'Oxford Economics'!$A$7:$A$1000,$C9,'Oxford Economics'!$B$7:$B$1000,Settings!$B$15)+IF(Settings!$B$17="",0,SUMIFS(INDEX('Oxford Economics'!$A$7:$AZ$1000,0,IFERROR(MATCH(AL$5,'Oxford Economics'!$A$6:$AZ$6,0),MATCH(AL$5&amp;"",'Oxford Economics'!$A$6:$AZ$6,0))),'Oxford Economics'!$A$7:$A$1000,$C9,'Oxford Economics'!$B$7:$B$1000,Settings!$B$17)))),""))</f>
        <v>6468.43</v>
      </c>
      <c r="AM9" s="37" t="n">
        <f aca="false">IF($A9="","",IFERROR(1/(1/IF($B9="Residential",SUMIFS(INDEX('Oxford Economics'!$A$7:$AZ$1000,0,IFERROR(MATCH(AM$5,'Oxford Economics'!$A$6:$AZ$6,0),MATCH(AM$5&amp;"",'Oxford Economics'!$A$6:$AZ$6,0))),'Oxford Economics'!$A$7:$A$1000,$C9,'Oxford Economics'!$B$7:$B$1000,Settings!$B$11)-SUMIFS(INDEX('Oxford Economics'!$A$7:$AZ$1000,0,IFERROR(MATCH(AM$5,'Oxford Economics'!$A$6:$AZ$6,0),MATCH(AM$5&amp;"",'Oxford Economics'!$A$6:$AZ$6,0))),'Oxford Economics'!$A$7:$A$1000,$C9,'Oxford Economics'!$B$7:$B$1000,Settings!$B$13),SUMIFS(INDEX('Oxford Economics'!$A$7:$AZ$1000,0,IFERROR(MATCH(AM$5,'Oxford Economics'!$A$6:$AZ$6,0),MATCH(AM$5&amp;"",'Oxford Economics'!$A$6:$AZ$6,0))),'Oxford Economics'!$A$7:$A$1000,$C9,'Oxford Economics'!$B$7:$B$1000,Settings!$B$13)+SUMIFS(INDEX('Oxford Economics'!$A$7:$AZ$1000,0,IFERROR(MATCH(AM$5,'Oxford Economics'!$A$6:$AZ$6,0),MATCH(AM$5&amp;"",'Oxford Economics'!$A$6:$AZ$6,0))),'Oxford Economics'!$A$7:$A$1000,$C9,'Oxford Economics'!$B$7:$B$1000,Settings!$B$15)+IF(Settings!$B$17="",0,SUMIFS(INDEX('Oxford Economics'!$A$7:$AZ$1000,0,IFERROR(MATCH(AM$5,'Oxford Economics'!$A$6:$AZ$6,0),MATCH(AM$5&amp;"",'Oxford Economics'!$A$6:$AZ$6,0))),'Oxford Economics'!$A$7:$A$1000,$C9,'Oxford Economics'!$B$7:$B$1000,Settings!$B$17)))),""))</f>
        <v>6599.03</v>
      </c>
    </row>
    <row r="10" customFormat="false" ht="15" hidden="false" customHeight="false" outlineLevel="0" collapsed="false">
      <c r="A10" s="36" t="str">
        <f aca="false">IF('Raw data'!$A10="","",'Raw data'!$A10)</f>
        <v>Hungary</v>
      </c>
      <c r="B10" s="36" t="str">
        <f aca="false">IF($A10="","",'Raw data'!$C10)</f>
        <v>Residential</v>
      </c>
      <c r="C10" s="36" t="str">
        <f aca="false">IF($A10="","",IF('Raw data'!$D10="",$A10,'Raw data'!$D10))</f>
        <v>Hungary</v>
      </c>
      <c r="D10" s="37" t="n">
        <f aca="false">IF($A10="","",IF(AND(ISNUMBER(P10),ISNUMBER(AB10)),P10+AB10,""))</f>
        <v>1997.46</v>
      </c>
      <c r="E10" s="37" t="n">
        <f aca="false">IF($A10="","",IF(AND(ISNUMBER(Q10),ISNUMBER(AC10)),Q10+AC10,""))</f>
        <v>2261.92</v>
      </c>
      <c r="F10" s="37" t="n">
        <f aca="false">IF($A10="","",IF(AND(ISNUMBER(R10),ISNUMBER(AD10)),R10+AD10,""))</f>
        <v>2372.65</v>
      </c>
      <c r="G10" s="37" t="n">
        <f aca="false">IF($A10="","",IF(AND(ISNUMBER(S10),ISNUMBER(AE10)),S10+AE10,""))</f>
        <v>2092.71</v>
      </c>
      <c r="H10" s="37" t="n">
        <f aca="false">IF($A10="","",IF(AND(ISNUMBER(T10),ISNUMBER(AF10)),T10+AF10,""))</f>
        <v>2073.06</v>
      </c>
      <c r="I10" s="37" t="n">
        <f aca="false">IF($A10="","",IF(AND(ISNUMBER(U10),ISNUMBER(AG10)),U10+AG10,""))</f>
        <v>1964.39</v>
      </c>
      <c r="J10" s="37" t="n">
        <f aca="false">IF($A10="","",IF(AND(ISNUMBER(V10),ISNUMBER(AH10)),V10+AH10,""))</f>
        <v>2135.13</v>
      </c>
      <c r="K10" s="37" t="n">
        <f aca="false">IF($A10="","",IF(AND(ISNUMBER(W10),ISNUMBER(AI10)),W10+AI10,""))</f>
        <v>2022.63</v>
      </c>
      <c r="L10" s="37" t="n">
        <f aca="false">IF($A10="","",IF(AND(ISNUMBER(X10),ISNUMBER(AJ10)),X10+AJ10,""))</f>
        <v>2083.98</v>
      </c>
      <c r="M10" s="37" t="n">
        <f aca="false">IF($A10="","",IF(AND(ISNUMBER(Y10),ISNUMBER(AK10)),Y10+AK10,""))</f>
        <v>2133.79</v>
      </c>
      <c r="N10" s="37" t="n">
        <f aca="false">IF($A10="","",IF(AND(ISNUMBER(Z10),ISNUMBER(AL10)),Z10+AL10,""))</f>
        <v>2176.44</v>
      </c>
      <c r="O10" s="37" t="n">
        <f aca="false">IF($A10="","",IF(AND(ISNUMBER(AA10),ISNUMBER(AM10)),AA10+AM10,""))</f>
        <v>2205.03</v>
      </c>
      <c r="P10" s="37" t="n">
        <f aca="false">IF($A10="","",IFERROR(1/(1/IF($B10="Residential",SUMIFS(INDEX('Oxford Economics'!$A$7:$AZ$1000,0,IFERROR(MATCH(P$5,'Oxford Economics'!$A$6:$AZ$6,0),MATCH(P$5&amp;"",'Oxford Economics'!$A$6:$AZ$6,0))),'Oxford Economics'!$A$7:$A$1000,$C10,'Oxford Economics'!$B$7:$B$1000,Settings!$B$12)-SUMIFS(INDEX('Oxford Economics'!$A$7:$AZ$1000,0,IFERROR(MATCH(P$5,'Oxford Economics'!$A$6:$AZ$6,0),MATCH(P$5&amp;"",'Oxford Economics'!$A$6:$AZ$6,0))),'Oxford Economics'!$A$7:$A$1000,$C10,'Oxford Economics'!$B$7:$B$1000,Settings!$B$14),SUMIFS(INDEX('Oxford Economics'!$A$7:$AZ$1000,0,IFERROR(MATCH(P$5,'Oxford Economics'!$A$6:$AZ$6,0),MATCH(P$5&amp;"",'Oxford Economics'!$A$6:$AZ$6,0))),'Oxford Economics'!$A$7:$A$1000,$C10,'Oxford Economics'!$B$7:$B$1000,Settings!$B$14)+SUMIFS(INDEX('Oxford Economics'!$A$7:$AZ$1000,0,IFERROR(MATCH(P$5,'Oxford Economics'!$A$6:$AZ$6,0),MATCH(P$5&amp;"",'Oxford Economics'!$A$6:$AZ$6,0))),'Oxford Economics'!$A$7:$A$1000,$C10,'Oxford Economics'!$B$7:$B$1000,Settings!$B$16)+IF(Settings!$B$18="",0,SUMIFS(INDEX('Oxford Economics'!$A$7:$AZ$1000,0,IFERROR(MATCH(P$5,'Oxford Economics'!$A$6:$AZ$6,0),MATCH(P$5&amp;"",'Oxford Economics'!$A$6:$AZ$6,0))),'Oxford Economics'!$A$7:$A$1000,$C10,'Oxford Economics'!$B$7:$B$1000,Settings!$B$18)))),""))</f>
        <v>914.35</v>
      </c>
      <c r="Q10" s="37" t="n">
        <f aca="false">IF($A10="","",IFERROR(1/(1/IF($B10="Residential",SUMIFS(INDEX('Oxford Economics'!$A$7:$AZ$1000,0,IFERROR(MATCH(Q$5,'Oxford Economics'!$A$6:$AZ$6,0),MATCH(Q$5&amp;"",'Oxford Economics'!$A$6:$AZ$6,0))),'Oxford Economics'!$A$7:$A$1000,$C10,'Oxford Economics'!$B$7:$B$1000,Settings!$B$12)-SUMIFS(INDEX('Oxford Economics'!$A$7:$AZ$1000,0,IFERROR(MATCH(Q$5,'Oxford Economics'!$A$6:$AZ$6,0),MATCH(Q$5&amp;"",'Oxford Economics'!$A$6:$AZ$6,0))),'Oxford Economics'!$A$7:$A$1000,$C10,'Oxford Economics'!$B$7:$B$1000,Settings!$B$14),SUMIFS(INDEX('Oxford Economics'!$A$7:$AZ$1000,0,IFERROR(MATCH(Q$5,'Oxford Economics'!$A$6:$AZ$6,0),MATCH(Q$5&amp;"",'Oxford Economics'!$A$6:$AZ$6,0))),'Oxford Economics'!$A$7:$A$1000,$C10,'Oxford Economics'!$B$7:$B$1000,Settings!$B$14)+SUMIFS(INDEX('Oxford Economics'!$A$7:$AZ$1000,0,IFERROR(MATCH(Q$5,'Oxford Economics'!$A$6:$AZ$6,0),MATCH(Q$5&amp;"",'Oxford Economics'!$A$6:$AZ$6,0))),'Oxford Economics'!$A$7:$A$1000,$C10,'Oxford Economics'!$B$7:$B$1000,Settings!$B$16)+IF(Settings!$B$18="",0,SUMIFS(INDEX('Oxford Economics'!$A$7:$AZ$1000,0,IFERROR(MATCH(Q$5,'Oxford Economics'!$A$6:$AZ$6,0),MATCH(Q$5&amp;"",'Oxford Economics'!$A$6:$AZ$6,0))),'Oxford Economics'!$A$7:$A$1000,$C10,'Oxford Economics'!$B$7:$B$1000,Settings!$B$18)))),""))</f>
        <v>1031.21</v>
      </c>
      <c r="R10" s="37" t="n">
        <f aca="false">IF($A10="","",IFERROR(1/(1/IF($B10="Residential",SUMIFS(INDEX('Oxford Economics'!$A$7:$AZ$1000,0,IFERROR(MATCH(R$5,'Oxford Economics'!$A$6:$AZ$6,0),MATCH(R$5&amp;"",'Oxford Economics'!$A$6:$AZ$6,0))),'Oxford Economics'!$A$7:$A$1000,$C10,'Oxford Economics'!$B$7:$B$1000,Settings!$B$12)-SUMIFS(INDEX('Oxford Economics'!$A$7:$AZ$1000,0,IFERROR(MATCH(R$5,'Oxford Economics'!$A$6:$AZ$6,0),MATCH(R$5&amp;"",'Oxford Economics'!$A$6:$AZ$6,0))),'Oxford Economics'!$A$7:$A$1000,$C10,'Oxford Economics'!$B$7:$B$1000,Settings!$B$14),SUMIFS(INDEX('Oxford Economics'!$A$7:$AZ$1000,0,IFERROR(MATCH(R$5,'Oxford Economics'!$A$6:$AZ$6,0),MATCH(R$5&amp;"",'Oxford Economics'!$A$6:$AZ$6,0))),'Oxford Economics'!$A$7:$A$1000,$C10,'Oxford Economics'!$B$7:$B$1000,Settings!$B$14)+SUMIFS(INDEX('Oxford Economics'!$A$7:$AZ$1000,0,IFERROR(MATCH(R$5,'Oxford Economics'!$A$6:$AZ$6,0),MATCH(R$5&amp;"",'Oxford Economics'!$A$6:$AZ$6,0))),'Oxford Economics'!$A$7:$A$1000,$C10,'Oxford Economics'!$B$7:$B$1000,Settings!$B$16)+IF(Settings!$B$18="",0,SUMIFS(INDEX('Oxford Economics'!$A$7:$AZ$1000,0,IFERROR(MATCH(R$5,'Oxford Economics'!$A$6:$AZ$6,0),MATCH(R$5&amp;"",'Oxford Economics'!$A$6:$AZ$6,0))),'Oxford Economics'!$A$7:$A$1000,$C10,'Oxford Economics'!$B$7:$B$1000,Settings!$B$18)))),""))</f>
        <v>1192.78</v>
      </c>
      <c r="S10" s="37" t="n">
        <f aca="false">IF($A10="","",IFERROR(1/(1/IF($B10="Residential",SUMIFS(INDEX('Oxford Economics'!$A$7:$AZ$1000,0,IFERROR(MATCH(S$5,'Oxford Economics'!$A$6:$AZ$6,0),MATCH(S$5&amp;"",'Oxford Economics'!$A$6:$AZ$6,0))),'Oxford Economics'!$A$7:$A$1000,$C10,'Oxford Economics'!$B$7:$B$1000,Settings!$B$12)-SUMIFS(INDEX('Oxford Economics'!$A$7:$AZ$1000,0,IFERROR(MATCH(S$5,'Oxford Economics'!$A$6:$AZ$6,0),MATCH(S$5&amp;"",'Oxford Economics'!$A$6:$AZ$6,0))),'Oxford Economics'!$A$7:$A$1000,$C10,'Oxford Economics'!$B$7:$B$1000,Settings!$B$14),SUMIFS(INDEX('Oxford Economics'!$A$7:$AZ$1000,0,IFERROR(MATCH(S$5,'Oxford Economics'!$A$6:$AZ$6,0),MATCH(S$5&amp;"",'Oxford Economics'!$A$6:$AZ$6,0))),'Oxford Economics'!$A$7:$A$1000,$C10,'Oxford Economics'!$B$7:$B$1000,Settings!$B$14)+SUMIFS(INDEX('Oxford Economics'!$A$7:$AZ$1000,0,IFERROR(MATCH(S$5,'Oxford Economics'!$A$6:$AZ$6,0),MATCH(S$5&amp;"",'Oxford Economics'!$A$6:$AZ$6,0))),'Oxford Economics'!$A$7:$A$1000,$C10,'Oxford Economics'!$B$7:$B$1000,Settings!$B$16)+IF(Settings!$B$18="",0,SUMIFS(INDEX('Oxford Economics'!$A$7:$AZ$1000,0,IFERROR(MATCH(S$5,'Oxford Economics'!$A$6:$AZ$6,0),MATCH(S$5&amp;"",'Oxford Economics'!$A$6:$AZ$6,0))),'Oxford Economics'!$A$7:$A$1000,$C10,'Oxford Economics'!$B$7:$B$1000,Settings!$B$18)))),""))</f>
        <v>1165</v>
      </c>
      <c r="T10" s="37" t="n">
        <f aca="false">IF($A10="","",IFERROR(1/(1/IF($B10="Residential",SUMIFS(INDEX('Oxford Economics'!$A$7:$AZ$1000,0,IFERROR(MATCH(T$5,'Oxford Economics'!$A$6:$AZ$6,0),MATCH(T$5&amp;"",'Oxford Economics'!$A$6:$AZ$6,0))),'Oxford Economics'!$A$7:$A$1000,$C10,'Oxford Economics'!$B$7:$B$1000,Settings!$B$12)-SUMIFS(INDEX('Oxford Economics'!$A$7:$AZ$1000,0,IFERROR(MATCH(T$5,'Oxford Economics'!$A$6:$AZ$6,0),MATCH(T$5&amp;"",'Oxford Economics'!$A$6:$AZ$6,0))),'Oxford Economics'!$A$7:$A$1000,$C10,'Oxford Economics'!$B$7:$B$1000,Settings!$B$14),SUMIFS(INDEX('Oxford Economics'!$A$7:$AZ$1000,0,IFERROR(MATCH(T$5,'Oxford Economics'!$A$6:$AZ$6,0),MATCH(T$5&amp;"",'Oxford Economics'!$A$6:$AZ$6,0))),'Oxford Economics'!$A$7:$A$1000,$C10,'Oxford Economics'!$B$7:$B$1000,Settings!$B$14)+SUMIFS(INDEX('Oxford Economics'!$A$7:$AZ$1000,0,IFERROR(MATCH(T$5,'Oxford Economics'!$A$6:$AZ$6,0),MATCH(T$5&amp;"",'Oxford Economics'!$A$6:$AZ$6,0))),'Oxford Economics'!$A$7:$A$1000,$C10,'Oxford Economics'!$B$7:$B$1000,Settings!$B$16)+IF(Settings!$B$18="",0,SUMIFS(INDEX('Oxford Economics'!$A$7:$AZ$1000,0,IFERROR(MATCH(T$5,'Oxford Economics'!$A$6:$AZ$6,0),MATCH(T$5&amp;"",'Oxford Economics'!$A$6:$AZ$6,0))),'Oxford Economics'!$A$7:$A$1000,$C10,'Oxford Economics'!$B$7:$B$1000,Settings!$B$18)))),""))</f>
        <v>1182.09</v>
      </c>
      <c r="U10" s="37" t="n">
        <f aca="false">IF($A10="","",IFERROR(1/(1/IF($B10="Residential",SUMIFS(INDEX('Oxford Economics'!$A$7:$AZ$1000,0,IFERROR(MATCH(U$5,'Oxford Economics'!$A$6:$AZ$6,0),MATCH(U$5&amp;"",'Oxford Economics'!$A$6:$AZ$6,0))),'Oxford Economics'!$A$7:$A$1000,$C10,'Oxford Economics'!$B$7:$B$1000,Settings!$B$12)-SUMIFS(INDEX('Oxford Economics'!$A$7:$AZ$1000,0,IFERROR(MATCH(U$5,'Oxford Economics'!$A$6:$AZ$6,0),MATCH(U$5&amp;"",'Oxford Economics'!$A$6:$AZ$6,0))),'Oxford Economics'!$A$7:$A$1000,$C10,'Oxford Economics'!$B$7:$B$1000,Settings!$B$14),SUMIFS(INDEX('Oxford Economics'!$A$7:$AZ$1000,0,IFERROR(MATCH(U$5,'Oxford Economics'!$A$6:$AZ$6,0),MATCH(U$5&amp;"",'Oxford Economics'!$A$6:$AZ$6,0))),'Oxford Economics'!$A$7:$A$1000,$C10,'Oxford Economics'!$B$7:$B$1000,Settings!$B$14)+SUMIFS(INDEX('Oxford Economics'!$A$7:$AZ$1000,0,IFERROR(MATCH(U$5,'Oxford Economics'!$A$6:$AZ$6,0),MATCH(U$5&amp;"",'Oxford Economics'!$A$6:$AZ$6,0))),'Oxford Economics'!$A$7:$A$1000,$C10,'Oxford Economics'!$B$7:$B$1000,Settings!$B$16)+IF(Settings!$B$18="",0,SUMIFS(INDEX('Oxford Economics'!$A$7:$AZ$1000,0,IFERROR(MATCH(U$5,'Oxford Economics'!$A$6:$AZ$6,0),MATCH(U$5&amp;"",'Oxford Economics'!$A$6:$AZ$6,0))),'Oxford Economics'!$A$7:$A$1000,$C10,'Oxford Economics'!$B$7:$B$1000,Settings!$B$18)))),""))</f>
        <v>1041.44</v>
      </c>
      <c r="V10" s="37" t="n">
        <f aca="false">IF($A10="","",IFERROR(1/(1/IF($B10="Residential",SUMIFS(INDEX('Oxford Economics'!$A$7:$AZ$1000,0,IFERROR(MATCH(V$5,'Oxford Economics'!$A$6:$AZ$6,0),MATCH(V$5&amp;"",'Oxford Economics'!$A$6:$AZ$6,0))),'Oxford Economics'!$A$7:$A$1000,$C10,'Oxford Economics'!$B$7:$B$1000,Settings!$B$12)-SUMIFS(INDEX('Oxford Economics'!$A$7:$AZ$1000,0,IFERROR(MATCH(V$5,'Oxford Economics'!$A$6:$AZ$6,0),MATCH(V$5&amp;"",'Oxford Economics'!$A$6:$AZ$6,0))),'Oxford Economics'!$A$7:$A$1000,$C10,'Oxford Economics'!$B$7:$B$1000,Settings!$B$14),SUMIFS(INDEX('Oxford Economics'!$A$7:$AZ$1000,0,IFERROR(MATCH(V$5,'Oxford Economics'!$A$6:$AZ$6,0),MATCH(V$5&amp;"",'Oxford Economics'!$A$6:$AZ$6,0))),'Oxford Economics'!$A$7:$A$1000,$C10,'Oxford Economics'!$B$7:$B$1000,Settings!$B$14)+SUMIFS(INDEX('Oxford Economics'!$A$7:$AZ$1000,0,IFERROR(MATCH(V$5,'Oxford Economics'!$A$6:$AZ$6,0),MATCH(V$5&amp;"",'Oxford Economics'!$A$6:$AZ$6,0))),'Oxford Economics'!$A$7:$A$1000,$C10,'Oxford Economics'!$B$7:$B$1000,Settings!$B$16)+IF(Settings!$B$18="",0,SUMIFS(INDEX('Oxford Economics'!$A$7:$AZ$1000,0,IFERROR(MATCH(V$5,'Oxford Economics'!$A$6:$AZ$6,0),MATCH(V$5&amp;"",'Oxford Economics'!$A$6:$AZ$6,0))),'Oxford Economics'!$A$7:$A$1000,$C10,'Oxford Economics'!$B$7:$B$1000,Settings!$B$18)))),""))</f>
        <v>1023.82</v>
      </c>
      <c r="W10" s="37" t="n">
        <f aca="false">IF($A10="","",IFERROR(1/(1/IF($B10="Residential",SUMIFS(INDEX('Oxford Economics'!$A$7:$AZ$1000,0,IFERROR(MATCH(W$5,'Oxford Economics'!$A$6:$AZ$6,0),MATCH(W$5&amp;"",'Oxford Economics'!$A$6:$AZ$6,0))),'Oxford Economics'!$A$7:$A$1000,$C10,'Oxford Economics'!$B$7:$B$1000,Settings!$B$12)-SUMIFS(INDEX('Oxford Economics'!$A$7:$AZ$1000,0,IFERROR(MATCH(W$5,'Oxford Economics'!$A$6:$AZ$6,0),MATCH(W$5&amp;"",'Oxford Economics'!$A$6:$AZ$6,0))),'Oxford Economics'!$A$7:$A$1000,$C10,'Oxford Economics'!$B$7:$B$1000,Settings!$B$14),SUMIFS(INDEX('Oxford Economics'!$A$7:$AZ$1000,0,IFERROR(MATCH(W$5,'Oxford Economics'!$A$6:$AZ$6,0),MATCH(W$5&amp;"",'Oxford Economics'!$A$6:$AZ$6,0))),'Oxford Economics'!$A$7:$A$1000,$C10,'Oxford Economics'!$B$7:$B$1000,Settings!$B$14)+SUMIFS(INDEX('Oxford Economics'!$A$7:$AZ$1000,0,IFERROR(MATCH(W$5,'Oxford Economics'!$A$6:$AZ$6,0),MATCH(W$5&amp;"",'Oxford Economics'!$A$6:$AZ$6,0))),'Oxford Economics'!$A$7:$A$1000,$C10,'Oxford Economics'!$B$7:$B$1000,Settings!$B$16)+IF(Settings!$B$18="",0,SUMIFS(INDEX('Oxford Economics'!$A$7:$AZ$1000,0,IFERROR(MATCH(W$5,'Oxford Economics'!$A$6:$AZ$6,0),MATCH(W$5&amp;"",'Oxford Economics'!$A$6:$AZ$6,0))),'Oxford Economics'!$A$7:$A$1000,$C10,'Oxford Economics'!$B$7:$B$1000,Settings!$B$18)))),""))</f>
        <v>1071.96</v>
      </c>
      <c r="X10" s="37" t="n">
        <f aca="false">IF($A10="","",IFERROR(1/(1/IF($B10="Residential",SUMIFS(INDEX('Oxford Economics'!$A$7:$AZ$1000,0,IFERROR(MATCH(X$5,'Oxford Economics'!$A$6:$AZ$6,0),MATCH(X$5&amp;"",'Oxford Economics'!$A$6:$AZ$6,0))),'Oxford Economics'!$A$7:$A$1000,$C10,'Oxford Economics'!$B$7:$B$1000,Settings!$B$12)-SUMIFS(INDEX('Oxford Economics'!$A$7:$AZ$1000,0,IFERROR(MATCH(X$5,'Oxford Economics'!$A$6:$AZ$6,0),MATCH(X$5&amp;"",'Oxford Economics'!$A$6:$AZ$6,0))),'Oxford Economics'!$A$7:$A$1000,$C10,'Oxford Economics'!$B$7:$B$1000,Settings!$B$14),SUMIFS(INDEX('Oxford Economics'!$A$7:$AZ$1000,0,IFERROR(MATCH(X$5,'Oxford Economics'!$A$6:$AZ$6,0),MATCH(X$5&amp;"",'Oxford Economics'!$A$6:$AZ$6,0))),'Oxford Economics'!$A$7:$A$1000,$C10,'Oxford Economics'!$B$7:$B$1000,Settings!$B$14)+SUMIFS(INDEX('Oxford Economics'!$A$7:$AZ$1000,0,IFERROR(MATCH(X$5,'Oxford Economics'!$A$6:$AZ$6,0),MATCH(X$5&amp;"",'Oxford Economics'!$A$6:$AZ$6,0))),'Oxford Economics'!$A$7:$A$1000,$C10,'Oxford Economics'!$B$7:$B$1000,Settings!$B$16)+IF(Settings!$B$18="",0,SUMIFS(INDEX('Oxford Economics'!$A$7:$AZ$1000,0,IFERROR(MATCH(X$5,'Oxford Economics'!$A$6:$AZ$6,0),MATCH(X$5&amp;"",'Oxford Economics'!$A$6:$AZ$6,0))),'Oxford Economics'!$A$7:$A$1000,$C10,'Oxford Economics'!$B$7:$B$1000,Settings!$B$18)))),""))</f>
        <v>1140.65</v>
      </c>
      <c r="Y10" s="37" t="n">
        <f aca="false">IF($A10="","",IFERROR(1/(1/IF($B10="Residential",SUMIFS(INDEX('Oxford Economics'!$A$7:$AZ$1000,0,IFERROR(MATCH(Y$5,'Oxford Economics'!$A$6:$AZ$6,0),MATCH(Y$5&amp;"",'Oxford Economics'!$A$6:$AZ$6,0))),'Oxford Economics'!$A$7:$A$1000,$C10,'Oxford Economics'!$B$7:$B$1000,Settings!$B$12)-SUMIFS(INDEX('Oxford Economics'!$A$7:$AZ$1000,0,IFERROR(MATCH(Y$5,'Oxford Economics'!$A$6:$AZ$6,0),MATCH(Y$5&amp;"",'Oxford Economics'!$A$6:$AZ$6,0))),'Oxford Economics'!$A$7:$A$1000,$C10,'Oxford Economics'!$B$7:$B$1000,Settings!$B$14),SUMIFS(INDEX('Oxford Economics'!$A$7:$AZ$1000,0,IFERROR(MATCH(Y$5,'Oxford Economics'!$A$6:$AZ$6,0),MATCH(Y$5&amp;"",'Oxford Economics'!$A$6:$AZ$6,0))),'Oxford Economics'!$A$7:$A$1000,$C10,'Oxford Economics'!$B$7:$B$1000,Settings!$B$14)+SUMIFS(INDEX('Oxford Economics'!$A$7:$AZ$1000,0,IFERROR(MATCH(Y$5,'Oxford Economics'!$A$6:$AZ$6,0),MATCH(Y$5&amp;"",'Oxford Economics'!$A$6:$AZ$6,0))),'Oxford Economics'!$A$7:$A$1000,$C10,'Oxford Economics'!$B$7:$B$1000,Settings!$B$16)+IF(Settings!$B$18="",0,SUMIFS(INDEX('Oxford Economics'!$A$7:$AZ$1000,0,IFERROR(MATCH(Y$5,'Oxford Economics'!$A$6:$AZ$6,0),MATCH(Y$5&amp;"",'Oxford Economics'!$A$6:$AZ$6,0))),'Oxford Economics'!$A$7:$A$1000,$C10,'Oxford Economics'!$B$7:$B$1000,Settings!$B$18)))),""))</f>
        <v>1203.68</v>
      </c>
      <c r="Z10" s="37" t="n">
        <f aca="false">IF($A10="","",IFERROR(1/(1/IF($B10="Residential",SUMIFS(INDEX('Oxford Economics'!$A$7:$AZ$1000,0,IFERROR(MATCH(Z$5,'Oxford Economics'!$A$6:$AZ$6,0),MATCH(Z$5&amp;"",'Oxford Economics'!$A$6:$AZ$6,0))),'Oxford Economics'!$A$7:$A$1000,$C10,'Oxford Economics'!$B$7:$B$1000,Settings!$B$12)-SUMIFS(INDEX('Oxford Economics'!$A$7:$AZ$1000,0,IFERROR(MATCH(Z$5,'Oxford Economics'!$A$6:$AZ$6,0),MATCH(Z$5&amp;"",'Oxford Economics'!$A$6:$AZ$6,0))),'Oxford Economics'!$A$7:$A$1000,$C10,'Oxford Economics'!$B$7:$B$1000,Settings!$B$14),SUMIFS(INDEX('Oxford Economics'!$A$7:$AZ$1000,0,IFERROR(MATCH(Z$5,'Oxford Economics'!$A$6:$AZ$6,0),MATCH(Z$5&amp;"",'Oxford Economics'!$A$6:$AZ$6,0))),'Oxford Economics'!$A$7:$A$1000,$C10,'Oxford Economics'!$B$7:$B$1000,Settings!$B$14)+SUMIFS(INDEX('Oxford Economics'!$A$7:$AZ$1000,0,IFERROR(MATCH(Z$5,'Oxford Economics'!$A$6:$AZ$6,0),MATCH(Z$5&amp;"",'Oxford Economics'!$A$6:$AZ$6,0))),'Oxford Economics'!$A$7:$A$1000,$C10,'Oxford Economics'!$B$7:$B$1000,Settings!$B$16)+IF(Settings!$B$18="",0,SUMIFS(INDEX('Oxford Economics'!$A$7:$AZ$1000,0,IFERROR(MATCH(Z$5,'Oxford Economics'!$A$6:$AZ$6,0),MATCH(Z$5&amp;"",'Oxford Economics'!$A$6:$AZ$6,0))),'Oxford Economics'!$A$7:$A$1000,$C10,'Oxford Economics'!$B$7:$B$1000,Settings!$B$18)))),""))</f>
        <v>1266.11</v>
      </c>
      <c r="AA10" s="37" t="n">
        <f aca="false">IF($A10="","",IFERROR(1/(1/IF($B10="Residential",SUMIFS(INDEX('Oxford Economics'!$A$7:$AZ$1000,0,IFERROR(MATCH(AA$5,'Oxford Economics'!$A$6:$AZ$6,0),MATCH(AA$5&amp;"",'Oxford Economics'!$A$6:$AZ$6,0))),'Oxford Economics'!$A$7:$A$1000,$C10,'Oxford Economics'!$B$7:$B$1000,Settings!$B$12)-SUMIFS(INDEX('Oxford Economics'!$A$7:$AZ$1000,0,IFERROR(MATCH(AA$5,'Oxford Economics'!$A$6:$AZ$6,0),MATCH(AA$5&amp;"",'Oxford Economics'!$A$6:$AZ$6,0))),'Oxford Economics'!$A$7:$A$1000,$C10,'Oxford Economics'!$B$7:$B$1000,Settings!$B$14),SUMIFS(INDEX('Oxford Economics'!$A$7:$AZ$1000,0,IFERROR(MATCH(AA$5,'Oxford Economics'!$A$6:$AZ$6,0),MATCH(AA$5&amp;"",'Oxford Economics'!$A$6:$AZ$6,0))),'Oxford Economics'!$A$7:$A$1000,$C10,'Oxford Economics'!$B$7:$B$1000,Settings!$B$14)+SUMIFS(INDEX('Oxford Economics'!$A$7:$AZ$1000,0,IFERROR(MATCH(AA$5,'Oxford Economics'!$A$6:$AZ$6,0),MATCH(AA$5&amp;"",'Oxford Economics'!$A$6:$AZ$6,0))),'Oxford Economics'!$A$7:$A$1000,$C10,'Oxford Economics'!$B$7:$B$1000,Settings!$B$16)+IF(Settings!$B$18="",0,SUMIFS(INDEX('Oxford Economics'!$A$7:$AZ$1000,0,IFERROR(MATCH(AA$5,'Oxford Economics'!$A$6:$AZ$6,0),MATCH(AA$5&amp;"",'Oxford Economics'!$A$6:$AZ$6,0))),'Oxford Economics'!$A$7:$A$1000,$C10,'Oxford Economics'!$B$7:$B$1000,Settings!$B$18)))),""))</f>
        <v>1324.35</v>
      </c>
      <c r="AB10" s="37" t="n">
        <f aca="false">IF($A10="","",IFERROR(1/(1/IF($B10="Residential",SUMIFS(INDEX('Oxford Economics'!$A$7:$AZ$1000,0,IFERROR(MATCH(AB$5,'Oxford Economics'!$A$6:$AZ$6,0),MATCH(AB$5&amp;"",'Oxford Economics'!$A$6:$AZ$6,0))),'Oxford Economics'!$A$7:$A$1000,$C10,'Oxford Economics'!$B$7:$B$1000,Settings!$B$11)-SUMIFS(INDEX('Oxford Economics'!$A$7:$AZ$1000,0,IFERROR(MATCH(AB$5,'Oxford Economics'!$A$6:$AZ$6,0),MATCH(AB$5&amp;"",'Oxford Economics'!$A$6:$AZ$6,0))),'Oxford Economics'!$A$7:$A$1000,$C10,'Oxford Economics'!$B$7:$B$1000,Settings!$B$13),SUMIFS(INDEX('Oxford Economics'!$A$7:$AZ$1000,0,IFERROR(MATCH(AB$5,'Oxford Economics'!$A$6:$AZ$6,0),MATCH(AB$5&amp;"",'Oxford Economics'!$A$6:$AZ$6,0))),'Oxford Economics'!$A$7:$A$1000,$C10,'Oxford Economics'!$B$7:$B$1000,Settings!$B$13)+SUMIFS(INDEX('Oxford Economics'!$A$7:$AZ$1000,0,IFERROR(MATCH(AB$5,'Oxford Economics'!$A$6:$AZ$6,0),MATCH(AB$5&amp;"",'Oxford Economics'!$A$6:$AZ$6,0))),'Oxford Economics'!$A$7:$A$1000,$C10,'Oxford Economics'!$B$7:$B$1000,Settings!$B$15)+IF(Settings!$B$17="",0,SUMIFS(INDEX('Oxford Economics'!$A$7:$AZ$1000,0,IFERROR(MATCH(AB$5,'Oxford Economics'!$A$6:$AZ$6,0),MATCH(AB$5&amp;"",'Oxford Economics'!$A$6:$AZ$6,0))),'Oxford Economics'!$A$7:$A$1000,$C10,'Oxford Economics'!$B$7:$B$1000,Settings!$B$17)))),""))</f>
        <v>1083.11</v>
      </c>
      <c r="AC10" s="37" t="n">
        <f aca="false">IF($A10="","",IFERROR(1/(1/IF($B10="Residential",SUMIFS(INDEX('Oxford Economics'!$A$7:$AZ$1000,0,IFERROR(MATCH(AC$5,'Oxford Economics'!$A$6:$AZ$6,0),MATCH(AC$5&amp;"",'Oxford Economics'!$A$6:$AZ$6,0))),'Oxford Economics'!$A$7:$A$1000,$C10,'Oxford Economics'!$B$7:$B$1000,Settings!$B$11)-SUMIFS(INDEX('Oxford Economics'!$A$7:$AZ$1000,0,IFERROR(MATCH(AC$5,'Oxford Economics'!$A$6:$AZ$6,0),MATCH(AC$5&amp;"",'Oxford Economics'!$A$6:$AZ$6,0))),'Oxford Economics'!$A$7:$A$1000,$C10,'Oxford Economics'!$B$7:$B$1000,Settings!$B$13),SUMIFS(INDEX('Oxford Economics'!$A$7:$AZ$1000,0,IFERROR(MATCH(AC$5,'Oxford Economics'!$A$6:$AZ$6,0),MATCH(AC$5&amp;"",'Oxford Economics'!$A$6:$AZ$6,0))),'Oxford Economics'!$A$7:$A$1000,$C10,'Oxford Economics'!$B$7:$B$1000,Settings!$B$13)+SUMIFS(INDEX('Oxford Economics'!$A$7:$AZ$1000,0,IFERROR(MATCH(AC$5,'Oxford Economics'!$A$6:$AZ$6,0),MATCH(AC$5&amp;"",'Oxford Economics'!$A$6:$AZ$6,0))),'Oxford Economics'!$A$7:$A$1000,$C10,'Oxford Economics'!$B$7:$B$1000,Settings!$B$15)+IF(Settings!$B$17="",0,SUMIFS(INDEX('Oxford Economics'!$A$7:$AZ$1000,0,IFERROR(MATCH(AC$5,'Oxford Economics'!$A$6:$AZ$6,0),MATCH(AC$5&amp;"",'Oxford Economics'!$A$6:$AZ$6,0))),'Oxford Economics'!$A$7:$A$1000,$C10,'Oxford Economics'!$B$7:$B$1000,Settings!$B$17)))),""))</f>
        <v>1230.71</v>
      </c>
      <c r="AD10" s="37" t="n">
        <f aca="false">IF($A10="","",IFERROR(1/(1/IF($B10="Residential",SUMIFS(INDEX('Oxford Economics'!$A$7:$AZ$1000,0,IFERROR(MATCH(AD$5,'Oxford Economics'!$A$6:$AZ$6,0),MATCH(AD$5&amp;"",'Oxford Economics'!$A$6:$AZ$6,0))),'Oxford Economics'!$A$7:$A$1000,$C10,'Oxford Economics'!$B$7:$B$1000,Settings!$B$11)-SUMIFS(INDEX('Oxford Economics'!$A$7:$AZ$1000,0,IFERROR(MATCH(AD$5,'Oxford Economics'!$A$6:$AZ$6,0),MATCH(AD$5&amp;"",'Oxford Economics'!$A$6:$AZ$6,0))),'Oxford Economics'!$A$7:$A$1000,$C10,'Oxford Economics'!$B$7:$B$1000,Settings!$B$13),SUMIFS(INDEX('Oxford Economics'!$A$7:$AZ$1000,0,IFERROR(MATCH(AD$5,'Oxford Economics'!$A$6:$AZ$6,0),MATCH(AD$5&amp;"",'Oxford Economics'!$A$6:$AZ$6,0))),'Oxford Economics'!$A$7:$A$1000,$C10,'Oxford Economics'!$B$7:$B$1000,Settings!$B$13)+SUMIFS(INDEX('Oxford Economics'!$A$7:$AZ$1000,0,IFERROR(MATCH(AD$5,'Oxford Economics'!$A$6:$AZ$6,0),MATCH(AD$5&amp;"",'Oxford Economics'!$A$6:$AZ$6,0))),'Oxford Economics'!$A$7:$A$1000,$C10,'Oxford Economics'!$B$7:$B$1000,Settings!$B$15)+IF(Settings!$B$17="",0,SUMIFS(INDEX('Oxford Economics'!$A$7:$AZ$1000,0,IFERROR(MATCH(AD$5,'Oxford Economics'!$A$6:$AZ$6,0),MATCH(AD$5&amp;"",'Oxford Economics'!$A$6:$AZ$6,0))),'Oxford Economics'!$A$7:$A$1000,$C10,'Oxford Economics'!$B$7:$B$1000,Settings!$B$17)))),""))</f>
        <v>1179.87</v>
      </c>
      <c r="AE10" s="37" t="n">
        <f aca="false">IF($A10="","",IFERROR(1/(1/IF($B10="Residential",SUMIFS(INDEX('Oxford Economics'!$A$7:$AZ$1000,0,IFERROR(MATCH(AE$5,'Oxford Economics'!$A$6:$AZ$6,0),MATCH(AE$5&amp;"",'Oxford Economics'!$A$6:$AZ$6,0))),'Oxford Economics'!$A$7:$A$1000,$C10,'Oxford Economics'!$B$7:$B$1000,Settings!$B$11)-SUMIFS(INDEX('Oxford Economics'!$A$7:$AZ$1000,0,IFERROR(MATCH(AE$5,'Oxford Economics'!$A$6:$AZ$6,0),MATCH(AE$5&amp;"",'Oxford Economics'!$A$6:$AZ$6,0))),'Oxford Economics'!$A$7:$A$1000,$C10,'Oxford Economics'!$B$7:$B$1000,Settings!$B$13),SUMIFS(INDEX('Oxford Economics'!$A$7:$AZ$1000,0,IFERROR(MATCH(AE$5,'Oxford Economics'!$A$6:$AZ$6,0),MATCH(AE$5&amp;"",'Oxford Economics'!$A$6:$AZ$6,0))),'Oxford Economics'!$A$7:$A$1000,$C10,'Oxford Economics'!$B$7:$B$1000,Settings!$B$13)+SUMIFS(INDEX('Oxford Economics'!$A$7:$AZ$1000,0,IFERROR(MATCH(AE$5,'Oxford Economics'!$A$6:$AZ$6,0),MATCH(AE$5&amp;"",'Oxford Economics'!$A$6:$AZ$6,0))),'Oxford Economics'!$A$7:$A$1000,$C10,'Oxford Economics'!$B$7:$B$1000,Settings!$B$15)+IF(Settings!$B$17="",0,SUMIFS(INDEX('Oxford Economics'!$A$7:$AZ$1000,0,IFERROR(MATCH(AE$5,'Oxford Economics'!$A$6:$AZ$6,0),MATCH(AE$5&amp;"",'Oxford Economics'!$A$6:$AZ$6,0))),'Oxford Economics'!$A$7:$A$1000,$C10,'Oxford Economics'!$B$7:$B$1000,Settings!$B$17)))),""))</f>
        <v>927.71</v>
      </c>
      <c r="AF10" s="37" t="n">
        <f aca="false">IF($A10="","",IFERROR(1/(1/IF($B10="Residential",SUMIFS(INDEX('Oxford Economics'!$A$7:$AZ$1000,0,IFERROR(MATCH(AF$5,'Oxford Economics'!$A$6:$AZ$6,0),MATCH(AF$5&amp;"",'Oxford Economics'!$A$6:$AZ$6,0))),'Oxford Economics'!$A$7:$A$1000,$C10,'Oxford Economics'!$B$7:$B$1000,Settings!$B$11)-SUMIFS(INDEX('Oxford Economics'!$A$7:$AZ$1000,0,IFERROR(MATCH(AF$5,'Oxford Economics'!$A$6:$AZ$6,0),MATCH(AF$5&amp;"",'Oxford Economics'!$A$6:$AZ$6,0))),'Oxford Economics'!$A$7:$A$1000,$C10,'Oxford Economics'!$B$7:$B$1000,Settings!$B$13),SUMIFS(INDEX('Oxford Economics'!$A$7:$AZ$1000,0,IFERROR(MATCH(AF$5,'Oxford Economics'!$A$6:$AZ$6,0),MATCH(AF$5&amp;"",'Oxford Economics'!$A$6:$AZ$6,0))),'Oxford Economics'!$A$7:$A$1000,$C10,'Oxford Economics'!$B$7:$B$1000,Settings!$B$13)+SUMIFS(INDEX('Oxford Economics'!$A$7:$AZ$1000,0,IFERROR(MATCH(AF$5,'Oxford Economics'!$A$6:$AZ$6,0),MATCH(AF$5&amp;"",'Oxford Economics'!$A$6:$AZ$6,0))),'Oxford Economics'!$A$7:$A$1000,$C10,'Oxford Economics'!$B$7:$B$1000,Settings!$B$15)+IF(Settings!$B$17="",0,SUMIFS(INDEX('Oxford Economics'!$A$7:$AZ$1000,0,IFERROR(MATCH(AF$5,'Oxford Economics'!$A$6:$AZ$6,0),MATCH(AF$5&amp;"",'Oxford Economics'!$A$6:$AZ$6,0))),'Oxford Economics'!$A$7:$A$1000,$C10,'Oxford Economics'!$B$7:$B$1000,Settings!$B$17)))),""))</f>
        <v>890.97</v>
      </c>
      <c r="AG10" s="37" t="n">
        <f aca="false">IF($A10="","",IFERROR(1/(1/IF($B10="Residential",SUMIFS(INDEX('Oxford Economics'!$A$7:$AZ$1000,0,IFERROR(MATCH(AG$5,'Oxford Economics'!$A$6:$AZ$6,0),MATCH(AG$5&amp;"",'Oxford Economics'!$A$6:$AZ$6,0))),'Oxford Economics'!$A$7:$A$1000,$C10,'Oxford Economics'!$B$7:$B$1000,Settings!$B$11)-SUMIFS(INDEX('Oxford Economics'!$A$7:$AZ$1000,0,IFERROR(MATCH(AG$5,'Oxford Economics'!$A$6:$AZ$6,0),MATCH(AG$5&amp;"",'Oxford Economics'!$A$6:$AZ$6,0))),'Oxford Economics'!$A$7:$A$1000,$C10,'Oxford Economics'!$B$7:$B$1000,Settings!$B$13),SUMIFS(INDEX('Oxford Economics'!$A$7:$AZ$1000,0,IFERROR(MATCH(AG$5,'Oxford Economics'!$A$6:$AZ$6,0),MATCH(AG$5&amp;"",'Oxford Economics'!$A$6:$AZ$6,0))),'Oxford Economics'!$A$7:$A$1000,$C10,'Oxford Economics'!$B$7:$B$1000,Settings!$B$13)+SUMIFS(INDEX('Oxford Economics'!$A$7:$AZ$1000,0,IFERROR(MATCH(AG$5,'Oxford Economics'!$A$6:$AZ$6,0),MATCH(AG$5&amp;"",'Oxford Economics'!$A$6:$AZ$6,0))),'Oxford Economics'!$A$7:$A$1000,$C10,'Oxford Economics'!$B$7:$B$1000,Settings!$B$15)+IF(Settings!$B$17="",0,SUMIFS(INDEX('Oxford Economics'!$A$7:$AZ$1000,0,IFERROR(MATCH(AG$5,'Oxford Economics'!$A$6:$AZ$6,0),MATCH(AG$5&amp;"",'Oxford Economics'!$A$6:$AZ$6,0))),'Oxford Economics'!$A$7:$A$1000,$C10,'Oxford Economics'!$B$7:$B$1000,Settings!$B$17)))),""))</f>
        <v>922.95</v>
      </c>
      <c r="AH10" s="37" t="n">
        <f aca="false">IF($A10="","",IFERROR(1/(1/IF($B10="Residential",SUMIFS(INDEX('Oxford Economics'!$A$7:$AZ$1000,0,IFERROR(MATCH(AH$5,'Oxford Economics'!$A$6:$AZ$6,0),MATCH(AH$5&amp;"",'Oxford Economics'!$A$6:$AZ$6,0))),'Oxford Economics'!$A$7:$A$1000,$C10,'Oxford Economics'!$B$7:$B$1000,Settings!$B$11)-SUMIFS(INDEX('Oxford Economics'!$A$7:$AZ$1000,0,IFERROR(MATCH(AH$5,'Oxford Economics'!$A$6:$AZ$6,0),MATCH(AH$5&amp;"",'Oxford Economics'!$A$6:$AZ$6,0))),'Oxford Economics'!$A$7:$A$1000,$C10,'Oxford Economics'!$B$7:$B$1000,Settings!$B$13),SUMIFS(INDEX('Oxford Economics'!$A$7:$AZ$1000,0,IFERROR(MATCH(AH$5,'Oxford Economics'!$A$6:$AZ$6,0),MATCH(AH$5&amp;"",'Oxford Economics'!$A$6:$AZ$6,0))),'Oxford Economics'!$A$7:$A$1000,$C10,'Oxford Economics'!$B$7:$B$1000,Settings!$B$13)+SUMIFS(INDEX('Oxford Economics'!$A$7:$AZ$1000,0,IFERROR(MATCH(AH$5,'Oxford Economics'!$A$6:$AZ$6,0),MATCH(AH$5&amp;"",'Oxford Economics'!$A$6:$AZ$6,0))),'Oxford Economics'!$A$7:$A$1000,$C10,'Oxford Economics'!$B$7:$B$1000,Settings!$B$15)+IF(Settings!$B$17="",0,SUMIFS(INDEX('Oxford Economics'!$A$7:$AZ$1000,0,IFERROR(MATCH(AH$5,'Oxford Economics'!$A$6:$AZ$6,0),MATCH(AH$5&amp;"",'Oxford Economics'!$A$6:$AZ$6,0))),'Oxford Economics'!$A$7:$A$1000,$C10,'Oxford Economics'!$B$7:$B$1000,Settings!$B$17)))),""))</f>
        <v>1111.31</v>
      </c>
      <c r="AI10" s="37" t="n">
        <f aca="false">IF($A10="","",IFERROR(1/(1/IF($B10="Residential",SUMIFS(INDEX('Oxford Economics'!$A$7:$AZ$1000,0,IFERROR(MATCH(AI$5,'Oxford Economics'!$A$6:$AZ$6,0),MATCH(AI$5&amp;"",'Oxford Economics'!$A$6:$AZ$6,0))),'Oxford Economics'!$A$7:$A$1000,$C10,'Oxford Economics'!$B$7:$B$1000,Settings!$B$11)-SUMIFS(INDEX('Oxford Economics'!$A$7:$AZ$1000,0,IFERROR(MATCH(AI$5,'Oxford Economics'!$A$6:$AZ$6,0),MATCH(AI$5&amp;"",'Oxford Economics'!$A$6:$AZ$6,0))),'Oxford Economics'!$A$7:$A$1000,$C10,'Oxford Economics'!$B$7:$B$1000,Settings!$B$13),SUMIFS(INDEX('Oxford Economics'!$A$7:$AZ$1000,0,IFERROR(MATCH(AI$5,'Oxford Economics'!$A$6:$AZ$6,0),MATCH(AI$5&amp;"",'Oxford Economics'!$A$6:$AZ$6,0))),'Oxford Economics'!$A$7:$A$1000,$C10,'Oxford Economics'!$B$7:$B$1000,Settings!$B$13)+SUMIFS(INDEX('Oxford Economics'!$A$7:$AZ$1000,0,IFERROR(MATCH(AI$5,'Oxford Economics'!$A$6:$AZ$6,0),MATCH(AI$5&amp;"",'Oxford Economics'!$A$6:$AZ$6,0))),'Oxford Economics'!$A$7:$A$1000,$C10,'Oxford Economics'!$B$7:$B$1000,Settings!$B$15)+IF(Settings!$B$17="",0,SUMIFS(INDEX('Oxford Economics'!$A$7:$AZ$1000,0,IFERROR(MATCH(AI$5,'Oxford Economics'!$A$6:$AZ$6,0),MATCH(AI$5&amp;"",'Oxford Economics'!$A$6:$AZ$6,0))),'Oxford Economics'!$A$7:$A$1000,$C10,'Oxford Economics'!$B$7:$B$1000,Settings!$B$17)))),""))</f>
        <v>950.67</v>
      </c>
      <c r="AJ10" s="37" t="n">
        <f aca="false">IF($A10="","",IFERROR(1/(1/IF($B10="Residential",SUMIFS(INDEX('Oxford Economics'!$A$7:$AZ$1000,0,IFERROR(MATCH(AJ$5,'Oxford Economics'!$A$6:$AZ$6,0),MATCH(AJ$5&amp;"",'Oxford Economics'!$A$6:$AZ$6,0))),'Oxford Economics'!$A$7:$A$1000,$C10,'Oxford Economics'!$B$7:$B$1000,Settings!$B$11)-SUMIFS(INDEX('Oxford Economics'!$A$7:$AZ$1000,0,IFERROR(MATCH(AJ$5,'Oxford Economics'!$A$6:$AZ$6,0),MATCH(AJ$5&amp;"",'Oxford Economics'!$A$6:$AZ$6,0))),'Oxford Economics'!$A$7:$A$1000,$C10,'Oxford Economics'!$B$7:$B$1000,Settings!$B$13),SUMIFS(INDEX('Oxford Economics'!$A$7:$AZ$1000,0,IFERROR(MATCH(AJ$5,'Oxford Economics'!$A$6:$AZ$6,0),MATCH(AJ$5&amp;"",'Oxford Economics'!$A$6:$AZ$6,0))),'Oxford Economics'!$A$7:$A$1000,$C10,'Oxford Economics'!$B$7:$B$1000,Settings!$B$13)+SUMIFS(INDEX('Oxford Economics'!$A$7:$AZ$1000,0,IFERROR(MATCH(AJ$5,'Oxford Economics'!$A$6:$AZ$6,0),MATCH(AJ$5&amp;"",'Oxford Economics'!$A$6:$AZ$6,0))),'Oxford Economics'!$A$7:$A$1000,$C10,'Oxford Economics'!$B$7:$B$1000,Settings!$B$15)+IF(Settings!$B$17="",0,SUMIFS(INDEX('Oxford Economics'!$A$7:$AZ$1000,0,IFERROR(MATCH(AJ$5,'Oxford Economics'!$A$6:$AZ$6,0),MATCH(AJ$5&amp;"",'Oxford Economics'!$A$6:$AZ$6,0))),'Oxford Economics'!$A$7:$A$1000,$C10,'Oxford Economics'!$B$7:$B$1000,Settings!$B$17)))),""))</f>
        <v>943.33</v>
      </c>
      <c r="AK10" s="37" t="n">
        <f aca="false">IF($A10="","",IFERROR(1/(1/IF($B10="Residential",SUMIFS(INDEX('Oxford Economics'!$A$7:$AZ$1000,0,IFERROR(MATCH(AK$5,'Oxford Economics'!$A$6:$AZ$6,0),MATCH(AK$5&amp;"",'Oxford Economics'!$A$6:$AZ$6,0))),'Oxford Economics'!$A$7:$A$1000,$C10,'Oxford Economics'!$B$7:$B$1000,Settings!$B$11)-SUMIFS(INDEX('Oxford Economics'!$A$7:$AZ$1000,0,IFERROR(MATCH(AK$5,'Oxford Economics'!$A$6:$AZ$6,0),MATCH(AK$5&amp;"",'Oxford Economics'!$A$6:$AZ$6,0))),'Oxford Economics'!$A$7:$A$1000,$C10,'Oxford Economics'!$B$7:$B$1000,Settings!$B$13),SUMIFS(INDEX('Oxford Economics'!$A$7:$AZ$1000,0,IFERROR(MATCH(AK$5,'Oxford Economics'!$A$6:$AZ$6,0),MATCH(AK$5&amp;"",'Oxford Economics'!$A$6:$AZ$6,0))),'Oxford Economics'!$A$7:$A$1000,$C10,'Oxford Economics'!$B$7:$B$1000,Settings!$B$13)+SUMIFS(INDEX('Oxford Economics'!$A$7:$AZ$1000,0,IFERROR(MATCH(AK$5,'Oxford Economics'!$A$6:$AZ$6,0),MATCH(AK$5&amp;"",'Oxford Economics'!$A$6:$AZ$6,0))),'Oxford Economics'!$A$7:$A$1000,$C10,'Oxford Economics'!$B$7:$B$1000,Settings!$B$15)+IF(Settings!$B$17="",0,SUMIFS(INDEX('Oxford Economics'!$A$7:$AZ$1000,0,IFERROR(MATCH(AK$5,'Oxford Economics'!$A$6:$AZ$6,0),MATCH(AK$5&amp;"",'Oxford Economics'!$A$6:$AZ$6,0))),'Oxford Economics'!$A$7:$A$1000,$C10,'Oxford Economics'!$B$7:$B$1000,Settings!$B$17)))),""))</f>
        <v>930.11</v>
      </c>
      <c r="AL10" s="37" t="n">
        <f aca="false">IF($A10="","",IFERROR(1/(1/IF($B10="Residential",SUMIFS(INDEX('Oxford Economics'!$A$7:$AZ$1000,0,IFERROR(MATCH(AL$5,'Oxford Economics'!$A$6:$AZ$6,0),MATCH(AL$5&amp;"",'Oxford Economics'!$A$6:$AZ$6,0))),'Oxford Economics'!$A$7:$A$1000,$C10,'Oxford Economics'!$B$7:$B$1000,Settings!$B$11)-SUMIFS(INDEX('Oxford Economics'!$A$7:$AZ$1000,0,IFERROR(MATCH(AL$5,'Oxford Economics'!$A$6:$AZ$6,0),MATCH(AL$5&amp;"",'Oxford Economics'!$A$6:$AZ$6,0))),'Oxford Economics'!$A$7:$A$1000,$C10,'Oxford Economics'!$B$7:$B$1000,Settings!$B$13),SUMIFS(INDEX('Oxford Economics'!$A$7:$AZ$1000,0,IFERROR(MATCH(AL$5,'Oxford Economics'!$A$6:$AZ$6,0),MATCH(AL$5&amp;"",'Oxford Economics'!$A$6:$AZ$6,0))),'Oxford Economics'!$A$7:$A$1000,$C10,'Oxford Economics'!$B$7:$B$1000,Settings!$B$13)+SUMIFS(INDEX('Oxford Economics'!$A$7:$AZ$1000,0,IFERROR(MATCH(AL$5,'Oxford Economics'!$A$6:$AZ$6,0),MATCH(AL$5&amp;"",'Oxford Economics'!$A$6:$AZ$6,0))),'Oxford Economics'!$A$7:$A$1000,$C10,'Oxford Economics'!$B$7:$B$1000,Settings!$B$15)+IF(Settings!$B$17="",0,SUMIFS(INDEX('Oxford Economics'!$A$7:$AZ$1000,0,IFERROR(MATCH(AL$5,'Oxford Economics'!$A$6:$AZ$6,0),MATCH(AL$5&amp;"",'Oxford Economics'!$A$6:$AZ$6,0))),'Oxford Economics'!$A$7:$A$1000,$C10,'Oxford Economics'!$B$7:$B$1000,Settings!$B$17)))),""))</f>
        <v>910.33</v>
      </c>
      <c r="AM10" s="37" t="n">
        <f aca="false">IF($A10="","",IFERROR(1/(1/IF($B10="Residential",SUMIFS(INDEX('Oxford Economics'!$A$7:$AZ$1000,0,IFERROR(MATCH(AM$5,'Oxford Economics'!$A$6:$AZ$6,0),MATCH(AM$5&amp;"",'Oxford Economics'!$A$6:$AZ$6,0))),'Oxford Economics'!$A$7:$A$1000,$C10,'Oxford Economics'!$B$7:$B$1000,Settings!$B$11)-SUMIFS(INDEX('Oxford Economics'!$A$7:$AZ$1000,0,IFERROR(MATCH(AM$5,'Oxford Economics'!$A$6:$AZ$6,0),MATCH(AM$5&amp;"",'Oxford Economics'!$A$6:$AZ$6,0))),'Oxford Economics'!$A$7:$A$1000,$C10,'Oxford Economics'!$B$7:$B$1000,Settings!$B$13),SUMIFS(INDEX('Oxford Economics'!$A$7:$AZ$1000,0,IFERROR(MATCH(AM$5,'Oxford Economics'!$A$6:$AZ$6,0),MATCH(AM$5&amp;"",'Oxford Economics'!$A$6:$AZ$6,0))),'Oxford Economics'!$A$7:$A$1000,$C10,'Oxford Economics'!$B$7:$B$1000,Settings!$B$13)+SUMIFS(INDEX('Oxford Economics'!$A$7:$AZ$1000,0,IFERROR(MATCH(AM$5,'Oxford Economics'!$A$6:$AZ$6,0),MATCH(AM$5&amp;"",'Oxford Economics'!$A$6:$AZ$6,0))),'Oxford Economics'!$A$7:$A$1000,$C10,'Oxford Economics'!$B$7:$B$1000,Settings!$B$15)+IF(Settings!$B$17="",0,SUMIFS(INDEX('Oxford Economics'!$A$7:$AZ$1000,0,IFERROR(MATCH(AM$5,'Oxford Economics'!$A$6:$AZ$6,0),MATCH(AM$5&amp;"",'Oxford Economics'!$A$6:$AZ$6,0))),'Oxford Economics'!$A$7:$A$1000,$C10,'Oxford Economics'!$B$7:$B$1000,Settings!$B$17)))),""))</f>
        <v>880.68</v>
      </c>
    </row>
    <row r="11" customFormat="false" ht="15" hidden="false" customHeight="false" outlineLevel="0" collapsed="false">
      <c r="A11" s="36" t="str">
        <f aca="false">IF('Raw data'!$A11="","",'Raw data'!$A11)</f>
        <v>Hungary</v>
      </c>
      <c r="B11" s="36" t="str">
        <f aca="false">IF($A11="","",'Raw data'!$C11)</f>
        <v>Commercial</v>
      </c>
      <c r="C11" s="36" t="str">
        <f aca="false">IF($A11="","",IF('Raw data'!$D11="",$A11,'Raw data'!$D11))</f>
        <v>Hungary</v>
      </c>
      <c r="D11" s="37" t="n">
        <f aca="false">IF($A11="","",IF(AND(ISNUMBER(P11),ISNUMBER(AB11)),P11+AB11,""))</f>
        <v>3684.96</v>
      </c>
      <c r="E11" s="37" t="n">
        <f aca="false">IF($A11="","",IF(AND(ISNUMBER(Q11),ISNUMBER(AC11)),Q11+AC11,""))</f>
        <v>3981.61</v>
      </c>
      <c r="F11" s="37" t="n">
        <f aca="false">IF($A11="","",IF(AND(ISNUMBER(R11),ISNUMBER(AD11)),R11+AD11,""))</f>
        <v>4264.05</v>
      </c>
      <c r="G11" s="37" t="n">
        <f aca="false">IF($A11="","",IF(AND(ISNUMBER(S11),ISNUMBER(AE11)),S11+AE11,""))</f>
        <v>3929.81</v>
      </c>
      <c r="H11" s="37" t="n">
        <f aca="false">IF($A11="","",IF(AND(ISNUMBER(T11),ISNUMBER(AF11)),T11+AF11,""))</f>
        <v>3964.86</v>
      </c>
      <c r="I11" s="37" t="n">
        <f aca="false">IF($A11="","",IF(AND(ISNUMBER(U11),ISNUMBER(AG11)),U11+AG11,""))</f>
        <v>3843.27</v>
      </c>
      <c r="J11" s="37" t="n">
        <f aca="false">IF($A11="","",IF(AND(ISNUMBER(V11),ISNUMBER(AH11)),V11+AH11,""))</f>
        <v>4291.72</v>
      </c>
      <c r="K11" s="37" t="n">
        <f aca="false">IF($A11="","",IF(AND(ISNUMBER(W11),ISNUMBER(AI11)),W11+AI11,""))</f>
        <v>4359.72</v>
      </c>
      <c r="L11" s="37" t="n">
        <f aca="false">IF($A11="","",IF(AND(ISNUMBER(X11),ISNUMBER(AJ11)),X11+AJ11,""))</f>
        <v>4583.3</v>
      </c>
      <c r="M11" s="37" t="n">
        <f aca="false">IF($A11="","",IF(AND(ISNUMBER(Y11),ISNUMBER(AK11)),Y11+AK11,""))</f>
        <v>4759.58</v>
      </c>
      <c r="N11" s="37" t="n">
        <f aca="false">IF($A11="","",IF(AND(ISNUMBER(Z11),ISNUMBER(AL11)),Z11+AL11,""))</f>
        <v>4858.97</v>
      </c>
      <c r="O11" s="37" t="n">
        <f aca="false">IF($A11="","",IF(AND(ISNUMBER(AA11),ISNUMBER(AM11)),AA11+AM11,""))</f>
        <v>4900.29</v>
      </c>
      <c r="P11" s="37" t="n">
        <f aca="false">IF($A11="","",IFERROR(1/(1/IF($B11="Residential",SUMIFS(INDEX('Oxford Economics'!$A$7:$AZ$1000,0,IFERROR(MATCH(P$5,'Oxford Economics'!$A$6:$AZ$6,0),MATCH(P$5&amp;"",'Oxford Economics'!$A$6:$AZ$6,0))),'Oxford Economics'!$A$7:$A$1000,$C11,'Oxford Economics'!$B$7:$B$1000,Settings!$B$12)-SUMIFS(INDEX('Oxford Economics'!$A$7:$AZ$1000,0,IFERROR(MATCH(P$5,'Oxford Economics'!$A$6:$AZ$6,0),MATCH(P$5&amp;"",'Oxford Economics'!$A$6:$AZ$6,0))),'Oxford Economics'!$A$7:$A$1000,$C11,'Oxford Economics'!$B$7:$B$1000,Settings!$B$14),SUMIFS(INDEX('Oxford Economics'!$A$7:$AZ$1000,0,IFERROR(MATCH(P$5,'Oxford Economics'!$A$6:$AZ$6,0),MATCH(P$5&amp;"",'Oxford Economics'!$A$6:$AZ$6,0))),'Oxford Economics'!$A$7:$A$1000,$C11,'Oxford Economics'!$B$7:$B$1000,Settings!$B$14)+SUMIFS(INDEX('Oxford Economics'!$A$7:$AZ$1000,0,IFERROR(MATCH(P$5,'Oxford Economics'!$A$6:$AZ$6,0),MATCH(P$5&amp;"",'Oxford Economics'!$A$6:$AZ$6,0))),'Oxford Economics'!$A$7:$A$1000,$C11,'Oxford Economics'!$B$7:$B$1000,Settings!$B$16)+IF(Settings!$B$18="",0,SUMIFS(INDEX('Oxford Economics'!$A$7:$AZ$1000,0,IFERROR(MATCH(P$5,'Oxford Economics'!$A$6:$AZ$6,0),MATCH(P$5&amp;"",'Oxford Economics'!$A$6:$AZ$6,0))),'Oxford Economics'!$A$7:$A$1000,$C11,'Oxford Economics'!$B$7:$B$1000,Settings!$B$18)))),""))</f>
        <v>1541.2</v>
      </c>
      <c r="Q11" s="37" t="n">
        <f aca="false">IF($A11="","",IFERROR(1/(1/IF($B11="Residential",SUMIFS(INDEX('Oxford Economics'!$A$7:$AZ$1000,0,IFERROR(MATCH(Q$5,'Oxford Economics'!$A$6:$AZ$6,0),MATCH(Q$5&amp;"",'Oxford Economics'!$A$6:$AZ$6,0))),'Oxford Economics'!$A$7:$A$1000,$C11,'Oxford Economics'!$B$7:$B$1000,Settings!$B$12)-SUMIFS(INDEX('Oxford Economics'!$A$7:$AZ$1000,0,IFERROR(MATCH(Q$5,'Oxford Economics'!$A$6:$AZ$6,0),MATCH(Q$5&amp;"",'Oxford Economics'!$A$6:$AZ$6,0))),'Oxford Economics'!$A$7:$A$1000,$C11,'Oxford Economics'!$B$7:$B$1000,Settings!$B$14),SUMIFS(INDEX('Oxford Economics'!$A$7:$AZ$1000,0,IFERROR(MATCH(Q$5,'Oxford Economics'!$A$6:$AZ$6,0),MATCH(Q$5&amp;"",'Oxford Economics'!$A$6:$AZ$6,0))),'Oxford Economics'!$A$7:$A$1000,$C11,'Oxford Economics'!$B$7:$B$1000,Settings!$B$14)+SUMIFS(INDEX('Oxford Economics'!$A$7:$AZ$1000,0,IFERROR(MATCH(Q$5,'Oxford Economics'!$A$6:$AZ$6,0),MATCH(Q$5&amp;"",'Oxford Economics'!$A$6:$AZ$6,0))),'Oxford Economics'!$A$7:$A$1000,$C11,'Oxford Economics'!$B$7:$B$1000,Settings!$B$16)+IF(Settings!$B$18="",0,SUMIFS(INDEX('Oxford Economics'!$A$7:$AZ$1000,0,IFERROR(MATCH(Q$5,'Oxford Economics'!$A$6:$AZ$6,0),MATCH(Q$5&amp;"",'Oxford Economics'!$A$6:$AZ$6,0))),'Oxford Economics'!$A$7:$A$1000,$C11,'Oxford Economics'!$B$7:$B$1000,Settings!$B$18)))),""))</f>
        <v>1977.78</v>
      </c>
      <c r="R11" s="37" t="n">
        <f aca="false">IF($A11="","",IFERROR(1/(1/IF($B11="Residential",SUMIFS(INDEX('Oxford Economics'!$A$7:$AZ$1000,0,IFERROR(MATCH(R$5,'Oxford Economics'!$A$6:$AZ$6,0),MATCH(R$5&amp;"",'Oxford Economics'!$A$6:$AZ$6,0))),'Oxford Economics'!$A$7:$A$1000,$C11,'Oxford Economics'!$B$7:$B$1000,Settings!$B$12)-SUMIFS(INDEX('Oxford Economics'!$A$7:$AZ$1000,0,IFERROR(MATCH(R$5,'Oxford Economics'!$A$6:$AZ$6,0),MATCH(R$5&amp;"",'Oxford Economics'!$A$6:$AZ$6,0))),'Oxford Economics'!$A$7:$A$1000,$C11,'Oxford Economics'!$B$7:$B$1000,Settings!$B$14),SUMIFS(INDEX('Oxford Economics'!$A$7:$AZ$1000,0,IFERROR(MATCH(R$5,'Oxford Economics'!$A$6:$AZ$6,0),MATCH(R$5&amp;"",'Oxford Economics'!$A$6:$AZ$6,0))),'Oxford Economics'!$A$7:$A$1000,$C11,'Oxford Economics'!$B$7:$B$1000,Settings!$B$14)+SUMIFS(INDEX('Oxford Economics'!$A$7:$AZ$1000,0,IFERROR(MATCH(R$5,'Oxford Economics'!$A$6:$AZ$6,0),MATCH(R$5&amp;"",'Oxford Economics'!$A$6:$AZ$6,0))),'Oxford Economics'!$A$7:$A$1000,$C11,'Oxford Economics'!$B$7:$B$1000,Settings!$B$16)+IF(Settings!$B$18="",0,SUMIFS(INDEX('Oxford Economics'!$A$7:$AZ$1000,0,IFERROR(MATCH(R$5,'Oxford Economics'!$A$6:$AZ$6,0),MATCH(R$5&amp;"",'Oxford Economics'!$A$6:$AZ$6,0))),'Oxford Economics'!$A$7:$A$1000,$C11,'Oxford Economics'!$B$7:$B$1000,Settings!$B$18)))),""))</f>
        <v>2161.55</v>
      </c>
      <c r="S11" s="37" t="n">
        <f aca="false">IF($A11="","",IFERROR(1/(1/IF($B11="Residential",SUMIFS(INDEX('Oxford Economics'!$A$7:$AZ$1000,0,IFERROR(MATCH(S$5,'Oxford Economics'!$A$6:$AZ$6,0),MATCH(S$5&amp;"",'Oxford Economics'!$A$6:$AZ$6,0))),'Oxford Economics'!$A$7:$A$1000,$C11,'Oxford Economics'!$B$7:$B$1000,Settings!$B$12)-SUMIFS(INDEX('Oxford Economics'!$A$7:$AZ$1000,0,IFERROR(MATCH(S$5,'Oxford Economics'!$A$6:$AZ$6,0),MATCH(S$5&amp;"",'Oxford Economics'!$A$6:$AZ$6,0))),'Oxford Economics'!$A$7:$A$1000,$C11,'Oxford Economics'!$B$7:$B$1000,Settings!$B$14),SUMIFS(INDEX('Oxford Economics'!$A$7:$AZ$1000,0,IFERROR(MATCH(S$5,'Oxford Economics'!$A$6:$AZ$6,0),MATCH(S$5&amp;"",'Oxford Economics'!$A$6:$AZ$6,0))),'Oxford Economics'!$A$7:$A$1000,$C11,'Oxford Economics'!$B$7:$B$1000,Settings!$B$14)+SUMIFS(INDEX('Oxford Economics'!$A$7:$AZ$1000,0,IFERROR(MATCH(S$5,'Oxford Economics'!$A$6:$AZ$6,0),MATCH(S$5&amp;"",'Oxford Economics'!$A$6:$AZ$6,0))),'Oxford Economics'!$A$7:$A$1000,$C11,'Oxford Economics'!$B$7:$B$1000,Settings!$B$16)+IF(Settings!$B$18="",0,SUMIFS(INDEX('Oxford Economics'!$A$7:$AZ$1000,0,IFERROR(MATCH(S$5,'Oxford Economics'!$A$6:$AZ$6,0),MATCH(S$5&amp;"",'Oxford Economics'!$A$6:$AZ$6,0))),'Oxford Economics'!$A$7:$A$1000,$C11,'Oxford Economics'!$B$7:$B$1000,Settings!$B$18)))),""))</f>
        <v>1828.76</v>
      </c>
      <c r="T11" s="37" t="n">
        <f aca="false">IF($A11="","",IFERROR(1/(1/IF($B11="Residential",SUMIFS(INDEX('Oxford Economics'!$A$7:$AZ$1000,0,IFERROR(MATCH(T$5,'Oxford Economics'!$A$6:$AZ$6,0),MATCH(T$5&amp;"",'Oxford Economics'!$A$6:$AZ$6,0))),'Oxford Economics'!$A$7:$A$1000,$C11,'Oxford Economics'!$B$7:$B$1000,Settings!$B$12)-SUMIFS(INDEX('Oxford Economics'!$A$7:$AZ$1000,0,IFERROR(MATCH(T$5,'Oxford Economics'!$A$6:$AZ$6,0),MATCH(T$5&amp;"",'Oxford Economics'!$A$6:$AZ$6,0))),'Oxford Economics'!$A$7:$A$1000,$C11,'Oxford Economics'!$B$7:$B$1000,Settings!$B$14),SUMIFS(INDEX('Oxford Economics'!$A$7:$AZ$1000,0,IFERROR(MATCH(T$5,'Oxford Economics'!$A$6:$AZ$6,0),MATCH(T$5&amp;"",'Oxford Economics'!$A$6:$AZ$6,0))),'Oxford Economics'!$A$7:$A$1000,$C11,'Oxford Economics'!$B$7:$B$1000,Settings!$B$14)+SUMIFS(INDEX('Oxford Economics'!$A$7:$AZ$1000,0,IFERROR(MATCH(T$5,'Oxford Economics'!$A$6:$AZ$6,0),MATCH(T$5&amp;"",'Oxford Economics'!$A$6:$AZ$6,0))),'Oxford Economics'!$A$7:$A$1000,$C11,'Oxford Economics'!$B$7:$B$1000,Settings!$B$16)+IF(Settings!$B$18="",0,SUMIFS(INDEX('Oxford Economics'!$A$7:$AZ$1000,0,IFERROR(MATCH(T$5,'Oxford Economics'!$A$6:$AZ$6,0),MATCH(T$5&amp;"",'Oxford Economics'!$A$6:$AZ$6,0))),'Oxford Economics'!$A$7:$A$1000,$C11,'Oxford Economics'!$B$7:$B$1000,Settings!$B$18)))),""))</f>
        <v>1910.76</v>
      </c>
      <c r="U11" s="37" t="n">
        <f aca="false">IF($A11="","",IFERROR(1/(1/IF($B11="Residential",SUMIFS(INDEX('Oxford Economics'!$A$7:$AZ$1000,0,IFERROR(MATCH(U$5,'Oxford Economics'!$A$6:$AZ$6,0),MATCH(U$5&amp;"",'Oxford Economics'!$A$6:$AZ$6,0))),'Oxford Economics'!$A$7:$A$1000,$C11,'Oxford Economics'!$B$7:$B$1000,Settings!$B$12)-SUMIFS(INDEX('Oxford Economics'!$A$7:$AZ$1000,0,IFERROR(MATCH(U$5,'Oxford Economics'!$A$6:$AZ$6,0),MATCH(U$5&amp;"",'Oxford Economics'!$A$6:$AZ$6,0))),'Oxford Economics'!$A$7:$A$1000,$C11,'Oxford Economics'!$B$7:$B$1000,Settings!$B$14),SUMIFS(INDEX('Oxford Economics'!$A$7:$AZ$1000,0,IFERROR(MATCH(U$5,'Oxford Economics'!$A$6:$AZ$6,0),MATCH(U$5&amp;"",'Oxford Economics'!$A$6:$AZ$6,0))),'Oxford Economics'!$A$7:$A$1000,$C11,'Oxford Economics'!$B$7:$B$1000,Settings!$B$14)+SUMIFS(INDEX('Oxford Economics'!$A$7:$AZ$1000,0,IFERROR(MATCH(U$5,'Oxford Economics'!$A$6:$AZ$6,0),MATCH(U$5&amp;"",'Oxford Economics'!$A$6:$AZ$6,0))),'Oxford Economics'!$A$7:$A$1000,$C11,'Oxford Economics'!$B$7:$B$1000,Settings!$B$16)+IF(Settings!$B$18="",0,SUMIFS(INDEX('Oxford Economics'!$A$7:$AZ$1000,0,IFERROR(MATCH(U$5,'Oxford Economics'!$A$6:$AZ$6,0),MATCH(U$5&amp;"",'Oxford Economics'!$A$6:$AZ$6,0))),'Oxford Economics'!$A$7:$A$1000,$C11,'Oxford Economics'!$B$7:$B$1000,Settings!$B$18)))),""))</f>
        <v>1903.28</v>
      </c>
      <c r="V11" s="37" t="n">
        <f aca="false">IF($A11="","",IFERROR(1/(1/IF($B11="Residential",SUMIFS(INDEX('Oxford Economics'!$A$7:$AZ$1000,0,IFERROR(MATCH(V$5,'Oxford Economics'!$A$6:$AZ$6,0),MATCH(V$5&amp;"",'Oxford Economics'!$A$6:$AZ$6,0))),'Oxford Economics'!$A$7:$A$1000,$C11,'Oxford Economics'!$B$7:$B$1000,Settings!$B$12)-SUMIFS(INDEX('Oxford Economics'!$A$7:$AZ$1000,0,IFERROR(MATCH(V$5,'Oxford Economics'!$A$6:$AZ$6,0),MATCH(V$5&amp;"",'Oxford Economics'!$A$6:$AZ$6,0))),'Oxford Economics'!$A$7:$A$1000,$C11,'Oxford Economics'!$B$7:$B$1000,Settings!$B$14),SUMIFS(INDEX('Oxford Economics'!$A$7:$AZ$1000,0,IFERROR(MATCH(V$5,'Oxford Economics'!$A$6:$AZ$6,0),MATCH(V$5&amp;"",'Oxford Economics'!$A$6:$AZ$6,0))),'Oxford Economics'!$A$7:$A$1000,$C11,'Oxford Economics'!$B$7:$B$1000,Settings!$B$14)+SUMIFS(INDEX('Oxford Economics'!$A$7:$AZ$1000,0,IFERROR(MATCH(V$5,'Oxford Economics'!$A$6:$AZ$6,0),MATCH(V$5&amp;"",'Oxford Economics'!$A$6:$AZ$6,0))),'Oxford Economics'!$A$7:$A$1000,$C11,'Oxford Economics'!$B$7:$B$1000,Settings!$B$16)+IF(Settings!$B$18="",0,SUMIFS(INDEX('Oxford Economics'!$A$7:$AZ$1000,0,IFERROR(MATCH(V$5,'Oxford Economics'!$A$6:$AZ$6,0),MATCH(V$5&amp;"",'Oxford Economics'!$A$6:$AZ$6,0))),'Oxford Economics'!$A$7:$A$1000,$C11,'Oxford Economics'!$B$7:$B$1000,Settings!$B$18)))),""))</f>
        <v>2164.6</v>
      </c>
      <c r="W11" s="37" t="n">
        <f aca="false">IF($A11="","",IFERROR(1/(1/IF($B11="Residential",SUMIFS(INDEX('Oxford Economics'!$A$7:$AZ$1000,0,IFERROR(MATCH(W$5,'Oxford Economics'!$A$6:$AZ$6,0),MATCH(W$5&amp;"",'Oxford Economics'!$A$6:$AZ$6,0))),'Oxford Economics'!$A$7:$A$1000,$C11,'Oxford Economics'!$B$7:$B$1000,Settings!$B$12)-SUMIFS(INDEX('Oxford Economics'!$A$7:$AZ$1000,0,IFERROR(MATCH(W$5,'Oxford Economics'!$A$6:$AZ$6,0),MATCH(W$5&amp;"",'Oxford Economics'!$A$6:$AZ$6,0))),'Oxford Economics'!$A$7:$A$1000,$C11,'Oxford Economics'!$B$7:$B$1000,Settings!$B$14),SUMIFS(INDEX('Oxford Economics'!$A$7:$AZ$1000,0,IFERROR(MATCH(W$5,'Oxford Economics'!$A$6:$AZ$6,0),MATCH(W$5&amp;"",'Oxford Economics'!$A$6:$AZ$6,0))),'Oxford Economics'!$A$7:$A$1000,$C11,'Oxford Economics'!$B$7:$B$1000,Settings!$B$14)+SUMIFS(INDEX('Oxford Economics'!$A$7:$AZ$1000,0,IFERROR(MATCH(W$5,'Oxford Economics'!$A$6:$AZ$6,0),MATCH(W$5&amp;"",'Oxford Economics'!$A$6:$AZ$6,0))),'Oxford Economics'!$A$7:$A$1000,$C11,'Oxford Economics'!$B$7:$B$1000,Settings!$B$16)+IF(Settings!$B$18="",0,SUMIFS(INDEX('Oxford Economics'!$A$7:$AZ$1000,0,IFERROR(MATCH(W$5,'Oxford Economics'!$A$6:$AZ$6,0),MATCH(W$5&amp;"",'Oxford Economics'!$A$6:$AZ$6,0))),'Oxford Economics'!$A$7:$A$1000,$C11,'Oxford Economics'!$B$7:$B$1000,Settings!$B$18)))),""))</f>
        <v>1990.31</v>
      </c>
      <c r="X11" s="37" t="n">
        <f aca="false">IF($A11="","",IFERROR(1/(1/IF($B11="Residential",SUMIFS(INDEX('Oxford Economics'!$A$7:$AZ$1000,0,IFERROR(MATCH(X$5,'Oxford Economics'!$A$6:$AZ$6,0),MATCH(X$5&amp;"",'Oxford Economics'!$A$6:$AZ$6,0))),'Oxford Economics'!$A$7:$A$1000,$C11,'Oxford Economics'!$B$7:$B$1000,Settings!$B$12)-SUMIFS(INDEX('Oxford Economics'!$A$7:$AZ$1000,0,IFERROR(MATCH(X$5,'Oxford Economics'!$A$6:$AZ$6,0),MATCH(X$5&amp;"",'Oxford Economics'!$A$6:$AZ$6,0))),'Oxford Economics'!$A$7:$A$1000,$C11,'Oxford Economics'!$B$7:$B$1000,Settings!$B$14),SUMIFS(INDEX('Oxford Economics'!$A$7:$AZ$1000,0,IFERROR(MATCH(X$5,'Oxford Economics'!$A$6:$AZ$6,0),MATCH(X$5&amp;"",'Oxford Economics'!$A$6:$AZ$6,0))),'Oxford Economics'!$A$7:$A$1000,$C11,'Oxford Economics'!$B$7:$B$1000,Settings!$B$14)+SUMIFS(INDEX('Oxford Economics'!$A$7:$AZ$1000,0,IFERROR(MATCH(X$5,'Oxford Economics'!$A$6:$AZ$6,0),MATCH(X$5&amp;"",'Oxford Economics'!$A$6:$AZ$6,0))),'Oxford Economics'!$A$7:$A$1000,$C11,'Oxford Economics'!$B$7:$B$1000,Settings!$B$16)+IF(Settings!$B$18="",0,SUMIFS(INDEX('Oxford Economics'!$A$7:$AZ$1000,0,IFERROR(MATCH(X$5,'Oxford Economics'!$A$6:$AZ$6,0),MATCH(X$5&amp;"",'Oxford Economics'!$A$6:$AZ$6,0))),'Oxford Economics'!$A$7:$A$1000,$C11,'Oxford Economics'!$B$7:$B$1000,Settings!$B$18)))),""))</f>
        <v>2090.18</v>
      </c>
      <c r="Y11" s="37" t="n">
        <f aca="false">IF($A11="","",IFERROR(1/(1/IF($B11="Residential",SUMIFS(INDEX('Oxford Economics'!$A$7:$AZ$1000,0,IFERROR(MATCH(Y$5,'Oxford Economics'!$A$6:$AZ$6,0),MATCH(Y$5&amp;"",'Oxford Economics'!$A$6:$AZ$6,0))),'Oxford Economics'!$A$7:$A$1000,$C11,'Oxford Economics'!$B$7:$B$1000,Settings!$B$12)-SUMIFS(INDEX('Oxford Economics'!$A$7:$AZ$1000,0,IFERROR(MATCH(Y$5,'Oxford Economics'!$A$6:$AZ$6,0),MATCH(Y$5&amp;"",'Oxford Economics'!$A$6:$AZ$6,0))),'Oxford Economics'!$A$7:$A$1000,$C11,'Oxford Economics'!$B$7:$B$1000,Settings!$B$14),SUMIFS(INDEX('Oxford Economics'!$A$7:$AZ$1000,0,IFERROR(MATCH(Y$5,'Oxford Economics'!$A$6:$AZ$6,0),MATCH(Y$5&amp;"",'Oxford Economics'!$A$6:$AZ$6,0))),'Oxford Economics'!$A$7:$A$1000,$C11,'Oxford Economics'!$B$7:$B$1000,Settings!$B$14)+SUMIFS(INDEX('Oxford Economics'!$A$7:$AZ$1000,0,IFERROR(MATCH(Y$5,'Oxford Economics'!$A$6:$AZ$6,0),MATCH(Y$5&amp;"",'Oxford Economics'!$A$6:$AZ$6,0))),'Oxford Economics'!$A$7:$A$1000,$C11,'Oxford Economics'!$B$7:$B$1000,Settings!$B$16)+IF(Settings!$B$18="",0,SUMIFS(INDEX('Oxford Economics'!$A$7:$AZ$1000,0,IFERROR(MATCH(Y$5,'Oxford Economics'!$A$6:$AZ$6,0),MATCH(Y$5&amp;"",'Oxford Economics'!$A$6:$AZ$6,0))),'Oxford Economics'!$A$7:$A$1000,$C11,'Oxford Economics'!$B$7:$B$1000,Settings!$B$18)))),""))</f>
        <v>2169.05</v>
      </c>
      <c r="Z11" s="37" t="n">
        <f aca="false">IF($A11="","",IFERROR(1/(1/IF($B11="Residential",SUMIFS(INDEX('Oxford Economics'!$A$7:$AZ$1000,0,IFERROR(MATCH(Z$5,'Oxford Economics'!$A$6:$AZ$6,0),MATCH(Z$5&amp;"",'Oxford Economics'!$A$6:$AZ$6,0))),'Oxford Economics'!$A$7:$A$1000,$C11,'Oxford Economics'!$B$7:$B$1000,Settings!$B$12)-SUMIFS(INDEX('Oxford Economics'!$A$7:$AZ$1000,0,IFERROR(MATCH(Z$5,'Oxford Economics'!$A$6:$AZ$6,0),MATCH(Z$5&amp;"",'Oxford Economics'!$A$6:$AZ$6,0))),'Oxford Economics'!$A$7:$A$1000,$C11,'Oxford Economics'!$B$7:$B$1000,Settings!$B$14),SUMIFS(INDEX('Oxford Economics'!$A$7:$AZ$1000,0,IFERROR(MATCH(Z$5,'Oxford Economics'!$A$6:$AZ$6,0),MATCH(Z$5&amp;"",'Oxford Economics'!$A$6:$AZ$6,0))),'Oxford Economics'!$A$7:$A$1000,$C11,'Oxford Economics'!$B$7:$B$1000,Settings!$B$14)+SUMIFS(INDEX('Oxford Economics'!$A$7:$AZ$1000,0,IFERROR(MATCH(Z$5,'Oxford Economics'!$A$6:$AZ$6,0),MATCH(Z$5&amp;"",'Oxford Economics'!$A$6:$AZ$6,0))),'Oxford Economics'!$A$7:$A$1000,$C11,'Oxford Economics'!$B$7:$B$1000,Settings!$B$16)+IF(Settings!$B$18="",0,SUMIFS(INDEX('Oxford Economics'!$A$7:$AZ$1000,0,IFERROR(MATCH(Z$5,'Oxford Economics'!$A$6:$AZ$6,0),MATCH(Z$5&amp;"",'Oxford Economics'!$A$6:$AZ$6,0))),'Oxford Economics'!$A$7:$A$1000,$C11,'Oxford Economics'!$B$7:$B$1000,Settings!$B$18)))),""))</f>
        <v>2222.92</v>
      </c>
      <c r="AA11" s="37" t="n">
        <f aca="false">IF($A11="","",IFERROR(1/(1/IF($B11="Residential",SUMIFS(INDEX('Oxford Economics'!$A$7:$AZ$1000,0,IFERROR(MATCH(AA$5,'Oxford Economics'!$A$6:$AZ$6,0),MATCH(AA$5&amp;"",'Oxford Economics'!$A$6:$AZ$6,0))),'Oxford Economics'!$A$7:$A$1000,$C11,'Oxford Economics'!$B$7:$B$1000,Settings!$B$12)-SUMIFS(INDEX('Oxford Economics'!$A$7:$AZ$1000,0,IFERROR(MATCH(AA$5,'Oxford Economics'!$A$6:$AZ$6,0),MATCH(AA$5&amp;"",'Oxford Economics'!$A$6:$AZ$6,0))),'Oxford Economics'!$A$7:$A$1000,$C11,'Oxford Economics'!$B$7:$B$1000,Settings!$B$14),SUMIFS(INDEX('Oxford Economics'!$A$7:$AZ$1000,0,IFERROR(MATCH(AA$5,'Oxford Economics'!$A$6:$AZ$6,0),MATCH(AA$5&amp;"",'Oxford Economics'!$A$6:$AZ$6,0))),'Oxford Economics'!$A$7:$A$1000,$C11,'Oxford Economics'!$B$7:$B$1000,Settings!$B$14)+SUMIFS(INDEX('Oxford Economics'!$A$7:$AZ$1000,0,IFERROR(MATCH(AA$5,'Oxford Economics'!$A$6:$AZ$6,0),MATCH(AA$5&amp;"",'Oxford Economics'!$A$6:$AZ$6,0))),'Oxford Economics'!$A$7:$A$1000,$C11,'Oxford Economics'!$B$7:$B$1000,Settings!$B$16)+IF(Settings!$B$18="",0,SUMIFS(INDEX('Oxford Economics'!$A$7:$AZ$1000,0,IFERROR(MATCH(AA$5,'Oxford Economics'!$A$6:$AZ$6,0),MATCH(AA$5&amp;"",'Oxford Economics'!$A$6:$AZ$6,0))),'Oxford Economics'!$A$7:$A$1000,$C11,'Oxford Economics'!$B$7:$B$1000,Settings!$B$18)))),""))</f>
        <v>2246.97</v>
      </c>
      <c r="AB11" s="37" t="n">
        <f aca="false">IF($A11="","",IFERROR(1/(1/IF($B11="Residential",SUMIFS(INDEX('Oxford Economics'!$A$7:$AZ$1000,0,IFERROR(MATCH(AB$5,'Oxford Economics'!$A$6:$AZ$6,0),MATCH(AB$5&amp;"",'Oxford Economics'!$A$6:$AZ$6,0))),'Oxford Economics'!$A$7:$A$1000,$C11,'Oxford Economics'!$B$7:$B$1000,Settings!$B$11)-SUMIFS(INDEX('Oxford Economics'!$A$7:$AZ$1000,0,IFERROR(MATCH(AB$5,'Oxford Economics'!$A$6:$AZ$6,0),MATCH(AB$5&amp;"",'Oxford Economics'!$A$6:$AZ$6,0))),'Oxford Economics'!$A$7:$A$1000,$C11,'Oxford Economics'!$B$7:$B$1000,Settings!$B$13),SUMIFS(INDEX('Oxford Economics'!$A$7:$AZ$1000,0,IFERROR(MATCH(AB$5,'Oxford Economics'!$A$6:$AZ$6,0),MATCH(AB$5&amp;"",'Oxford Economics'!$A$6:$AZ$6,0))),'Oxford Economics'!$A$7:$A$1000,$C11,'Oxford Economics'!$B$7:$B$1000,Settings!$B$13)+SUMIFS(INDEX('Oxford Economics'!$A$7:$AZ$1000,0,IFERROR(MATCH(AB$5,'Oxford Economics'!$A$6:$AZ$6,0),MATCH(AB$5&amp;"",'Oxford Economics'!$A$6:$AZ$6,0))),'Oxford Economics'!$A$7:$A$1000,$C11,'Oxford Economics'!$B$7:$B$1000,Settings!$B$15)+IF(Settings!$B$17="",0,SUMIFS(INDEX('Oxford Economics'!$A$7:$AZ$1000,0,IFERROR(MATCH(AB$5,'Oxford Economics'!$A$6:$AZ$6,0),MATCH(AB$5&amp;"",'Oxford Economics'!$A$6:$AZ$6,0))),'Oxford Economics'!$A$7:$A$1000,$C11,'Oxford Economics'!$B$7:$B$1000,Settings!$B$17)))),""))</f>
        <v>2143.76</v>
      </c>
      <c r="AC11" s="37" t="n">
        <f aca="false">IF($A11="","",IFERROR(1/(1/IF($B11="Residential",SUMIFS(INDEX('Oxford Economics'!$A$7:$AZ$1000,0,IFERROR(MATCH(AC$5,'Oxford Economics'!$A$6:$AZ$6,0),MATCH(AC$5&amp;"",'Oxford Economics'!$A$6:$AZ$6,0))),'Oxford Economics'!$A$7:$A$1000,$C11,'Oxford Economics'!$B$7:$B$1000,Settings!$B$11)-SUMIFS(INDEX('Oxford Economics'!$A$7:$AZ$1000,0,IFERROR(MATCH(AC$5,'Oxford Economics'!$A$6:$AZ$6,0),MATCH(AC$5&amp;"",'Oxford Economics'!$A$6:$AZ$6,0))),'Oxford Economics'!$A$7:$A$1000,$C11,'Oxford Economics'!$B$7:$B$1000,Settings!$B$13),SUMIFS(INDEX('Oxford Economics'!$A$7:$AZ$1000,0,IFERROR(MATCH(AC$5,'Oxford Economics'!$A$6:$AZ$6,0),MATCH(AC$5&amp;"",'Oxford Economics'!$A$6:$AZ$6,0))),'Oxford Economics'!$A$7:$A$1000,$C11,'Oxford Economics'!$B$7:$B$1000,Settings!$B$13)+SUMIFS(INDEX('Oxford Economics'!$A$7:$AZ$1000,0,IFERROR(MATCH(AC$5,'Oxford Economics'!$A$6:$AZ$6,0),MATCH(AC$5&amp;"",'Oxford Economics'!$A$6:$AZ$6,0))),'Oxford Economics'!$A$7:$A$1000,$C11,'Oxford Economics'!$B$7:$B$1000,Settings!$B$15)+IF(Settings!$B$17="",0,SUMIFS(INDEX('Oxford Economics'!$A$7:$AZ$1000,0,IFERROR(MATCH(AC$5,'Oxford Economics'!$A$6:$AZ$6,0),MATCH(AC$5&amp;"",'Oxford Economics'!$A$6:$AZ$6,0))),'Oxford Economics'!$A$7:$A$1000,$C11,'Oxford Economics'!$B$7:$B$1000,Settings!$B$17)))),""))</f>
        <v>2003.83</v>
      </c>
      <c r="AD11" s="37" t="n">
        <f aca="false">IF($A11="","",IFERROR(1/(1/IF($B11="Residential",SUMIFS(INDEX('Oxford Economics'!$A$7:$AZ$1000,0,IFERROR(MATCH(AD$5,'Oxford Economics'!$A$6:$AZ$6,0),MATCH(AD$5&amp;"",'Oxford Economics'!$A$6:$AZ$6,0))),'Oxford Economics'!$A$7:$A$1000,$C11,'Oxford Economics'!$B$7:$B$1000,Settings!$B$11)-SUMIFS(INDEX('Oxford Economics'!$A$7:$AZ$1000,0,IFERROR(MATCH(AD$5,'Oxford Economics'!$A$6:$AZ$6,0),MATCH(AD$5&amp;"",'Oxford Economics'!$A$6:$AZ$6,0))),'Oxford Economics'!$A$7:$A$1000,$C11,'Oxford Economics'!$B$7:$B$1000,Settings!$B$13),SUMIFS(INDEX('Oxford Economics'!$A$7:$AZ$1000,0,IFERROR(MATCH(AD$5,'Oxford Economics'!$A$6:$AZ$6,0),MATCH(AD$5&amp;"",'Oxford Economics'!$A$6:$AZ$6,0))),'Oxford Economics'!$A$7:$A$1000,$C11,'Oxford Economics'!$B$7:$B$1000,Settings!$B$13)+SUMIFS(INDEX('Oxford Economics'!$A$7:$AZ$1000,0,IFERROR(MATCH(AD$5,'Oxford Economics'!$A$6:$AZ$6,0),MATCH(AD$5&amp;"",'Oxford Economics'!$A$6:$AZ$6,0))),'Oxford Economics'!$A$7:$A$1000,$C11,'Oxford Economics'!$B$7:$B$1000,Settings!$B$15)+IF(Settings!$B$17="",0,SUMIFS(INDEX('Oxford Economics'!$A$7:$AZ$1000,0,IFERROR(MATCH(AD$5,'Oxford Economics'!$A$6:$AZ$6,0),MATCH(AD$5&amp;"",'Oxford Economics'!$A$6:$AZ$6,0))),'Oxford Economics'!$A$7:$A$1000,$C11,'Oxford Economics'!$B$7:$B$1000,Settings!$B$17)))),""))</f>
        <v>2102.5</v>
      </c>
      <c r="AE11" s="37" t="n">
        <f aca="false">IF($A11="","",IFERROR(1/(1/IF($B11="Residential",SUMIFS(INDEX('Oxford Economics'!$A$7:$AZ$1000,0,IFERROR(MATCH(AE$5,'Oxford Economics'!$A$6:$AZ$6,0),MATCH(AE$5&amp;"",'Oxford Economics'!$A$6:$AZ$6,0))),'Oxford Economics'!$A$7:$A$1000,$C11,'Oxford Economics'!$B$7:$B$1000,Settings!$B$11)-SUMIFS(INDEX('Oxford Economics'!$A$7:$AZ$1000,0,IFERROR(MATCH(AE$5,'Oxford Economics'!$A$6:$AZ$6,0),MATCH(AE$5&amp;"",'Oxford Economics'!$A$6:$AZ$6,0))),'Oxford Economics'!$A$7:$A$1000,$C11,'Oxford Economics'!$B$7:$B$1000,Settings!$B$13),SUMIFS(INDEX('Oxford Economics'!$A$7:$AZ$1000,0,IFERROR(MATCH(AE$5,'Oxford Economics'!$A$6:$AZ$6,0),MATCH(AE$5&amp;"",'Oxford Economics'!$A$6:$AZ$6,0))),'Oxford Economics'!$A$7:$A$1000,$C11,'Oxford Economics'!$B$7:$B$1000,Settings!$B$13)+SUMIFS(INDEX('Oxford Economics'!$A$7:$AZ$1000,0,IFERROR(MATCH(AE$5,'Oxford Economics'!$A$6:$AZ$6,0),MATCH(AE$5&amp;"",'Oxford Economics'!$A$6:$AZ$6,0))),'Oxford Economics'!$A$7:$A$1000,$C11,'Oxford Economics'!$B$7:$B$1000,Settings!$B$15)+IF(Settings!$B$17="",0,SUMIFS(INDEX('Oxford Economics'!$A$7:$AZ$1000,0,IFERROR(MATCH(AE$5,'Oxford Economics'!$A$6:$AZ$6,0),MATCH(AE$5&amp;"",'Oxford Economics'!$A$6:$AZ$6,0))),'Oxford Economics'!$A$7:$A$1000,$C11,'Oxford Economics'!$B$7:$B$1000,Settings!$B$17)))),""))</f>
        <v>2101.05</v>
      </c>
      <c r="AF11" s="37" t="n">
        <f aca="false">IF($A11="","",IFERROR(1/(1/IF($B11="Residential",SUMIFS(INDEX('Oxford Economics'!$A$7:$AZ$1000,0,IFERROR(MATCH(AF$5,'Oxford Economics'!$A$6:$AZ$6,0),MATCH(AF$5&amp;"",'Oxford Economics'!$A$6:$AZ$6,0))),'Oxford Economics'!$A$7:$A$1000,$C11,'Oxford Economics'!$B$7:$B$1000,Settings!$B$11)-SUMIFS(INDEX('Oxford Economics'!$A$7:$AZ$1000,0,IFERROR(MATCH(AF$5,'Oxford Economics'!$A$6:$AZ$6,0),MATCH(AF$5&amp;"",'Oxford Economics'!$A$6:$AZ$6,0))),'Oxford Economics'!$A$7:$A$1000,$C11,'Oxford Economics'!$B$7:$B$1000,Settings!$B$13),SUMIFS(INDEX('Oxford Economics'!$A$7:$AZ$1000,0,IFERROR(MATCH(AF$5,'Oxford Economics'!$A$6:$AZ$6,0),MATCH(AF$5&amp;"",'Oxford Economics'!$A$6:$AZ$6,0))),'Oxford Economics'!$A$7:$A$1000,$C11,'Oxford Economics'!$B$7:$B$1000,Settings!$B$13)+SUMIFS(INDEX('Oxford Economics'!$A$7:$AZ$1000,0,IFERROR(MATCH(AF$5,'Oxford Economics'!$A$6:$AZ$6,0),MATCH(AF$5&amp;"",'Oxford Economics'!$A$6:$AZ$6,0))),'Oxford Economics'!$A$7:$A$1000,$C11,'Oxford Economics'!$B$7:$B$1000,Settings!$B$15)+IF(Settings!$B$17="",0,SUMIFS(INDEX('Oxford Economics'!$A$7:$AZ$1000,0,IFERROR(MATCH(AF$5,'Oxford Economics'!$A$6:$AZ$6,0),MATCH(AF$5&amp;"",'Oxford Economics'!$A$6:$AZ$6,0))),'Oxford Economics'!$A$7:$A$1000,$C11,'Oxford Economics'!$B$7:$B$1000,Settings!$B$17)))),""))</f>
        <v>2054.1</v>
      </c>
      <c r="AG11" s="37" t="n">
        <f aca="false">IF($A11="","",IFERROR(1/(1/IF($B11="Residential",SUMIFS(INDEX('Oxford Economics'!$A$7:$AZ$1000,0,IFERROR(MATCH(AG$5,'Oxford Economics'!$A$6:$AZ$6,0),MATCH(AG$5&amp;"",'Oxford Economics'!$A$6:$AZ$6,0))),'Oxford Economics'!$A$7:$A$1000,$C11,'Oxford Economics'!$B$7:$B$1000,Settings!$B$11)-SUMIFS(INDEX('Oxford Economics'!$A$7:$AZ$1000,0,IFERROR(MATCH(AG$5,'Oxford Economics'!$A$6:$AZ$6,0),MATCH(AG$5&amp;"",'Oxford Economics'!$A$6:$AZ$6,0))),'Oxford Economics'!$A$7:$A$1000,$C11,'Oxford Economics'!$B$7:$B$1000,Settings!$B$13),SUMIFS(INDEX('Oxford Economics'!$A$7:$AZ$1000,0,IFERROR(MATCH(AG$5,'Oxford Economics'!$A$6:$AZ$6,0),MATCH(AG$5&amp;"",'Oxford Economics'!$A$6:$AZ$6,0))),'Oxford Economics'!$A$7:$A$1000,$C11,'Oxford Economics'!$B$7:$B$1000,Settings!$B$13)+SUMIFS(INDEX('Oxford Economics'!$A$7:$AZ$1000,0,IFERROR(MATCH(AG$5,'Oxford Economics'!$A$6:$AZ$6,0),MATCH(AG$5&amp;"",'Oxford Economics'!$A$6:$AZ$6,0))),'Oxford Economics'!$A$7:$A$1000,$C11,'Oxford Economics'!$B$7:$B$1000,Settings!$B$15)+IF(Settings!$B$17="",0,SUMIFS(INDEX('Oxford Economics'!$A$7:$AZ$1000,0,IFERROR(MATCH(AG$5,'Oxford Economics'!$A$6:$AZ$6,0),MATCH(AG$5&amp;"",'Oxford Economics'!$A$6:$AZ$6,0))),'Oxford Economics'!$A$7:$A$1000,$C11,'Oxford Economics'!$B$7:$B$1000,Settings!$B$17)))),""))</f>
        <v>1939.99</v>
      </c>
      <c r="AH11" s="37" t="n">
        <f aca="false">IF($A11="","",IFERROR(1/(1/IF($B11="Residential",SUMIFS(INDEX('Oxford Economics'!$A$7:$AZ$1000,0,IFERROR(MATCH(AH$5,'Oxford Economics'!$A$6:$AZ$6,0),MATCH(AH$5&amp;"",'Oxford Economics'!$A$6:$AZ$6,0))),'Oxford Economics'!$A$7:$A$1000,$C11,'Oxford Economics'!$B$7:$B$1000,Settings!$B$11)-SUMIFS(INDEX('Oxford Economics'!$A$7:$AZ$1000,0,IFERROR(MATCH(AH$5,'Oxford Economics'!$A$6:$AZ$6,0),MATCH(AH$5&amp;"",'Oxford Economics'!$A$6:$AZ$6,0))),'Oxford Economics'!$A$7:$A$1000,$C11,'Oxford Economics'!$B$7:$B$1000,Settings!$B$13),SUMIFS(INDEX('Oxford Economics'!$A$7:$AZ$1000,0,IFERROR(MATCH(AH$5,'Oxford Economics'!$A$6:$AZ$6,0),MATCH(AH$5&amp;"",'Oxford Economics'!$A$6:$AZ$6,0))),'Oxford Economics'!$A$7:$A$1000,$C11,'Oxford Economics'!$B$7:$B$1000,Settings!$B$13)+SUMIFS(INDEX('Oxford Economics'!$A$7:$AZ$1000,0,IFERROR(MATCH(AH$5,'Oxford Economics'!$A$6:$AZ$6,0),MATCH(AH$5&amp;"",'Oxford Economics'!$A$6:$AZ$6,0))),'Oxford Economics'!$A$7:$A$1000,$C11,'Oxford Economics'!$B$7:$B$1000,Settings!$B$15)+IF(Settings!$B$17="",0,SUMIFS(INDEX('Oxford Economics'!$A$7:$AZ$1000,0,IFERROR(MATCH(AH$5,'Oxford Economics'!$A$6:$AZ$6,0),MATCH(AH$5&amp;"",'Oxford Economics'!$A$6:$AZ$6,0))),'Oxford Economics'!$A$7:$A$1000,$C11,'Oxford Economics'!$B$7:$B$1000,Settings!$B$17)))),""))</f>
        <v>2127.12</v>
      </c>
      <c r="AI11" s="37" t="n">
        <f aca="false">IF($A11="","",IFERROR(1/(1/IF($B11="Residential",SUMIFS(INDEX('Oxford Economics'!$A$7:$AZ$1000,0,IFERROR(MATCH(AI$5,'Oxford Economics'!$A$6:$AZ$6,0),MATCH(AI$5&amp;"",'Oxford Economics'!$A$6:$AZ$6,0))),'Oxford Economics'!$A$7:$A$1000,$C11,'Oxford Economics'!$B$7:$B$1000,Settings!$B$11)-SUMIFS(INDEX('Oxford Economics'!$A$7:$AZ$1000,0,IFERROR(MATCH(AI$5,'Oxford Economics'!$A$6:$AZ$6,0),MATCH(AI$5&amp;"",'Oxford Economics'!$A$6:$AZ$6,0))),'Oxford Economics'!$A$7:$A$1000,$C11,'Oxford Economics'!$B$7:$B$1000,Settings!$B$13),SUMIFS(INDEX('Oxford Economics'!$A$7:$AZ$1000,0,IFERROR(MATCH(AI$5,'Oxford Economics'!$A$6:$AZ$6,0),MATCH(AI$5&amp;"",'Oxford Economics'!$A$6:$AZ$6,0))),'Oxford Economics'!$A$7:$A$1000,$C11,'Oxford Economics'!$B$7:$B$1000,Settings!$B$13)+SUMIFS(INDEX('Oxford Economics'!$A$7:$AZ$1000,0,IFERROR(MATCH(AI$5,'Oxford Economics'!$A$6:$AZ$6,0),MATCH(AI$5&amp;"",'Oxford Economics'!$A$6:$AZ$6,0))),'Oxford Economics'!$A$7:$A$1000,$C11,'Oxford Economics'!$B$7:$B$1000,Settings!$B$15)+IF(Settings!$B$17="",0,SUMIFS(INDEX('Oxford Economics'!$A$7:$AZ$1000,0,IFERROR(MATCH(AI$5,'Oxford Economics'!$A$6:$AZ$6,0),MATCH(AI$5&amp;"",'Oxford Economics'!$A$6:$AZ$6,0))),'Oxford Economics'!$A$7:$A$1000,$C11,'Oxford Economics'!$B$7:$B$1000,Settings!$B$17)))),""))</f>
        <v>2369.41</v>
      </c>
      <c r="AJ11" s="37" t="n">
        <f aca="false">IF($A11="","",IFERROR(1/(1/IF($B11="Residential",SUMIFS(INDEX('Oxford Economics'!$A$7:$AZ$1000,0,IFERROR(MATCH(AJ$5,'Oxford Economics'!$A$6:$AZ$6,0),MATCH(AJ$5&amp;"",'Oxford Economics'!$A$6:$AZ$6,0))),'Oxford Economics'!$A$7:$A$1000,$C11,'Oxford Economics'!$B$7:$B$1000,Settings!$B$11)-SUMIFS(INDEX('Oxford Economics'!$A$7:$AZ$1000,0,IFERROR(MATCH(AJ$5,'Oxford Economics'!$A$6:$AZ$6,0),MATCH(AJ$5&amp;"",'Oxford Economics'!$A$6:$AZ$6,0))),'Oxford Economics'!$A$7:$A$1000,$C11,'Oxford Economics'!$B$7:$B$1000,Settings!$B$13),SUMIFS(INDEX('Oxford Economics'!$A$7:$AZ$1000,0,IFERROR(MATCH(AJ$5,'Oxford Economics'!$A$6:$AZ$6,0),MATCH(AJ$5&amp;"",'Oxford Economics'!$A$6:$AZ$6,0))),'Oxford Economics'!$A$7:$A$1000,$C11,'Oxford Economics'!$B$7:$B$1000,Settings!$B$13)+SUMIFS(INDEX('Oxford Economics'!$A$7:$AZ$1000,0,IFERROR(MATCH(AJ$5,'Oxford Economics'!$A$6:$AZ$6,0),MATCH(AJ$5&amp;"",'Oxford Economics'!$A$6:$AZ$6,0))),'Oxford Economics'!$A$7:$A$1000,$C11,'Oxford Economics'!$B$7:$B$1000,Settings!$B$15)+IF(Settings!$B$17="",0,SUMIFS(INDEX('Oxford Economics'!$A$7:$AZ$1000,0,IFERROR(MATCH(AJ$5,'Oxford Economics'!$A$6:$AZ$6,0),MATCH(AJ$5&amp;"",'Oxford Economics'!$A$6:$AZ$6,0))),'Oxford Economics'!$A$7:$A$1000,$C11,'Oxford Economics'!$B$7:$B$1000,Settings!$B$17)))),""))</f>
        <v>2493.12</v>
      </c>
      <c r="AK11" s="37" t="n">
        <f aca="false">IF($A11="","",IFERROR(1/(1/IF($B11="Residential",SUMIFS(INDEX('Oxford Economics'!$A$7:$AZ$1000,0,IFERROR(MATCH(AK$5,'Oxford Economics'!$A$6:$AZ$6,0),MATCH(AK$5&amp;"",'Oxford Economics'!$A$6:$AZ$6,0))),'Oxford Economics'!$A$7:$A$1000,$C11,'Oxford Economics'!$B$7:$B$1000,Settings!$B$11)-SUMIFS(INDEX('Oxford Economics'!$A$7:$AZ$1000,0,IFERROR(MATCH(AK$5,'Oxford Economics'!$A$6:$AZ$6,0),MATCH(AK$5&amp;"",'Oxford Economics'!$A$6:$AZ$6,0))),'Oxford Economics'!$A$7:$A$1000,$C11,'Oxford Economics'!$B$7:$B$1000,Settings!$B$13),SUMIFS(INDEX('Oxford Economics'!$A$7:$AZ$1000,0,IFERROR(MATCH(AK$5,'Oxford Economics'!$A$6:$AZ$6,0),MATCH(AK$5&amp;"",'Oxford Economics'!$A$6:$AZ$6,0))),'Oxford Economics'!$A$7:$A$1000,$C11,'Oxford Economics'!$B$7:$B$1000,Settings!$B$13)+SUMIFS(INDEX('Oxford Economics'!$A$7:$AZ$1000,0,IFERROR(MATCH(AK$5,'Oxford Economics'!$A$6:$AZ$6,0),MATCH(AK$5&amp;"",'Oxford Economics'!$A$6:$AZ$6,0))),'Oxford Economics'!$A$7:$A$1000,$C11,'Oxford Economics'!$B$7:$B$1000,Settings!$B$15)+IF(Settings!$B$17="",0,SUMIFS(INDEX('Oxford Economics'!$A$7:$AZ$1000,0,IFERROR(MATCH(AK$5,'Oxford Economics'!$A$6:$AZ$6,0),MATCH(AK$5&amp;"",'Oxford Economics'!$A$6:$AZ$6,0))),'Oxford Economics'!$A$7:$A$1000,$C11,'Oxford Economics'!$B$7:$B$1000,Settings!$B$17)))),""))</f>
        <v>2590.53</v>
      </c>
      <c r="AL11" s="37" t="n">
        <f aca="false">IF($A11="","",IFERROR(1/(1/IF($B11="Residential",SUMIFS(INDEX('Oxford Economics'!$A$7:$AZ$1000,0,IFERROR(MATCH(AL$5,'Oxford Economics'!$A$6:$AZ$6,0),MATCH(AL$5&amp;"",'Oxford Economics'!$A$6:$AZ$6,0))),'Oxford Economics'!$A$7:$A$1000,$C11,'Oxford Economics'!$B$7:$B$1000,Settings!$B$11)-SUMIFS(INDEX('Oxford Economics'!$A$7:$AZ$1000,0,IFERROR(MATCH(AL$5,'Oxford Economics'!$A$6:$AZ$6,0),MATCH(AL$5&amp;"",'Oxford Economics'!$A$6:$AZ$6,0))),'Oxford Economics'!$A$7:$A$1000,$C11,'Oxford Economics'!$B$7:$B$1000,Settings!$B$13),SUMIFS(INDEX('Oxford Economics'!$A$7:$AZ$1000,0,IFERROR(MATCH(AL$5,'Oxford Economics'!$A$6:$AZ$6,0),MATCH(AL$5&amp;"",'Oxford Economics'!$A$6:$AZ$6,0))),'Oxford Economics'!$A$7:$A$1000,$C11,'Oxford Economics'!$B$7:$B$1000,Settings!$B$13)+SUMIFS(INDEX('Oxford Economics'!$A$7:$AZ$1000,0,IFERROR(MATCH(AL$5,'Oxford Economics'!$A$6:$AZ$6,0),MATCH(AL$5&amp;"",'Oxford Economics'!$A$6:$AZ$6,0))),'Oxford Economics'!$A$7:$A$1000,$C11,'Oxford Economics'!$B$7:$B$1000,Settings!$B$15)+IF(Settings!$B$17="",0,SUMIFS(INDEX('Oxford Economics'!$A$7:$AZ$1000,0,IFERROR(MATCH(AL$5,'Oxford Economics'!$A$6:$AZ$6,0),MATCH(AL$5&amp;"",'Oxford Economics'!$A$6:$AZ$6,0))),'Oxford Economics'!$A$7:$A$1000,$C11,'Oxford Economics'!$B$7:$B$1000,Settings!$B$17)))),""))</f>
        <v>2636.05</v>
      </c>
      <c r="AM11" s="37" t="n">
        <f aca="false">IF($A11="","",IFERROR(1/(1/IF($B11="Residential",SUMIFS(INDEX('Oxford Economics'!$A$7:$AZ$1000,0,IFERROR(MATCH(AM$5,'Oxford Economics'!$A$6:$AZ$6,0),MATCH(AM$5&amp;"",'Oxford Economics'!$A$6:$AZ$6,0))),'Oxford Economics'!$A$7:$A$1000,$C11,'Oxford Economics'!$B$7:$B$1000,Settings!$B$11)-SUMIFS(INDEX('Oxford Economics'!$A$7:$AZ$1000,0,IFERROR(MATCH(AM$5,'Oxford Economics'!$A$6:$AZ$6,0),MATCH(AM$5&amp;"",'Oxford Economics'!$A$6:$AZ$6,0))),'Oxford Economics'!$A$7:$A$1000,$C11,'Oxford Economics'!$B$7:$B$1000,Settings!$B$13),SUMIFS(INDEX('Oxford Economics'!$A$7:$AZ$1000,0,IFERROR(MATCH(AM$5,'Oxford Economics'!$A$6:$AZ$6,0),MATCH(AM$5&amp;"",'Oxford Economics'!$A$6:$AZ$6,0))),'Oxford Economics'!$A$7:$A$1000,$C11,'Oxford Economics'!$B$7:$B$1000,Settings!$B$13)+SUMIFS(INDEX('Oxford Economics'!$A$7:$AZ$1000,0,IFERROR(MATCH(AM$5,'Oxford Economics'!$A$6:$AZ$6,0),MATCH(AM$5&amp;"",'Oxford Economics'!$A$6:$AZ$6,0))),'Oxford Economics'!$A$7:$A$1000,$C11,'Oxford Economics'!$B$7:$B$1000,Settings!$B$15)+IF(Settings!$B$17="",0,SUMIFS(INDEX('Oxford Economics'!$A$7:$AZ$1000,0,IFERROR(MATCH(AM$5,'Oxford Economics'!$A$6:$AZ$6,0),MATCH(AM$5&amp;"",'Oxford Economics'!$A$6:$AZ$6,0))),'Oxford Economics'!$A$7:$A$1000,$C11,'Oxford Economics'!$B$7:$B$1000,Settings!$B$17)))),""))</f>
        <v>2653.32</v>
      </c>
    </row>
    <row r="12" customFormat="false" ht="15" hidden="false" customHeight="false" outlineLevel="0" collapsed="false">
      <c r="A12" s="36" t="str">
        <f aca="false">IF('Raw data'!$A12="","",'Raw data'!$A12)</f>
        <v>Netherlands</v>
      </c>
      <c r="B12" s="36" t="str">
        <f aca="false">IF($A12="","",'Raw data'!$C12)</f>
        <v>Residential</v>
      </c>
      <c r="C12" s="36" t="str">
        <f aca="false">IF($A12="","",IF('Raw data'!$D12="",$A12,'Raw data'!$D12))</f>
        <v>Netherlands</v>
      </c>
      <c r="D12" s="37" t="n">
        <f aca="false">IF($A12="","",IF(AND(ISNUMBER(P12),ISNUMBER(AB12)),P12+AB12,""))</f>
        <v>26861</v>
      </c>
      <c r="E12" s="37" t="n">
        <f aca="false">IF($A12="","",IF(AND(ISNUMBER(Q12),ISNUMBER(AC12)),Q12+AC12,""))</f>
        <v>28102.09</v>
      </c>
      <c r="F12" s="37" t="n">
        <f aca="false">IF($A12="","",IF(AND(ISNUMBER(R12),ISNUMBER(AD12)),R12+AD12,""))</f>
        <v>28941.14</v>
      </c>
      <c r="G12" s="37" t="n">
        <f aca="false">IF($A12="","",IF(AND(ISNUMBER(S12),ISNUMBER(AE12)),S12+AE12,""))</f>
        <v>29344.02</v>
      </c>
      <c r="H12" s="37" t="n">
        <f aca="false">IF($A12="","",IF(AND(ISNUMBER(T12),ISNUMBER(AF12)),T12+AF12,""))</f>
        <v>28998.05</v>
      </c>
      <c r="I12" s="37" t="n">
        <f aca="false">IF($A12="","",IF(AND(ISNUMBER(U12),ISNUMBER(AG12)),U12+AG12,""))</f>
        <v>29129.26</v>
      </c>
      <c r="J12" s="37" t="n">
        <f aca="false">IF($A12="","",IF(AND(ISNUMBER(V12),ISNUMBER(AH12)),V12+AH12,""))</f>
        <v>29512.41</v>
      </c>
      <c r="K12" s="37" t="n">
        <f aca="false">IF($A12="","",IF(AND(ISNUMBER(W12),ISNUMBER(AI12)),W12+AI12,""))</f>
        <v>29901.43</v>
      </c>
      <c r="L12" s="37" t="n">
        <f aca="false">IF($A12="","",IF(AND(ISNUMBER(X12),ISNUMBER(AJ12)),X12+AJ12,""))</f>
        <v>31213.02</v>
      </c>
      <c r="M12" s="37" t="n">
        <f aca="false">IF($A12="","",IF(AND(ISNUMBER(Y12),ISNUMBER(AK12)),Y12+AK12,""))</f>
        <v>32376.78</v>
      </c>
      <c r="N12" s="37" t="n">
        <f aca="false">IF($A12="","",IF(AND(ISNUMBER(Z12),ISNUMBER(AL12)),Z12+AL12,""))</f>
        <v>33392.61</v>
      </c>
      <c r="O12" s="37" t="n">
        <f aca="false">IF($A12="","",IF(AND(ISNUMBER(AA12),ISNUMBER(AM12)),AA12+AM12,""))</f>
        <v>34045.05</v>
      </c>
      <c r="P12" s="37" t="n">
        <f aca="false">IF($A12="","",IFERROR(1/(1/IF($B12="Residential",SUMIFS(INDEX('Oxford Economics'!$A$7:$AZ$1000,0,IFERROR(MATCH(P$5,'Oxford Economics'!$A$6:$AZ$6,0),MATCH(P$5&amp;"",'Oxford Economics'!$A$6:$AZ$6,0))),'Oxford Economics'!$A$7:$A$1000,$C12,'Oxford Economics'!$B$7:$B$1000,Settings!$B$12)-SUMIFS(INDEX('Oxford Economics'!$A$7:$AZ$1000,0,IFERROR(MATCH(P$5,'Oxford Economics'!$A$6:$AZ$6,0),MATCH(P$5&amp;"",'Oxford Economics'!$A$6:$AZ$6,0))),'Oxford Economics'!$A$7:$A$1000,$C12,'Oxford Economics'!$B$7:$B$1000,Settings!$B$14),SUMIFS(INDEX('Oxford Economics'!$A$7:$AZ$1000,0,IFERROR(MATCH(P$5,'Oxford Economics'!$A$6:$AZ$6,0),MATCH(P$5&amp;"",'Oxford Economics'!$A$6:$AZ$6,0))),'Oxford Economics'!$A$7:$A$1000,$C12,'Oxford Economics'!$B$7:$B$1000,Settings!$B$14)+SUMIFS(INDEX('Oxford Economics'!$A$7:$AZ$1000,0,IFERROR(MATCH(P$5,'Oxford Economics'!$A$6:$AZ$6,0),MATCH(P$5&amp;"",'Oxford Economics'!$A$6:$AZ$6,0))),'Oxford Economics'!$A$7:$A$1000,$C12,'Oxford Economics'!$B$7:$B$1000,Settings!$B$16)+IF(Settings!$B$18="",0,SUMIFS(INDEX('Oxford Economics'!$A$7:$AZ$1000,0,IFERROR(MATCH(P$5,'Oxford Economics'!$A$6:$AZ$6,0),MATCH(P$5&amp;"",'Oxford Economics'!$A$6:$AZ$6,0))),'Oxford Economics'!$A$7:$A$1000,$C12,'Oxford Economics'!$B$7:$B$1000,Settings!$B$18)))),""))</f>
        <v>14772.74</v>
      </c>
      <c r="Q12" s="37" t="n">
        <f aca="false">IF($A12="","",IFERROR(1/(1/IF($B12="Residential",SUMIFS(INDEX('Oxford Economics'!$A$7:$AZ$1000,0,IFERROR(MATCH(Q$5,'Oxford Economics'!$A$6:$AZ$6,0),MATCH(Q$5&amp;"",'Oxford Economics'!$A$6:$AZ$6,0))),'Oxford Economics'!$A$7:$A$1000,$C12,'Oxford Economics'!$B$7:$B$1000,Settings!$B$12)-SUMIFS(INDEX('Oxford Economics'!$A$7:$AZ$1000,0,IFERROR(MATCH(Q$5,'Oxford Economics'!$A$6:$AZ$6,0),MATCH(Q$5&amp;"",'Oxford Economics'!$A$6:$AZ$6,0))),'Oxford Economics'!$A$7:$A$1000,$C12,'Oxford Economics'!$B$7:$B$1000,Settings!$B$14),SUMIFS(INDEX('Oxford Economics'!$A$7:$AZ$1000,0,IFERROR(MATCH(Q$5,'Oxford Economics'!$A$6:$AZ$6,0),MATCH(Q$5&amp;"",'Oxford Economics'!$A$6:$AZ$6,0))),'Oxford Economics'!$A$7:$A$1000,$C12,'Oxford Economics'!$B$7:$B$1000,Settings!$B$14)+SUMIFS(INDEX('Oxford Economics'!$A$7:$AZ$1000,0,IFERROR(MATCH(Q$5,'Oxford Economics'!$A$6:$AZ$6,0),MATCH(Q$5&amp;"",'Oxford Economics'!$A$6:$AZ$6,0))),'Oxford Economics'!$A$7:$A$1000,$C12,'Oxford Economics'!$B$7:$B$1000,Settings!$B$16)+IF(Settings!$B$18="",0,SUMIFS(INDEX('Oxford Economics'!$A$7:$AZ$1000,0,IFERROR(MATCH(Q$5,'Oxford Economics'!$A$6:$AZ$6,0),MATCH(Q$5&amp;"",'Oxford Economics'!$A$6:$AZ$6,0))),'Oxford Economics'!$A$7:$A$1000,$C12,'Oxford Economics'!$B$7:$B$1000,Settings!$B$18)))),""))</f>
        <v>15083.03</v>
      </c>
      <c r="R12" s="37" t="n">
        <f aca="false">IF($A12="","",IFERROR(1/(1/IF($B12="Residential",SUMIFS(INDEX('Oxford Economics'!$A$7:$AZ$1000,0,IFERROR(MATCH(R$5,'Oxford Economics'!$A$6:$AZ$6,0),MATCH(R$5&amp;"",'Oxford Economics'!$A$6:$AZ$6,0))),'Oxford Economics'!$A$7:$A$1000,$C12,'Oxford Economics'!$B$7:$B$1000,Settings!$B$12)-SUMIFS(INDEX('Oxford Economics'!$A$7:$AZ$1000,0,IFERROR(MATCH(R$5,'Oxford Economics'!$A$6:$AZ$6,0),MATCH(R$5&amp;"",'Oxford Economics'!$A$6:$AZ$6,0))),'Oxford Economics'!$A$7:$A$1000,$C12,'Oxford Economics'!$B$7:$B$1000,Settings!$B$14),SUMIFS(INDEX('Oxford Economics'!$A$7:$AZ$1000,0,IFERROR(MATCH(R$5,'Oxford Economics'!$A$6:$AZ$6,0),MATCH(R$5&amp;"",'Oxford Economics'!$A$6:$AZ$6,0))),'Oxford Economics'!$A$7:$A$1000,$C12,'Oxford Economics'!$B$7:$B$1000,Settings!$B$14)+SUMIFS(INDEX('Oxford Economics'!$A$7:$AZ$1000,0,IFERROR(MATCH(R$5,'Oxford Economics'!$A$6:$AZ$6,0),MATCH(R$5&amp;"",'Oxford Economics'!$A$6:$AZ$6,0))),'Oxford Economics'!$A$7:$A$1000,$C12,'Oxford Economics'!$B$7:$B$1000,Settings!$B$16)+IF(Settings!$B$18="",0,SUMIFS(INDEX('Oxford Economics'!$A$7:$AZ$1000,0,IFERROR(MATCH(R$5,'Oxford Economics'!$A$6:$AZ$6,0),MATCH(R$5&amp;"",'Oxford Economics'!$A$6:$AZ$6,0))),'Oxford Economics'!$A$7:$A$1000,$C12,'Oxford Economics'!$B$7:$B$1000,Settings!$B$18)))),""))</f>
        <v>16433.79</v>
      </c>
      <c r="S12" s="37" t="n">
        <f aca="false">IF($A12="","",IFERROR(1/(1/IF($B12="Residential",SUMIFS(INDEX('Oxford Economics'!$A$7:$AZ$1000,0,IFERROR(MATCH(S$5,'Oxford Economics'!$A$6:$AZ$6,0),MATCH(S$5&amp;"",'Oxford Economics'!$A$6:$AZ$6,0))),'Oxford Economics'!$A$7:$A$1000,$C12,'Oxford Economics'!$B$7:$B$1000,Settings!$B$12)-SUMIFS(INDEX('Oxford Economics'!$A$7:$AZ$1000,0,IFERROR(MATCH(S$5,'Oxford Economics'!$A$6:$AZ$6,0),MATCH(S$5&amp;"",'Oxford Economics'!$A$6:$AZ$6,0))),'Oxford Economics'!$A$7:$A$1000,$C12,'Oxford Economics'!$B$7:$B$1000,Settings!$B$14),SUMIFS(INDEX('Oxford Economics'!$A$7:$AZ$1000,0,IFERROR(MATCH(S$5,'Oxford Economics'!$A$6:$AZ$6,0),MATCH(S$5&amp;"",'Oxford Economics'!$A$6:$AZ$6,0))),'Oxford Economics'!$A$7:$A$1000,$C12,'Oxford Economics'!$B$7:$B$1000,Settings!$B$14)+SUMIFS(INDEX('Oxford Economics'!$A$7:$AZ$1000,0,IFERROR(MATCH(S$5,'Oxford Economics'!$A$6:$AZ$6,0),MATCH(S$5&amp;"",'Oxford Economics'!$A$6:$AZ$6,0))),'Oxford Economics'!$A$7:$A$1000,$C12,'Oxford Economics'!$B$7:$B$1000,Settings!$B$16)+IF(Settings!$B$18="",0,SUMIFS(INDEX('Oxford Economics'!$A$7:$AZ$1000,0,IFERROR(MATCH(S$5,'Oxford Economics'!$A$6:$AZ$6,0),MATCH(S$5&amp;"",'Oxford Economics'!$A$6:$AZ$6,0))),'Oxford Economics'!$A$7:$A$1000,$C12,'Oxford Economics'!$B$7:$B$1000,Settings!$B$18)))),""))</f>
        <v>18174.75</v>
      </c>
      <c r="T12" s="37" t="n">
        <f aca="false">IF($A12="","",IFERROR(1/(1/IF($B12="Residential",SUMIFS(INDEX('Oxford Economics'!$A$7:$AZ$1000,0,IFERROR(MATCH(T$5,'Oxford Economics'!$A$6:$AZ$6,0),MATCH(T$5&amp;"",'Oxford Economics'!$A$6:$AZ$6,0))),'Oxford Economics'!$A$7:$A$1000,$C12,'Oxford Economics'!$B$7:$B$1000,Settings!$B$12)-SUMIFS(INDEX('Oxford Economics'!$A$7:$AZ$1000,0,IFERROR(MATCH(T$5,'Oxford Economics'!$A$6:$AZ$6,0),MATCH(T$5&amp;"",'Oxford Economics'!$A$6:$AZ$6,0))),'Oxford Economics'!$A$7:$A$1000,$C12,'Oxford Economics'!$B$7:$B$1000,Settings!$B$14),SUMIFS(INDEX('Oxford Economics'!$A$7:$AZ$1000,0,IFERROR(MATCH(T$5,'Oxford Economics'!$A$6:$AZ$6,0),MATCH(T$5&amp;"",'Oxford Economics'!$A$6:$AZ$6,0))),'Oxford Economics'!$A$7:$A$1000,$C12,'Oxford Economics'!$B$7:$B$1000,Settings!$B$14)+SUMIFS(INDEX('Oxford Economics'!$A$7:$AZ$1000,0,IFERROR(MATCH(T$5,'Oxford Economics'!$A$6:$AZ$6,0),MATCH(T$5&amp;"",'Oxford Economics'!$A$6:$AZ$6,0))),'Oxford Economics'!$A$7:$A$1000,$C12,'Oxford Economics'!$B$7:$B$1000,Settings!$B$16)+IF(Settings!$B$18="",0,SUMIFS(INDEX('Oxford Economics'!$A$7:$AZ$1000,0,IFERROR(MATCH(T$5,'Oxford Economics'!$A$6:$AZ$6,0),MATCH(T$5&amp;"",'Oxford Economics'!$A$6:$AZ$6,0))),'Oxford Economics'!$A$7:$A$1000,$C12,'Oxford Economics'!$B$7:$B$1000,Settings!$B$18)))),""))</f>
        <v>17943.36</v>
      </c>
      <c r="U12" s="37" t="n">
        <f aca="false">IF($A12="","",IFERROR(1/(1/IF($B12="Residential",SUMIFS(INDEX('Oxford Economics'!$A$7:$AZ$1000,0,IFERROR(MATCH(U$5,'Oxford Economics'!$A$6:$AZ$6,0),MATCH(U$5&amp;"",'Oxford Economics'!$A$6:$AZ$6,0))),'Oxford Economics'!$A$7:$A$1000,$C12,'Oxford Economics'!$B$7:$B$1000,Settings!$B$12)-SUMIFS(INDEX('Oxford Economics'!$A$7:$AZ$1000,0,IFERROR(MATCH(U$5,'Oxford Economics'!$A$6:$AZ$6,0),MATCH(U$5&amp;"",'Oxford Economics'!$A$6:$AZ$6,0))),'Oxford Economics'!$A$7:$A$1000,$C12,'Oxford Economics'!$B$7:$B$1000,Settings!$B$14),SUMIFS(INDEX('Oxford Economics'!$A$7:$AZ$1000,0,IFERROR(MATCH(U$5,'Oxford Economics'!$A$6:$AZ$6,0),MATCH(U$5&amp;"",'Oxford Economics'!$A$6:$AZ$6,0))),'Oxford Economics'!$A$7:$A$1000,$C12,'Oxford Economics'!$B$7:$B$1000,Settings!$B$14)+SUMIFS(INDEX('Oxford Economics'!$A$7:$AZ$1000,0,IFERROR(MATCH(U$5,'Oxford Economics'!$A$6:$AZ$6,0),MATCH(U$5&amp;"",'Oxford Economics'!$A$6:$AZ$6,0))),'Oxford Economics'!$A$7:$A$1000,$C12,'Oxford Economics'!$B$7:$B$1000,Settings!$B$16)+IF(Settings!$B$18="",0,SUMIFS(INDEX('Oxford Economics'!$A$7:$AZ$1000,0,IFERROR(MATCH(U$5,'Oxford Economics'!$A$6:$AZ$6,0),MATCH(U$5&amp;"",'Oxford Economics'!$A$6:$AZ$6,0))),'Oxford Economics'!$A$7:$A$1000,$C12,'Oxford Economics'!$B$7:$B$1000,Settings!$B$18)))),""))</f>
        <v>17866.87</v>
      </c>
      <c r="V12" s="37" t="n">
        <f aca="false">IF($A12="","",IFERROR(1/(1/IF($B12="Residential",SUMIFS(INDEX('Oxford Economics'!$A$7:$AZ$1000,0,IFERROR(MATCH(V$5,'Oxford Economics'!$A$6:$AZ$6,0),MATCH(V$5&amp;"",'Oxford Economics'!$A$6:$AZ$6,0))),'Oxford Economics'!$A$7:$A$1000,$C12,'Oxford Economics'!$B$7:$B$1000,Settings!$B$12)-SUMIFS(INDEX('Oxford Economics'!$A$7:$AZ$1000,0,IFERROR(MATCH(V$5,'Oxford Economics'!$A$6:$AZ$6,0),MATCH(V$5&amp;"",'Oxford Economics'!$A$6:$AZ$6,0))),'Oxford Economics'!$A$7:$A$1000,$C12,'Oxford Economics'!$B$7:$B$1000,Settings!$B$14),SUMIFS(INDEX('Oxford Economics'!$A$7:$AZ$1000,0,IFERROR(MATCH(V$5,'Oxford Economics'!$A$6:$AZ$6,0),MATCH(V$5&amp;"",'Oxford Economics'!$A$6:$AZ$6,0))),'Oxford Economics'!$A$7:$A$1000,$C12,'Oxford Economics'!$B$7:$B$1000,Settings!$B$14)+SUMIFS(INDEX('Oxford Economics'!$A$7:$AZ$1000,0,IFERROR(MATCH(V$5,'Oxford Economics'!$A$6:$AZ$6,0),MATCH(V$5&amp;"",'Oxford Economics'!$A$6:$AZ$6,0))),'Oxford Economics'!$A$7:$A$1000,$C12,'Oxford Economics'!$B$7:$B$1000,Settings!$B$16)+IF(Settings!$B$18="",0,SUMIFS(INDEX('Oxford Economics'!$A$7:$AZ$1000,0,IFERROR(MATCH(V$5,'Oxford Economics'!$A$6:$AZ$6,0),MATCH(V$5&amp;"",'Oxford Economics'!$A$6:$AZ$6,0))),'Oxford Economics'!$A$7:$A$1000,$C12,'Oxford Economics'!$B$7:$B$1000,Settings!$B$18)))),""))</f>
        <v>17927.47</v>
      </c>
      <c r="W12" s="37" t="n">
        <f aca="false">IF($A12="","",IFERROR(1/(1/IF($B12="Residential",SUMIFS(INDEX('Oxford Economics'!$A$7:$AZ$1000,0,IFERROR(MATCH(W$5,'Oxford Economics'!$A$6:$AZ$6,0),MATCH(W$5&amp;"",'Oxford Economics'!$A$6:$AZ$6,0))),'Oxford Economics'!$A$7:$A$1000,$C12,'Oxford Economics'!$B$7:$B$1000,Settings!$B$12)-SUMIFS(INDEX('Oxford Economics'!$A$7:$AZ$1000,0,IFERROR(MATCH(W$5,'Oxford Economics'!$A$6:$AZ$6,0),MATCH(W$5&amp;"",'Oxford Economics'!$A$6:$AZ$6,0))),'Oxford Economics'!$A$7:$A$1000,$C12,'Oxford Economics'!$B$7:$B$1000,Settings!$B$14),SUMIFS(INDEX('Oxford Economics'!$A$7:$AZ$1000,0,IFERROR(MATCH(W$5,'Oxford Economics'!$A$6:$AZ$6,0),MATCH(W$5&amp;"",'Oxford Economics'!$A$6:$AZ$6,0))),'Oxford Economics'!$A$7:$A$1000,$C12,'Oxford Economics'!$B$7:$B$1000,Settings!$B$14)+SUMIFS(INDEX('Oxford Economics'!$A$7:$AZ$1000,0,IFERROR(MATCH(W$5,'Oxford Economics'!$A$6:$AZ$6,0),MATCH(W$5&amp;"",'Oxford Economics'!$A$6:$AZ$6,0))),'Oxford Economics'!$A$7:$A$1000,$C12,'Oxford Economics'!$B$7:$B$1000,Settings!$B$16)+IF(Settings!$B$18="",0,SUMIFS(INDEX('Oxford Economics'!$A$7:$AZ$1000,0,IFERROR(MATCH(W$5,'Oxford Economics'!$A$6:$AZ$6,0),MATCH(W$5&amp;"",'Oxford Economics'!$A$6:$AZ$6,0))),'Oxford Economics'!$A$7:$A$1000,$C12,'Oxford Economics'!$B$7:$B$1000,Settings!$B$18)))),""))</f>
        <v>18347.45</v>
      </c>
      <c r="X12" s="37" t="n">
        <f aca="false">IF($A12="","",IFERROR(1/(1/IF($B12="Residential",SUMIFS(INDEX('Oxford Economics'!$A$7:$AZ$1000,0,IFERROR(MATCH(X$5,'Oxford Economics'!$A$6:$AZ$6,0),MATCH(X$5&amp;"",'Oxford Economics'!$A$6:$AZ$6,0))),'Oxford Economics'!$A$7:$A$1000,$C12,'Oxford Economics'!$B$7:$B$1000,Settings!$B$12)-SUMIFS(INDEX('Oxford Economics'!$A$7:$AZ$1000,0,IFERROR(MATCH(X$5,'Oxford Economics'!$A$6:$AZ$6,0),MATCH(X$5&amp;"",'Oxford Economics'!$A$6:$AZ$6,0))),'Oxford Economics'!$A$7:$A$1000,$C12,'Oxford Economics'!$B$7:$B$1000,Settings!$B$14),SUMIFS(INDEX('Oxford Economics'!$A$7:$AZ$1000,0,IFERROR(MATCH(X$5,'Oxford Economics'!$A$6:$AZ$6,0),MATCH(X$5&amp;"",'Oxford Economics'!$A$6:$AZ$6,0))),'Oxford Economics'!$A$7:$A$1000,$C12,'Oxford Economics'!$B$7:$B$1000,Settings!$B$14)+SUMIFS(INDEX('Oxford Economics'!$A$7:$AZ$1000,0,IFERROR(MATCH(X$5,'Oxford Economics'!$A$6:$AZ$6,0),MATCH(X$5&amp;"",'Oxford Economics'!$A$6:$AZ$6,0))),'Oxford Economics'!$A$7:$A$1000,$C12,'Oxford Economics'!$B$7:$B$1000,Settings!$B$16)+IF(Settings!$B$18="",0,SUMIFS(INDEX('Oxford Economics'!$A$7:$AZ$1000,0,IFERROR(MATCH(X$5,'Oxford Economics'!$A$6:$AZ$6,0),MATCH(X$5&amp;"",'Oxford Economics'!$A$6:$AZ$6,0))),'Oxford Economics'!$A$7:$A$1000,$C12,'Oxford Economics'!$B$7:$B$1000,Settings!$B$18)))),""))</f>
        <v>19388.46</v>
      </c>
      <c r="Y12" s="37" t="n">
        <f aca="false">IF($A12="","",IFERROR(1/(1/IF($B12="Residential",SUMIFS(INDEX('Oxford Economics'!$A$7:$AZ$1000,0,IFERROR(MATCH(Y$5,'Oxford Economics'!$A$6:$AZ$6,0),MATCH(Y$5&amp;"",'Oxford Economics'!$A$6:$AZ$6,0))),'Oxford Economics'!$A$7:$A$1000,$C12,'Oxford Economics'!$B$7:$B$1000,Settings!$B$12)-SUMIFS(INDEX('Oxford Economics'!$A$7:$AZ$1000,0,IFERROR(MATCH(Y$5,'Oxford Economics'!$A$6:$AZ$6,0),MATCH(Y$5&amp;"",'Oxford Economics'!$A$6:$AZ$6,0))),'Oxford Economics'!$A$7:$A$1000,$C12,'Oxford Economics'!$B$7:$B$1000,Settings!$B$14),SUMIFS(INDEX('Oxford Economics'!$A$7:$AZ$1000,0,IFERROR(MATCH(Y$5,'Oxford Economics'!$A$6:$AZ$6,0),MATCH(Y$5&amp;"",'Oxford Economics'!$A$6:$AZ$6,0))),'Oxford Economics'!$A$7:$A$1000,$C12,'Oxford Economics'!$B$7:$B$1000,Settings!$B$14)+SUMIFS(INDEX('Oxford Economics'!$A$7:$AZ$1000,0,IFERROR(MATCH(Y$5,'Oxford Economics'!$A$6:$AZ$6,0),MATCH(Y$5&amp;"",'Oxford Economics'!$A$6:$AZ$6,0))),'Oxford Economics'!$A$7:$A$1000,$C12,'Oxford Economics'!$B$7:$B$1000,Settings!$B$16)+IF(Settings!$B$18="",0,SUMIFS(INDEX('Oxford Economics'!$A$7:$AZ$1000,0,IFERROR(MATCH(Y$5,'Oxford Economics'!$A$6:$AZ$6,0),MATCH(Y$5&amp;"",'Oxford Economics'!$A$6:$AZ$6,0))),'Oxford Economics'!$A$7:$A$1000,$C12,'Oxford Economics'!$B$7:$B$1000,Settings!$B$18)))),""))</f>
        <v>20223.85</v>
      </c>
      <c r="Z12" s="37" t="n">
        <f aca="false">IF($A12="","",IFERROR(1/(1/IF($B12="Residential",SUMIFS(INDEX('Oxford Economics'!$A$7:$AZ$1000,0,IFERROR(MATCH(Z$5,'Oxford Economics'!$A$6:$AZ$6,0),MATCH(Z$5&amp;"",'Oxford Economics'!$A$6:$AZ$6,0))),'Oxford Economics'!$A$7:$A$1000,$C12,'Oxford Economics'!$B$7:$B$1000,Settings!$B$12)-SUMIFS(INDEX('Oxford Economics'!$A$7:$AZ$1000,0,IFERROR(MATCH(Z$5,'Oxford Economics'!$A$6:$AZ$6,0),MATCH(Z$5&amp;"",'Oxford Economics'!$A$6:$AZ$6,0))),'Oxford Economics'!$A$7:$A$1000,$C12,'Oxford Economics'!$B$7:$B$1000,Settings!$B$14),SUMIFS(INDEX('Oxford Economics'!$A$7:$AZ$1000,0,IFERROR(MATCH(Z$5,'Oxford Economics'!$A$6:$AZ$6,0),MATCH(Z$5&amp;"",'Oxford Economics'!$A$6:$AZ$6,0))),'Oxford Economics'!$A$7:$A$1000,$C12,'Oxford Economics'!$B$7:$B$1000,Settings!$B$14)+SUMIFS(INDEX('Oxford Economics'!$A$7:$AZ$1000,0,IFERROR(MATCH(Z$5,'Oxford Economics'!$A$6:$AZ$6,0),MATCH(Z$5&amp;"",'Oxford Economics'!$A$6:$AZ$6,0))),'Oxford Economics'!$A$7:$A$1000,$C12,'Oxford Economics'!$B$7:$B$1000,Settings!$B$16)+IF(Settings!$B$18="",0,SUMIFS(INDEX('Oxford Economics'!$A$7:$AZ$1000,0,IFERROR(MATCH(Z$5,'Oxford Economics'!$A$6:$AZ$6,0),MATCH(Z$5&amp;"",'Oxford Economics'!$A$6:$AZ$6,0))),'Oxford Economics'!$A$7:$A$1000,$C12,'Oxford Economics'!$B$7:$B$1000,Settings!$B$18)))),""))</f>
        <v>20916.88</v>
      </c>
      <c r="AA12" s="37" t="n">
        <f aca="false">IF($A12="","",IFERROR(1/(1/IF($B12="Residential",SUMIFS(INDEX('Oxford Economics'!$A$7:$AZ$1000,0,IFERROR(MATCH(AA$5,'Oxford Economics'!$A$6:$AZ$6,0),MATCH(AA$5&amp;"",'Oxford Economics'!$A$6:$AZ$6,0))),'Oxford Economics'!$A$7:$A$1000,$C12,'Oxford Economics'!$B$7:$B$1000,Settings!$B$12)-SUMIFS(INDEX('Oxford Economics'!$A$7:$AZ$1000,0,IFERROR(MATCH(AA$5,'Oxford Economics'!$A$6:$AZ$6,0),MATCH(AA$5&amp;"",'Oxford Economics'!$A$6:$AZ$6,0))),'Oxford Economics'!$A$7:$A$1000,$C12,'Oxford Economics'!$B$7:$B$1000,Settings!$B$14),SUMIFS(INDEX('Oxford Economics'!$A$7:$AZ$1000,0,IFERROR(MATCH(AA$5,'Oxford Economics'!$A$6:$AZ$6,0),MATCH(AA$5&amp;"",'Oxford Economics'!$A$6:$AZ$6,0))),'Oxford Economics'!$A$7:$A$1000,$C12,'Oxford Economics'!$B$7:$B$1000,Settings!$B$14)+SUMIFS(INDEX('Oxford Economics'!$A$7:$AZ$1000,0,IFERROR(MATCH(AA$5,'Oxford Economics'!$A$6:$AZ$6,0),MATCH(AA$5&amp;"",'Oxford Economics'!$A$6:$AZ$6,0))),'Oxford Economics'!$A$7:$A$1000,$C12,'Oxford Economics'!$B$7:$B$1000,Settings!$B$16)+IF(Settings!$B$18="",0,SUMIFS(INDEX('Oxford Economics'!$A$7:$AZ$1000,0,IFERROR(MATCH(AA$5,'Oxford Economics'!$A$6:$AZ$6,0),MATCH(AA$5&amp;"",'Oxford Economics'!$A$6:$AZ$6,0))),'Oxford Economics'!$A$7:$A$1000,$C12,'Oxford Economics'!$B$7:$B$1000,Settings!$B$18)))),""))</f>
        <v>21288.65</v>
      </c>
      <c r="AB12" s="37" t="n">
        <f aca="false">IF($A12="","",IFERROR(1/(1/IF($B12="Residential",SUMIFS(INDEX('Oxford Economics'!$A$7:$AZ$1000,0,IFERROR(MATCH(AB$5,'Oxford Economics'!$A$6:$AZ$6,0),MATCH(AB$5&amp;"",'Oxford Economics'!$A$6:$AZ$6,0))),'Oxford Economics'!$A$7:$A$1000,$C12,'Oxford Economics'!$B$7:$B$1000,Settings!$B$11)-SUMIFS(INDEX('Oxford Economics'!$A$7:$AZ$1000,0,IFERROR(MATCH(AB$5,'Oxford Economics'!$A$6:$AZ$6,0),MATCH(AB$5&amp;"",'Oxford Economics'!$A$6:$AZ$6,0))),'Oxford Economics'!$A$7:$A$1000,$C12,'Oxford Economics'!$B$7:$B$1000,Settings!$B$13),SUMIFS(INDEX('Oxford Economics'!$A$7:$AZ$1000,0,IFERROR(MATCH(AB$5,'Oxford Economics'!$A$6:$AZ$6,0),MATCH(AB$5&amp;"",'Oxford Economics'!$A$6:$AZ$6,0))),'Oxford Economics'!$A$7:$A$1000,$C12,'Oxford Economics'!$B$7:$B$1000,Settings!$B$13)+SUMIFS(INDEX('Oxford Economics'!$A$7:$AZ$1000,0,IFERROR(MATCH(AB$5,'Oxford Economics'!$A$6:$AZ$6,0),MATCH(AB$5&amp;"",'Oxford Economics'!$A$6:$AZ$6,0))),'Oxford Economics'!$A$7:$A$1000,$C12,'Oxford Economics'!$B$7:$B$1000,Settings!$B$15)+IF(Settings!$B$17="",0,SUMIFS(INDEX('Oxford Economics'!$A$7:$AZ$1000,0,IFERROR(MATCH(AB$5,'Oxford Economics'!$A$6:$AZ$6,0),MATCH(AB$5&amp;"",'Oxford Economics'!$A$6:$AZ$6,0))),'Oxford Economics'!$A$7:$A$1000,$C12,'Oxford Economics'!$B$7:$B$1000,Settings!$B$17)))),""))</f>
        <v>12088.26</v>
      </c>
      <c r="AC12" s="37" t="n">
        <f aca="false">IF($A12="","",IFERROR(1/(1/IF($B12="Residential",SUMIFS(INDEX('Oxford Economics'!$A$7:$AZ$1000,0,IFERROR(MATCH(AC$5,'Oxford Economics'!$A$6:$AZ$6,0),MATCH(AC$5&amp;"",'Oxford Economics'!$A$6:$AZ$6,0))),'Oxford Economics'!$A$7:$A$1000,$C12,'Oxford Economics'!$B$7:$B$1000,Settings!$B$11)-SUMIFS(INDEX('Oxford Economics'!$A$7:$AZ$1000,0,IFERROR(MATCH(AC$5,'Oxford Economics'!$A$6:$AZ$6,0),MATCH(AC$5&amp;"",'Oxford Economics'!$A$6:$AZ$6,0))),'Oxford Economics'!$A$7:$A$1000,$C12,'Oxford Economics'!$B$7:$B$1000,Settings!$B$13),SUMIFS(INDEX('Oxford Economics'!$A$7:$AZ$1000,0,IFERROR(MATCH(AC$5,'Oxford Economics'!$A$6:$AZ$6,0),MATCH(AC$5&amp;"",'Oxford Economics'!$A$6:$AZ$6,0))),'Oxford Economics'!$A$7:$A$1000,$C12,'Oxford Economics'!$B$7:$B$1000,Settings!$B$13)+SUMIFS(INDEX('Oxford Economics'!$A$7:$AZ$1000,0,IFERROR(MATCH(AC$5,'Oxford Economics'!$A$6:$AZ$6,0),MATCH(AC$5&amp;"",'Oxford Economics'!$A$6:$AZ$6,0))),'Oxford Economics'!$A$7:$A$1000,$C12,'Oxford Economics'!$B$7:$B$1000,Settings!$B$15)+IF(Settings!$B$17="",0,SUMIFS(INDEX('Oxford Economics'!$A$7:$AZ$1000,0,IFERROR(MATCH(AC$5,'Oxford Economics'!$A$6:$AZ$6,0),MATCH(AC$5&amp;"",'Oxford Economics'!$A$6:$AZ$6,0))),'Oxford Economics'!$A$7:$A$1000,$C12,'Oxford Economics'!$B$7:$B$1000,Settings!$B$17)))),""))</f>
        <v>13019.06</v>
      </c>
      <c r="AD12" s="37" t="n">
        <f aca="false">IF($A12="","",IFERROR(1/(1/IF($B12="Residential",SUMIFS(INDEX('Oxford Economics'!$A$7:$AZ$1000,0,IFERROR(MATCH(AD$5,'Oxford Economics'!$A$6:$AZ$6,0),MATCH(AD$5&amp;"",'Oxford Economics'!$A$6:$AZ$6,0))),'Oxford Economics'!$A$7:$A$1000,$C12,'Oxford Economics'!$B$7:$B$1000,Settings!$B$11)-SUMIFS(INDEX('Oxford Economics'!$A$7:$AZ$1000,0,IFERROR(MATCH(AD$5,'Oxford Economics'!$A$6:$AZ$6,0),MATCH(AD$5&amp;"",'Oxford Economics'!$A$6:$AZ$6,0))),'Oxford Economics'!$A$7:$A$1000,$C12,'Oxford Economics'!$B$7:$B$1000,Settings!$B$13),SUMIFS(INDEX('Oxford Economics'!$A$7:$AZ$1000,0,IFERROR(MATCH(AD$5,'Oxford Economics'!$A$6:$AZ$6,0),MATCH(AD$5&amp;"",'Oxford Economics'!$A$6:$AZ$6,0))),'Oxford Economics'!$A$7:$A$1000,$C12,'Oxford Economics'!$B$7:$B$1000,Settings!$B$13)+SUMIFS(INDEX('Oxford Economics'!$A$7:$AZ$1000,0,IFERROR(MATCH(AD$5,'Oxford Economics'!$A$6:$AZ$6,0),MATCH(AD$5&amp;"",'Oxford Economics'!$A$6:$AZ$6,0))),'Oxford Economics'!$A$7:$A$1000,$C12,'Oxford Economics'!$B$7:$B$1000,Settings!$B$15)+IF(Settings!$B$17="",0,SUMIFS(INDEX('Oxford Economics'!$A$7:$AZ$1000,0,IFERROR(MATCH(AD$5,'Oxford Economics'!$A$6:$AZ$6,0),MATCH(AD$5&amp;"",'Oxford Economics'!$A$6:$AZ$6,0))),'Oxford Economics'!$A$7:$A$1000,$C12,'Oxford Economics'!$B$7:$B$1000,Settings!$B$17)))),""))</f>
        <v>12507.35</v>
      </c>
      <c r="AE12" s="37" t="n">
        <f aca="false">IF($A12="","",IFERROR(1/(1/IF($B12="Residential",SUMIFS(INDEX('Oxford Economics'!$A$7:$AZ$1000,0,IFERROR(MATCH(AE$5,'Oxford Economics'!$A$6:$AZ$6,0),MATCH(AE$5&amp;"",'Oxford Economics'!$A$6:$AZ$6,0))),'Oxford Economics'!$A$7:$A$1000,$C12,'Oxford Economics'!$B$7:$B$1000,Settings!$B$11)-SUMIFS(INDEX('Oxford Economics'!$A$7:$AZ$1000,0,IFERROR(MATCH(AE$5,'Oxford Economics'!$A$6:$AZ$6,0),MATCH(AE$5&amp;"",'Oxford Economics'!$A$6:$AZ$6,0))),'Oxford Economics'!$A$7:$A$1000,$C12,'Oxford Economics'!$B$7:$B$1000,Settings!$B$13),SUMIFS(INDEX('Oxford Economics'!$A$7:$AZ$1000,0,IFERROR(MATCH(AE$5,'Oxford Economics'!$A$6:$AZ$6,0),MATCH(AE$5&amp;"",'Oxford Economics'!$A$6:$AZ$6,0))),'Oxford Economics'!$A$7:$A$1000,$C12,'Oxford Economics'!$B$7:$B$1000,Settings!$B$13)+SUMIFS(INDEX('Oxford Economics'!$A$7:$AZ$1000,0,IFERROR(MATCH(AE$5,'Oxford Economics'!$A$6:$AZ$6,0),MATCH(AE$5&amp;"",'Oxford Economics'!$A$6:$AZ$6,0))),'Oxford Economics'!$A$7:$A$1000,$C12,'Oxford Economics'!$B$7:$B$1000,Settings!$B$15)+IF(Settings!$B$17="",0,SUMIFS(INDEX('Oxford Economics'!$A$7:$AZ$1000,0,IFERROR(MATCH(AE$5,'Oxford Economics'!$A$6:$AZ$6,0),MATCH(AE$5&amp;"",'Oxford Economics'!$A$6:$AZ$6,0))),'Oxford Economics'!$A$7:$A$1000,$C12,'Oxford Economics'!$B$7:$B$1000,Settings!$B$17)))),""))</f>
        <v>11169.27</v>
      </c>
      <c r="AF12" s="37" t="n">
        <f aca="false">IF($A12="","",IFERROR(1/(1/IF($B12="Residential",SUMIFS(INDEX('Oxford Economics'!$A$7:$AZ$1000,0,IFERROR(MATCH(AF$5,'Oxford Economics'!$A$6:$AZ$6,0),MATCH(AF$5&amp;"",'Oxford Economics'!$A$6:$AZ$6,0))),'Oxford Economics'!$A$7:$A$1000,$C12,'Oxford Economics'!$B$7:$B$1000,Settings!$B$11)-SUMIFS(INDEX('Oxford Economics'!$A$7:$AZ$1000,0,IFERROR(MATCH(AF$5,'Oxford Economics'!$A$6:$AZ$6,0),MATCH(AF$5&amp;"",'Oxford Economics'!$A$6:$AZ$6,0))),'Oxford Economics'!$A$7:$A$1000,$C12,'Oxford Economics'!$B$7:$B$1000,Settings!$B$13),SUMIFS(INDEX('Oxford Economics'!$A$7:$AZ$1000,0,IFERROR(MATCH(AF$5,'Oxford Economics'!$A$6:$AZ$6,0),MATCH(AF$5&amp;"",'Oxford Economics'!$A$6:$AZ$6,0))),'Oxford Economics'!$A$7:$A$1000,$C12,'Oxford Economics'!$B$7:$B$1000,Settings!$B$13)+SUMIFS(INDEX('Oxford Economics'!$A$7:$AZ$1000,0,IFERROR(MATCH(AF$5,'Oxford Economics'!$A$6:$AZ$6,0),MATCH(AF$5&amp;"",'Oxford Economics'!$A$6:$AZ$6,0))),'Oxford Economics'!$A$7:$A$1000,$C12,'Oxford Economics'!$B$7:$B$1000,Settings!$B$15)+IF(Settings!$B$17="",0,SUMIFS(INDEX('Oxford Economics'!$A$7:$AZ$1000,0,IFERROR(MATCH(AF$5,'Oxford Economics'!$A$6:$AZ$6,0),MATCH(AF$5&amp;"",'Oxford Economics'!$A$6:$AZ$6,0))),'Oxford Economics'!$A$7:$A$1000,$C12,'Oxford Economics'!$B$7:$B$1000,Settings!$B$17)))),""))</f>
        <v>11054.69</v>
      </c>
      <c r="AG12" s="37" t="n">
        <f aca="false">IF($A12="","",IFERROR(1/(1/IF($B12="Residential",SUMIFS(INDEX('Oxford Economics'!$A$7:$AZ$1000,0,IFERROR(MATCH(AG$5,'Oxford Economics'!$A$6:$AZ$6,0),MATCH(AG$5&amp;"",'Oxford Economics'!$A$6:$AZ$6,0))),'Oxford Economics'!$A$7:$A$1000,$C12,'Oxford Economics'!$B$7:$B$1000,Settings!$B$11)-SUMIFS(INDEX('Oxford Economics'!$A$7:$AZ$1000,0,IFERROR(MATCH(AG$5,'Oxford Economics'!$A$6:$AZ$6,0),MATCH(AG$5&amp;"",'Oxford Economics'!$A$6:$AZ$6,0))),'Oxford Economics'!$A$7:$A$1000,$C12,'Oxford Economics'!$B$7:$B$1000,Settings!$B$13),SUMIFS(INDEX('Oxford Economics'!$A$7:$AZ$1000,0,IFERROR(MATCH(AG$5,'Oxford Economics'!$A$6:$AZ$6,0),MATCH(AG$5&amp;"",'Oxford Economics'!$A$6:$AZ$6,0))),'Oxford Economics'!$A$7:$A$1000,$C12,'Oxford Economics'!$B$7:$B$1000,Settings!$B$13)+SUMIFS(INDEX('Oxford Economics'!$A$7:$AZ$1000,0,IFERROR(MATCH(AG$5,'Oxford Economics'!$A$6:$AZ$6,0),MATCH(AG$5&amp;"",'Oxford Economics'!$A$6:$AZ$6,0))),'Oxford Economics'!$A$7:$A$1000,$C12,'Oxford Economics'!$B$7:$B$1000,Settings!$B$15)+IF(Settings!$B$17="",0,SUMIFS(INDEX('Oxford Economics'!$A$7:$AZ$1000,0,IFERROR(MATCH(AG$5,'Oxford Economics'!$A$6:$AZ$6,0),MATCH(AG$5&amp;"",'Oxford Economics'!$A$6:$AZ$6,0))),'Oxford Economics'!$A$7:$A$1000,$C12,'Oxford Economics'!$B$7:$B$1000,Settings!$B$17)))),""))</f>
        <v>11262.39</v>
      </c>
      <c r="AH12" s="37" t="n">
        <f aca="false">IF($A12="","",IFERROR(1/(1/IF($B12="Residential",SUMIFS(INDEX('Oxford Economics'!$A$7:$AZ$1000,0,IFERROR(MATCH(AH$5,'Oxford Economics'!$A$6:$AZ$6,0),MATCH(AH$5&amp;"",'Oxford Economics'!$A$6:$AZ$6,0))),'Oxford Economics'!$A$7:$A$1000,$C12,'Oxford Economics'!$B$7:$B$1000,Settings!$B$11)-SUMIFS(INDEX('Oxford Economics'!$A$7:$AZ$1000,0,IFERROR(MATCH(AH$5,'Oxford Economics'!$A$6:$AZ$6,0),MATCH(AH$5&amp;"",'Oxford Economics'!$A$6:$AZ$6,0))),'Oxford Economics'!$A$7:$A$1000,$C12,'Oxford Economics'!$B$7:$B$1000,Settings!$B$13),SUMIFS(INDEX('Oxford Economics'!$A$7:$AZ$1000,0,IFERROR(MATCH(AH$5,'Oxford Economics'!$A$6:$AZ$6,0),MATCH(AH$5&amp;"",'Oxford Economics'!$A$6:$AZ$6,0))),'Oxford Economics'!$A$7:$A$1000,$C12,'Oxford Economics'!$B$7:$B$1000,Settings!$B$13)+SUMIFS(INDEX('Oxford Economics'!$A$7:$AZ$1000,0,IFERROR(MATCH(AH$5,'Oxford Economics'!$A$6:$AZ$6,0),MATCH(AH$5&amp;"",'Oxford Economics'!$A$6:$AZ$6,0))),'Oxford Economics'!$A$7:$A$1000,$C12,'Oxford Economics'!$B$7:$B$1000,Settings!$B$15)+IF(Settings!$B$17="",0,SUMIFS(INDEX('Oxford Economics'!$A$7:$AZ$1000,0,IFERROR(MATCH(AH$5,'Oxford Economics'!$A$6:$AZ$6,0),MATCH(AH$5&amp;"",'Oxford Economics'!$A$6:$AZ$6,0))),'Oxford Economics'!$A$7:$A$1000,$C12,'Oxford Economics'!$B$7:$B$1000,Settings!$B$17)))),""))</f>
        <v>11584.94</v>
      </c>
      <c r="AI12" s="37" t="n">
        <f aca="false">IF($A12="","",IFERROR(1/(1/IF($B12="Residential",SUMIFS(INDEX('Oxford Economics'!$A$7:$AZ$1000,0,IFERROR(MATCH(AI$5,'Oxford Economics'!$A$6:$AZ$6,0),MATCH(AI$5&amp;"",'Oxford Economics'!$A$6:$AZ$6,0))),'Oxford Economics'!$A$7:$A$1000,$C12,'Oxford Economics'!$B$7:$B$1000,Settings!$B$11)-SUMIFS(INDEX('Oxford Economics'!$A$7:$AZ$1000,0,IFERROR(MATCH(AI$5,'Oxford Economics'!$A$6:$AZ$6,0),MATCH(AI$5&amp;"",'Oxford Economics'!$A$6:$AZ$6,0))),'Oxford Economics'!$A$7:$A$1000,$C12,'Oxford Economics'!$B$7:$B$1000,Settings!$B$13),SUMIFS(INDEX('Oxford Economics'!$A$7:$AZ$1000,0,IFERROR(MATCH(AI$5,'Oxford Economics'!$A$6:$AZ$6,0),MATCH(AI$5&amp;"",'Oxford Economics'!$A$6:$AZ$6,0))),'Oxford Economics'!$A$7:$A$1000,$C12,'Oxford Economics'!$B$7:$B$1000,Settings!$B$13)+SUMIFS(INDEX('Oxford Economics'!$A$7:$AZ$1000,0,IFERROR(MATCH(AI$5,'Oxford Economics'!$A$6:$AZ$6,0),MATCH(AI$5&amp;"",'Oxford Economics'!$A$6:$AZ$6,0))),'Oxford Economics'!$A$7:$A$1000,$C12,'Oxford Economics'!$B$7:$B$1000,Settings!$B$15)+IF(Settings!$B$17="",0,SUMIFS(INDEX('Oxford Economics'!$A$7:$AZ$1000,0,IFERROR(MATCH(AI$5,'Oxford Economics'!$A$6:$AZ$6,0),MATCH(AI$5&amp;"",'Oxford Economics'!$A$6:$AZ$6,0))),'Oxford Economics'!$A$7:$A$1000,$C12,'Oxford Economics'!$B$7:$B$1000,Settings!$B$17)))),""))</f>
        <v>11553.98</v>
      </c>
      <c r="AJ12" s="37" t="n">
        <f aca="false">IF($A12="","",IFERROR(1/(1/IF($B12="Residential",SUMIFS(INDEX('Oxford Economics'!$A$7:$AZ$1000,0,IFERROR(MATCH(AJ$5,'Oxford Economics'!$A$6:$AZ$6,0),MATCH(AJ$5&amp;"",'Oxford Economics'!$A$6:$AZ$6,0))),'Oxford Economics'!$A$7:$A$1000,$C12,'Oxford Economics'!$B$7:$B$1000,Settings!$B$11)-SUMIFS(INDEX('Oxford Economics'!$A$7:$AZ$1000,0,IFERROR(MATCH(AJ$5,'Oxford Economics'!$A$6:$AZ$6,0),MATCH(AJ$5&amp;"",'Oxford Economics'!$A$6:$AZ$6,0))),'Oxford Economics'!$A$7:$A$1000,$C12,'Oxford Economics'!$B$7:$B$1000,Settings!$B$13),SUMIFS(INDEX('Oxford Economics'!$A$7:$AZ$1000,0,IFERROR(MATCH(AJ$5,'Oxford Economics'!$A$6:$AZ$6,0),MATCH(AJ$5&amp;"",'Oxford Economics'!$A$6:$AZ$6,0))),'Oxford Economics'!$A$7:$A$1000,$C12,'Oxford Economics'!$B$7:$B$1000,Settings!$B$13)+SUMIFS(INDEX('Oxford Economics'!$A$7:$AZ$1000,0,IFERROR(MATCH(AJ$5,'Oxford Economics'!$A$6:$AZ$6,0),MATCH(AJ$5&amp;"",'Oxford Economics'!$A$6:$AZ$6,0))),'Oxford Economics'!$A$7:$A$1000,$C12,'Oxford Economics'!$B$7:$B$1000,Settings!$B$15)+IF(Settings!$B$17="",0,SUMIFS(INDEX('Oxford Economics'!$A$7:$AZ$1000,0,IFERROR(MATCH(AJ$5,'Oxford Economics'!$A$6:$AZ$6,0),MATCH(AJ$5&amp;"",'Oxford Economics'!$A$6:$AZ$6,0))),'Oxford Economics'!$A$7:$A$1000,$C12,'Oxford Economics'!$B$7:$B$1000,Settings!$B$17)))),""))</f>
        <v>11824.56</v>
      </c>
      <c r="AK12" s="37" t="n">
        <f aca="false">IF($A12="","",IFERROR(1/(1/IF($B12="Residential",SUMIFS(INDEX('Oxford Economics'!$A$7:$AZ$1000,0,IFERROR(MATCH(AK$5,'Oxford Economics'!$A$6:$AZ$6,0),MATCH(AK$5&amp;"",'Oxford Economics'!$A$6:$AZ$6,0))),'Oxford Economics'!$A$7:$A$1000,$C12,'Oxford Economics'!$B$7:$B$1000,Settings!$B$11)-SUMIFS(INDEX('Oxford Economics'!$A$7:$AZ$1000,0,IFERROR(MATCH(AK$5,'Oxford Economics'!$A$6:$AZ$6,0),MATCH(AK$5&amp;"",'Oxford Economics'!$A$6:$AZ$6,0))),'Oxford Economics'!$A$7:$A$1000,$C12,'Oxford Economics'!$B$7:$B$1000,Settings!$B$13),SUMIFS(INDEX('Oxford Economics'!$A$7:$AZ$1000,0,IFERROR(MATCH(AK$5,'Oxford Economics'!$A$6:$AZ$6,0),MATCH(AK$5&amp;"",'Oxford Economics'!$A$6:$AZ$6,0))),'Oxford Economics'!$A$7:$A$1000,$C12,'Oxford Economics'!$B$7:$B$1000,Settings!$B$13)+SUMIFS(INDEX('Oxford Economics'!$A$7:$AZ$1000,0,IFERROR(MATCH(AK$5,'Oxford Economics'!$A$6:$AZ$6,0),MATCH(AK$5&amp;"",'Oxford Economics'!$A$6:$AZ$6,0))),'Oxford Economics'!$A$7:$A$1000,$C12,'Oxford Economics'!$B$7:$B$1000,Settings!$B$15)+IF(Settings!$B$17="",0,SUMIFS(INDEX('Oxford Economics'!$A$7:$AZ$1000,0,IFERROR(MATCH(AK$5,'Oxford Economics'!$A$6:$AZ$6,0),MATCH(AK$5&amp;"",'Oxford Economics'!$A$6:$AZ$6,0))),'Oxford Economics'!$A$7:$A$1000,$C12,'Oxford Economics'!$B$7:$B$1000,Settings!$B$17)))),""))</f>
        <v>12152.93</v>
      </c>
      <c r="AL12" s="37" t="n">
        <f aca="false">IF($A12="","",IFERROR(1/(1/IF($B12="Residential",SUMIFS(INDEX('Oxford Economics'!$A$7:$AZ$1000,0,IFERROR(MATCH(AL$5,'Oxford Economics'!$A$6:$AZ$6,0),MATCH(AL$5&amp;"",'Oxford Economics'!$A$6:$AZ$6,0))),'Oxford Economics'!$A$7:$A$1000,$C12,'Oxford Economics'!$B$7:$B$1000,Settings!$B$11)-SUMIFS(INDEX('Oxford Economics'!$A$7:$AZ$1000,0,IFERROR(MATCH(AL$5,'Oxford Economics'!$A$6:$AZ$6,0),MATCH(AL$5&amp;"",'Oxford Economics'!$A$6:$AZ$6,0))),'Oxford Economics'!$A$7:$A$1000,$C12,'Oxford Economics'!$B$7:$B$1000,Settings!$B$13),SUMIFS(INDEX('Oxford Economics'!$A$7:$AZ$1000,0,IFERROR(MATCH(AL$5,'Oxford Economics'!$A$6:$AZ$6,0),MATCH(AL$5&amp;"",'Oxford Economics'!$A$6:$AZ$6,0))),'Oxford Economics'!$A$7:$A$1000,$C12,'Oxford Economics'!$B$7:$B$1000,Settings!$B$13)+SUMIFS(INDEX('Oxford Economics'!$A$7:$AZ$1000,0,IFERROR(MATCH(AL$5,'Oxford Economics'!$A$6:$AZ$6,0),MATCH(AL$5&amp;"",'Oxford Economics'!$A$6:$AZ$6,0))),'Oxford Economics'!$A$7:$A$1000,$C12,'Oxford Economics'!$B$7:$B$1000,Settings!$B$15)+IF(Settings!$B$17="",0,SUMIFS(INDEX('Oxford Economics'!$A$7:$AZ$1000,0,IFERROR(MATCH(AL$5,'Oxford Economics'!$A$6:$AZ$6,0),MATCH(AL$5&amp;"",'Oxford Economics'!$A$6:$AZ$6,0))),'Oxford Economics'!$A$7:$A$1000,$C12,'Oxford Economics'!$B$7:$B$1000,Settings!$B$17)))),""))</f>
        <v>12475.73</v>
      </c>
      <c r="AM12" s="37" t="n">
        <f aca="false">IF($A12="","",IFERROR(1/(1/IF($B12="Residential",SUMIFS(INDEX('Oxford Economics'!$A$7:$AZ$1000,0,IFERROR(MATCH(AM$5,'Oxford Economics'!$A$6:$AZ$6,0),MATCH(AM$5&amp;"",'Oxford Economics'!$A$6:$AZ$6,0))),'Oxford Economics'!$A$7:$A$1000,$C12,'Oxford Economics'!$B$7:$B$1000,Settings!$B$11)-SUMIFS(INDEX('Oxford Economics'!$A$7:$AZ$1000,0,IFERROR(MATCH(AM$5,'Oxford Economics'!$A$6:$AZ$6,0),MATCH(AM$5&amp;"",'Oxford Economics'!$A$6:$AZ$6,0))),'Oxford Economics'!$A$7:$A$1000,$C12,'Oxford Economics'!$B$7:$B$1000,Settings!$B$13),SUMIFS(INDEX('Oxford Economics'!$A$7:$AZ$1000,0,IFERROR(MATCH(AM$5,'Oxford Economics'!$A$6:$AZ$6,0),MATCH(AM$5&amp;"",'Oxford Economics'!$A$6:$AZ$6,0))),'Oxford Economics'!$A$7:$A$1000,$C12,'Oxford Economics'!$B$7:$B$1000,Settings!$B$13)+SUMIFS(INDEX('Oxford Economics'!$A$7:$AZ$1000,0,IFERROR(MATCH(AM$5,'Oxford Economics'!$A$6:$AZ$6,0),MATCH(AM$5&amp;"",'Oxford Economics'!$A$6:$AZ$6,0))),'Oxford Economics'!$A$7:$A$1000,$C12,'Oxford Economics'!$B$7:$B$1000,Settings!$B$15)+IF(Settings!$B$17="",0,SUMIFS(INDEX('Oxford Economics'!$A$7:$AZ$1000,0,IFERROR(MATCH(AM$5,'Oxford Economics'!$A$6:$AZ$6,0),MATCH(AM$5&amp;"",'Oxford Economics'!$A$6:$AZ$6,0))),'Oxford Economics'!$A$7:$A$1000,$C12,'Oxford Economics'!$B$7:$B$1000,Settings!$B$17)))),""))</f>
        <v>12756.4</v>
      </c>
    </row>
    <row r="13" customFormat="false" ht="15" hidden="false" customHeight="false" outlineLevel="0" collapsed="false">
      <c r="A13" s="36" t="str">
        <f aca="false">IF('Raw data'!$A13="","",'Raw data'!$A13)</f>
        <v>Netherlands</v>
      </c>
      <c r="B13" s="36" t="str">
        <f aca="false">IF($A13="","",'Raw data'!$C13)</f>
        <v>Commercial</v>
      </c>
      <c r="C13" s="36" t="str">
        <f aca="false">IF($A13="","",IF('Raw data'!$D13="",$A13,'Raw data'!$D13))</f>
        <v>Netherlands</v>
      </c>
      <c r="D13" s="37" t="n">
        <f aca="false">IF($A13="","",IF(AND(ISNUMBER(P13),ISNUMBER(AB13)),P13+AB13,""))</f>
        <v>21787.12</v>
      </c>
      <c r="E13" s="37" t="n">
        <f aca="false">IF($A13="","",IF(AND(ISNUMBER(Q13),ISNUMBER(AC13)),Q13+AC13,""))</f>
        <v>22854</v>
      </c>
      <c r="F13" s="37" t="n">
        <f aca="false">IF($A13="","",IF(AND(ISNUMBER(R13),ISNUMBER(AD13)),R13+AD13,""))</f>
        <v>24521.4</v>
      </c>
      <c r="G13" s="37" t="n">
        <f aca="false">IF($A13="","",IF(AND(ISNUMBER(S13),ISNUMBER(AE13)),S13+AE13,""))</f>
        <v>24951.67</v>
      </c>
      <c r="H13" s="37" t="n">
        <f aca="false">IF($A13="","",IF(AND(ISNUMBER(T13),ISNUMBER(AF13)),T13+AF13,""))</f>
        <v>24357.49</v>
      </c>
      <c r="I13" s="37" t="n">
        <f aca="false">IF($A13="","",IF(AND(ISNUMBER(U13),ISNUMBER(AG13)),U13+AG13,""))</f>
        <v>24549.72</v>
      </c>
      <c r="J13" s="37" t="n">
        <f aca="false">IF($A13="","",IF(AND(ISNUMBER(V13),ISNUMBER(AH13)),V13+AH13,""))</f>
        <v>25206.79</v>
      </c>
      <c r="K13" s="37" t="n">
        <f aca="false">IF($A13="","",IF(AND(ISNUMBER(W13),ISNUMBER(AI13)),W13+AI13,""))</f>
        <v>25727.33</v>
      </c>
      <c r="L13" s="37" t="n">
        <f aca="false">IF($A13="","",IF(AND(ISNUMBER(X13),ISNUMBER(AJ13)),X13+AJ13,""))</f>
        <v>26569.27</v>
      </c>
      <c r="M13" s="37" t="n">
        <f aca="false">IF($A13="","",IF(AND(ISNUMBER(Y13),ISNUMBER(AK13)),Y13+AK13,""))</f>
        <v>27554.26</v>
      </c>
      <c r="N13" s="37" t="n">
        <f aca="false">IF($A13="","",IF(AND(ISNUMBER(Z13),ISNUMBER(AL13)),Z13+AL13,""))</f>
        <v>28415.94</v>
      </c>
      <c r="O13" s="37" t="n">
        <f aca="false">IF($A13="","",IF(AND(ISNUMBER(AA13),ISNUMBER(AM13)),AA13+AM13,""))</f>
        <v>29067.96</v>
      </c>
      <c r="P13" s="37" t="n">
        <f aca="false">IF($A13="","",IFERROR(1/(1/IF($B13="Residential",SUMIFS(INDEX('Oxford Economics'!$A$7:$AZ$1000,0,IFERROR(MATCH(P$5,'Oxford Economics'!$A$6:$AZ$6,0),MATCH(P$5&amp;"",'Oxford Economics'!$A$6:$AZ$6,0))),'Oxford Economics'!$A$7:$A$1000,$C13,'Oxford Economics'!$B$7:$B$1000,Settings!$B$12)-SUMIFS(INDEX('Oxford Economics'!$A$7:$AZ$1000,0,IFERROR(MATCH(P$5,'Oxford Economics'!$A$6:$AZ$6,0),MATCH(P$5&amp;"",'Oxford Economics'!$A$6:$AZ$6,0))),'Oxford Economics'!$A$7:$A$1000,$C13,'Oxford Economics'!$B$7:$B$1000,Settings!$B$14),SUMIFS(INDEX('Oxford Economics'!$A$7:$AZ$1000,0,IFERROR(MATCH(P$5,'Oxford Economics'!$A$6:$AZ$6,0),MATCH(P$5&amp;"",'Oxford Economics'!$A$6:$AZ$6,0))),'Oxford Economics'!$A$7:$A$1000,$C13,'Oxford Economics'!$B$7:$B$1000,Settings!$B$14)+SUMIFS(INDEX('Oxford Economics'!$A$7:$AZ$1000,0,IFERROR(MATCH(P$5,'Oxford Economics'!$A$6:$AZ$6,0),MATCH(P$5&amp;"",'Oxford Economics'!$A$6:$AZ$6,0))),'Oxford Economics'!$A$7:$A$1000,$C13,'Oxford Economics'!$B$7:$B$1000,Settings!$B$16)+IF(Settings!$B$18="",0,SUMIFS(INDEX('Oxford Economics'!$A$7:$AZ$1000,0,IFERROR(MATCH(P$5,'Oxford Economics'!$A$6:$AZ$6,0),MATCH(P$5&amp;"",'Oxford Economics'!$A$6:$AZ$6,0))),'Oxford Economics'!$A$7:$A$1000,$C13,'Oxford Economics'!$B$7:$B$1000,Settings!$B$18)))),""))</f>
        <v>10197.14</v>
      </c>
      <c r="Q13" s="37" t="n">
        <f aca="false">IF($A13="","",IFERROR(1/(1/IF($B13="Residential",SUMIFS(INDEX('Oxford Economics'!$A$7:$AZ$1000,0,IFERROR(MATCH(Q$5,'Oxford Economics'!$A$6:$AZ$6,0),MATCH(Q$5&amp;"",'Oxford Economics'!$A$6:$AZ$6,0))),'Oxford Economics'!$A$7:$A$1000,$C13,'Oxford Economics'!$B$7:$B$1000,Settings!$B$12)-SUMIFS(INDEX('Oxford Economics'!$A$7:$AZ$1000,0,IFERROR(MATCH(Q$5,'Oxford Economics'!$A$6:$AZ$6,0),MATCH(Q$5&amp;"",'Oxford Economics'!$A$6:$AZ$6,0))),'Oxford Economics'!$A$7:$A$1000,$C13,'Oxford Economics'!$B$7:$B$1000,Settings!$B$14),SUMIFS(INDEX('Oxford Economics'!$A$7:$AZ$1000,0,IFERROR(MATCH(Q$5,'Oxford Economics'!$A$6:$AZ$6,0),MATCH(Q$5&amp;"",'Oxford Economics'!$A$6:$AZ$6,0))),'Oxford Economics'!$A$7:$A$1000,$C13,'Oxford Economics'!$B$7:$B$1000,Settings!$B$14)+SUMIFS(INDEX('Oxford Economics'!$A$7:$AZ$1000,0,IFERROR(MATCH(Q$5,'Oxford Economics'!$A$6:$AZ$6,0),MATCH(Q$5&amp;"",'Oxford Economics'!$A$6:$AZ$6,0))),'Oxford Economics'!$A$7:$A$1000,$C13,'Oxford Economics'!$B$7:$B$1000,Settings!$B$16)+IF(Settings!$B$18="",0,SUMIFS(INDEX('Oxford Economics'!$A$7:$AZ$1000,0,IFERROR(MATCH(Q$5,'Oxford Economics'!$A$6:$AZ$6,0),MATCH(Q$5&amp;"",'Oxford Economics'!$A$6:$AZ$6,0))),'Oxford Economics'!$A$7:$A$1000,$C13,'Oxford Economics'!$B$7:$B$1000,Settings!$B$18)))),""))</f>
        <v>9893.21</v>
      </c>
      <c r="R13" s="37" t="n">
        <f aca="false">IF($A13="","",IFERROR(1/(1/IF($B13="Residential",SUMIFS(INDEX('Oxford Economics'!$A$7:$AZ$1000,0,IFERROR(MATCH(R$5,'Oxford Economics'!$A$6:$AZ$6,0),MATCH(R$5&amp;"",'Oxford Economics'!$A$6:$AZ$6,0))),'Oxford Economics'!$A$7:$A$1000,$C13,'Oxford Economics'!$B$7:$B$1000,Settings!$B$12)-SUMIFS(INDEX('Oxford Economics'!$A$7:$AZ$1000,0,IFERROR(MATCH(R$5,'Oxford Economics'!$A$6:$AZ$6,0),MATCH(R$5&amp;"",'Oxford Economics'!$A$6:$AZ$6,0))),'Oxford Economics'!$A$7:$A$1000,$C13,'Oxford Economics'!$B$7:$B$1000,Settings!$B$14),SUMIFS(INDEX('Oxford Economics'!$A$7:$AZ$1000,0,IFERROR(MATCH(R$5,'Oxford Economics'!$A$6:$AZ$6,0),MATCH(R$5&amp;"",'Oxford Economics'!$A$6:$AZ$6,0))),'Oxford Economics'!$A$7:$A$1000,$C13,'Oxford Economics'!$B$7:$B$1000,Settings!$B$14)+SUMIFS(INDEX('Oxford Economics'!$A$7:$AZ$1000,0,IFERROR(MATCH(R$5,'Oxford Economics'!$A$6:$AZ$6,0),MATCH(R$5&amp;"",'Oxford Economics'!$A$6:$AZ$6,0))),'Oxford Economics'!$A$7:$A$1000,$C13,'Oxford Economics'!$B$7:$B$1000,Settings!$B$16)+IF(Settings!$B$18="",0,SUMIFS(INDEX('Oxford Economics'!$A$7:$AZ$1000,0,IFERROR(MATCH(R$5,'Oxford Economics'!$A$6:$AZ$6,0),MATCH(R$5&amp;"",'Oxford Economics'!$A$6:$AZ$6,0))),'Oxford Economics'!$A$7:$A$1000,$C13,'Oxford Economics'!$B$7:$B$1000,Settings!$B$18)))),""))</f>
        <v>10252.18</v>
      </c>
      <c r="S13" s="37" t="n">
        <f aca="false">IF($A13="","",IFERROR(1/(1/IF($B13="Residential",SUMIFS(INDEX('Oxford Economics'!$A$7:$AZ$1000,0,IFERROR(MATCH(S$5,'Oxford Economics'!$A$6:$AZ$6,0),MATCH(S$5&amp;"",'Oxford Economics'!$A$6:$AZ$6,0))),'Oxford Economics'!$A$7:$A$1000,$C13,'Oxford Economics'!$B$7:$B$1000,Settings!$B$12)-SUMIFS(INDEX('Oxford Economics'!$A$7:$AZ$1000,0,IFERROR(MATCH(S$5,'Oxford Economics'!$A$6:$AZ$6,0),MATCH(S$5&amp;"",'Oxford Economics'!$A$6:$AZ$6,0))),'Oxford Economics'!$A$7:$A$1000,$C13,'Oxford Economics'!$B$7:$B$1000,Settings!$B$14),SUMIFS(INDEX('Oxford Economics'!$A$7:$AZ$1000,0,IFERROR(MATCH(S$5,'Oxford Economics'!$A$6:$AZ$6,0),MATCH(S$5&amp;"",'Oxford Economics'!$A$6:$AZ$6,0))),'Oxford Economics'!$A$7:$A$1000,$C13,'Oxford Economics'!$B$7:$B$1000,Settings!$B$14)+SUMIFS(INDEX('Oxford Economics'!$A$7:$AZ$1000,0,IFERROR(MATCH(S$5,'Oxford Economics'!$A$6:$AZ$6,0),MATCH(S$5&amp;"",'Oxford Economics'!$A$6:$AZ$6,0))),'Oxford Economics'!$A$7:$A$1000,$C13,'Oxford Economics'!$B$7:$B$1000,Settings!$B$16)+IF(Settings!$B$18="",0,SUMIFS(INDEX('Oxford Economics'!$A$7:$AZ$1000,0,IFERROR(MATCH(S$5,'Oxford Economics'!$A$6:$AZ$6,0),MATCH(S$5&amp;"",'Oxford Economics'!$A$6:$AZ$6,0))),'Oxford Economics'!$A$7:$A$1000,$C13,'Oxford Economics'!$B$7:$B$1000,Settings!$B$18)))),""))</f>
        <v>10040.45</v>
      </c>
      <c r="T13" s="37" t="n">
        <f aca="false">IF($A13="","",IFERROR(1/(1/IF($B13="Residential",SUMIFS(INDEX('Oxford Economics'!$A$7:$AZ$1000,0,IFERROR(MATCH(T$5,'Oxford Economics'!$A$6:$AZ$6,0),MATCH(T$5&amp;"",'Oxford Economics'!$A$6:$AZ$6,0))),'Oxford Economics'!$A$7:$A$1000,$C13,'Oxford Economics'!$B$7:$B$1000,Settings!$B$12)-SUMIFS(INDEX('Oxford Economics'!$A$7:$AZ$1000,0,IFERROR(MATCH(T$5,'Oxford Economics'!$A$6:$AZ$6,0),MATCH(T$5&amp;"",'Oxford Economics'!$A$6:$AZ$6,0))),'Oxford Economics'!$A$7:$A$1000,$C13,'Oxford Economics'!$B$7:$B$1000,Settings!$B$14),SUMIFS(INDEX('Oxford Economics'!$A$7:$AZ$1000,0,IFERROR(MATCH(T$5,'Oxford Economics'!$A$6:$AZ$6,0),MATCH(T$5&amp;"",'Oxford Economics'!$A$6:$AZ$6,0))),'Oxford Economics'!$A$7:$A$1000,$C13,'Oxford Economics'!$B$7:$B$1000,Settings!$B$14)+SUMIFS(INDEX('Oxford Economics'!$A$7:$AZ$1000,0,IFERROR(MATCH(T$5,'Oxford Economics'!$A$6:$AZ$6,0),MATCH(T$5&amp;"",'Oxford Economics'!$A$6:$AZ$6,0))),'Oxford Economics'!$A$7:$A$1000,$C13,'Oxford Economics'!$B$7:$B$1000,Settings!$B$16)+IF(Settings!$B$18="",0,SUMIFS(INDEX('Oxford Economics'!$A$7:$AZ$1000,0,IFERROR(MATCH(T$5,'Oxford Economics'!$A$6:$AZ$6,0),MATCH(T$5&amp;"",'Oxford Economics'!$A$6:$AZ$6,0))),'Oxford Economics'!$A$7:$A$1000,$C13,'Oxford Economics'!$B$7:$B$1000,Settings!$B$18)))),""))</f>
        <v>10456.64</v>
      </c>
      <c r="U13" s="37" t="n">
        <f aca="false">IF($A13="","",IFERROR(1/(1/IF($B13="Residential",SUMIFS(INDEX('Oxford Economics'!$A$7:$AZ$1000,0,IFERROR(MATCH(U$5,'Oxford Economics'!$A$6:$AZ$6,0),MATCH(U$5&amp;"",'Oxford Economics'!$A$6:$AZ$6,0))),'Oxford Economics'!$A$7:$A$1000,$C13,'Oxford Economics'!$B$7:$B$1000,Settings!$B$12)-SUMIFS(INDEX('Oxford Economics'!$A$7:$AZ$1000,0,IFERROR(MATCH(U$5,'Oxford Economics'!$A$6:$AZ$6,0),MATCH(U$5&amp;"",'Oxford Economics'!$A$6:$AZ$6,0))),'Oxford Economics'!$A$7:$A$1000,$C13,'Oxford Economics'!$B$7:$B$1000,Settings!$B$14),SUMIFS(INDEX('Oxford Economics'!$A$7:$AZ$1000,0,IFERROR(MATCH(U$5,'Oxford Economics'!$A$6:$AZ$6,0),MATCH(U$5&amp;"",'Oxford Economics'!$A$6:$AZ$6,0))),'Oxford Economics'!$A$7:$A$1000,$C13,'Oxford Economics'!$B$7:$B$1000,Settings!$B$14)+SUMIFS(INDEX('Oxford Economics'!$A$7:$AZ$1000,0,IFERROR(MATCH(U$5,'Oxford Economics'!$A$6:$AZ$6,0),MATCH(U$5&amp;"",'Oxford Economics'!$A$6:$AZ$6,0))),'Oxford Economics'!$A$7:$A$1000,$C13,'Oxford Economics'!$B$7:$B$1000,Settings!$B$16)+IF(Settings!$B$18="",0,SUMIFS(INDEX('Oxford Economics'!$A$7:$AZ$1000,0,IFERROR(MATCH(U$5,'Oxford Economics'!$A$6:$AZ$6,0),MATCH(U$5&amp;"",'Oxford Economics'!$A$6:$AZ$6,0))),'Oxford Economics'!$A$7:$A$1000,$C13,'Oxford Economics'!$B$7:$B$1000,Settings!$B$18)))),""))</f>
        <v>10555.11</v>
      </c>
      <c r="V13" s="37" t="n">
        <f aca="false">IF($A13="","",IFERROR(1/(1/IF($B13="Residential",SUMIFS(INDEX('Oxford Economics'!$A$7:$AZ$1000,0,IFERROR(MATCH(V$5,'Oxford Economics'!$A$6:$AZ$6,0),MATCH(V$5&amp;"",'Oxford Economics'!$A$6:$AZ$6,0))),'Oxford Economics'!$A$7:$A$1000,$C13,'Oxford Economics'!$B$7:$B$1000,Settings!$B$12)-SUMIFS(INDEX('Oxford Economics'!$A$7:$AZ$1000,0,IFERROR(MATCH(V$5,'Oxford Economics'!$A$6:$AZ$6,0),MATCH(V$5&amp;"",'Oxford Economics'!$A$6:$AZ$6,0))),'Oxford Economics'!$A$7:$A$1000,$C13,'Oxford Economics'!$B$7:$B$1000,Settings!$B$14),SUMIFS(INDEX('Oxford Economics'!$A$7:$AZ$1000,0,IFERROR(MATCH(V$5,'Oxford Economics'!$A$6:$AZ$6,0),MATCH(V$5&amp;"",'Oxford Economics'!$A$6:$AZ$6,0))),'Oxford Economics'!$A$7:$A$1000,$C13,'Oxford Economics'!$B$7:$B$1000,Settings!$B$14)+SUMIFS(INDEX('Oxford Economics'!$A$7:$AZ$1000,0,IFERROR(MATCH(V$5,'Oxford Economics'!$A$6:$AZ$6,0),MATCH(V$5&amp;"",'Oxford Economics'!$A$6:$AZ$6,0))),'Oxford Economics'!$A$7:$A$1000,$C13,'Oxford Economics'!$B$7:$B$1000,Settings!$B$16)+IF(Settings!$B$18="",0,SUMIFS(INDEX('Oxford Economics'!$A$7:$AZ$1000,0,IFERROR(MATCH(V$5,'Oxford Economics'!$A$6:$AZ$6,0),MATCH(V$5&amp;"",'Oxford Economics'!$A$6:$AZ$6,0))),'Oxford Economics'!$A$7:$A$1000,$C13,'Oxford Economics'!$B$7:$B$1000,Settings!$B$18)))),""))</f>
        <v>10821.9</v>
      </c>
      <c r="W13" s="37" t="n">
        <f aca="false">IF($A13="","",IFERROR(1/(1/IF($B13="Residential",SUMIFS(INDEX('Oxford Economics'!$A$7:$AZ$1000,0,IFERROR(MATCH(W$5,'Oxford Economics'!$A$6:$AZ$6,0),MATCH(W$5&amp;"",'Oxford Economics'!$A$6:$AZ$6,0))),'Oxford Economics'!$A$7:$A$1000,$C13,'Oxford Economics'!$B$7:$B$1000,Settings!$B$12)-SUMIFS(INDEX('Oxford Economics'!$A$7:$AZ$1000,0,IFERROR(MATCH(W$5,'Oxford Economics'!$A$6:$AZ$6,0),MATCH(W$5&amp;"",'Oxford Economics'!$A$6:$AZ$6,0))),'Oxford Economics'!$A$7:$A$1000,$C13,'Oxford Economics'!$B$7:$B$1000,Settings!$B$14),SUMIFS(INDEX('Oxford Economics'!$A$7:$AZ$1000,0,IFERROR(MATCH(W$5,'Oxford Economics'!$A$6:$AZ$6,0),MATCH(W$5&amp;"",'Oxford Economics'!$A$6:$AZ$6,0))),'Oxford Economics'!$A$7:$A$1000,$C13,'Oxford Economics'!$B$7:$B$1000,Settings!$B$14)+SUMIFS(INDEX('Oxford Economics'!$A$7:$AZ$1000,0,IFERROR(MATCH(W$5,'Oxford Economics'!$A$6:$AZ$6,0),MATCH(W$5&amp;"",'Oxford Economics'!$A$6:$AZ$6,0))),'Oxford Economics'!$A$7:$A$1000,$C13,'Oxford Economics'!$B$7:$B$1000,Settings!$B$16)+IF(Settings!$B$18="",0,SUMIFS(INDEX('Oxford Economics'!$A$7:$AZ$1000,0,IFERROR(MATCH(W$5,'Oxford Economics'!$A$6:$AZ$6,0),MATCH(W$5&amp;"",'Oxford Economics'!$A$6:$AZ$6,0))),'Oxford Economics'!$A$7:$A$1000,$C13,'Oxford Economics'!$B$7:$B$1000,Settings!$B$18)))),""))</f>
        <v>11101.09</v>
      </c>
      <c r="X13" s="37" t="n">
        <f aca="false">IF($A13="","",IFERROR(1/(1/IF($B13="Residential",SUMIFS(INDEX('Oxford Economics'!$A$7:$AZ$1000,0,IFERROR(MATCH(X$5,'Oxford Economics'!$A$6:$AZ$6,0),MATCH(X$5&amp;"",'Oxford Economics'!$A$6:$AZ$6,0))),'Oxford Economics'!$A$7:$A$1000,$C13,'Oxford Economics'!$B$7:$B$1000,Settings!$B$12)-SUMIFS(INDEX('Oxford Economics'!$A$7:$AZ$1000,0,IFERROR(MATCH(X$5,'Oxford Economics'!$A$6:$AZ$6,0),MATCH(X$5&amp;"",'Oxford Economics'!$A$6:$AZ$6,0))),'Oxford Economics'!$A$7:$A$1000,$C13,'Oxford Economics'!$B$7:$B$1000,Settings!$B$14),SUMIFS(INDEX('Oxford Economics'!$A$7:$AZ$1000,0,IFERROR(MATCH(X$5,'Oxford Economics'!$A$6:$AZ$6,0),MATCH(X$5&amp;"",'Oxford Economics'!$A$6:$AZ$6,0))),'Oxford Economics'!$A$7:$A$1000,$C13,'Oxford Economics'!$B$7:$B$1000,Settings!$B$14)+SUMIFS(INDEX('Oxford Economics'!$A$7:$AZ$1000,0,IFERROR(MATCH(X$5,'Oxford Economics'!$A$6:$AZ$6,0),MATCH(X$5&amp;"",'Oxford Economics'!$A$6:$AZ$6,0))),'Oxford Economics'!$A$7:$A$1000,$C13,'Oxford Economics'!$B$7:$B$1000,Settings!$B$16)+IF(Settings!$B$18="",0,SUMIFS(INDEX('Oxford Economics'!$A$7:$AZ$1000,0,IFERROR(MATCH(X$5,'Oxford Economics'!$A$6:$AZ$6,0),MATCH(X$5&amp;"",'Oxford Economics'!$A$6:$AZ$6,0))),'Oxford Economics'!$A$7:$A$1000,$C13,'Oxford Economics'!$B$7:$B$1000,Settings!$B$18)))),""))</f>
        <v>11619.29</v>
      </c>
      <c r="Y13" s="37" t="n">
        <f aca="false">IF($A13="","",IFERROR(1/(1/IF($B13="Residential",SUMIFS(INDEX('Oxford Economics'!$A$7:$AZ$1000,0,IFERROR(MATCH(Y$5,'Oxford Economics'!$A$6:$AZ$6,0),MATCH(Y$5&amp;"",'Oxford Economics'!$A$6:$AZ$6,0))),'Oxford Economics'!$A$7:$A$1000,$C13,'Oxford Economics'!$B$7:$B$1000,Settings!$B$12)-SUMIFS(INDEX('Oxford Economics'!$A$7:$AZ$1000,0,IFERROR(MATCH(Y$5,'Oxford Economics'!$A$6:$AZ$6,0),MATCH(Y$5&amp;"",'Oxford Economics'!$A$6:$AZ$6,0))),'Oxford Economics'!$A$7:$A$1000,$C13,'Oxford Economics'!$B$7:$B$1000,Settings!$B$14),SUMIFS(INDEX('Oxford Economics'!$A$7:$AZ$1000,0,IFERROR(MATCH(Y$5,'Oxford Economics'!$A$6:$AZ$6,0),MATCH(Y$5&amp;"",'Oxford Economics'!$A$6:$AZ$6,0))),'Oxford Economics'!$A$7:$A$1000,$C13,'Oxford Economics'!$B$7:$B$1000,Settings!$B$14)+SUMIFS(INDEX('Oxford Economics'!$A$7:$AZ$1000,0,IFERROR(MATCH(Y$5,'Oxford Economics'!$A$6:$AZ$6,0),MATCH(Y$5&amp;"",'Oxford Economics'!$A$6:$AZ$6,0))),'Oxford Economics'!$A$7:$A$1000,$C13,'Oxford Economics'!$B$7:$B$1000,Settings!$B$16)+IF(Settings!$B$18="",0,SUMIFS(INDEX('Oxford Economics'!$A$7:$AZ$1000,0,IFERROR(MATCH(Y$5,'Oxford Economics'!$A$6:$AZ$6,0),MATCH(Y$5&amp;"",'Oxford Economics'!$A$6:$AZ$6,0))),'Oxford Economics'!$A$7:$A$1000,$C13,'Oxford Economics'!$B$7:$B$1000,Settings!$B$18)))),""))</f>
        <v>12205.83</v>
      </c>
      <c r="Z13" s="37" t="n">
        <f aca="false">IF($A13="","",IFERROR(1/(1/IF($B13="Residential",SUMIFS(INDEX('Oxford Economics'!$A$7:$AZ$1000,0,IFERROR(MATCH(Z$5,'Oxford Economics'!$A$6:$AZ$6,0),MATCH(Z$5&amp;"",'Oxford Economics'!$A$6:$AZ$6,0))),'Oxford Economics'!$A$7:$A$1000,$C13,'Oxford Economics'!$B$7:$B$1000,Settings!$B$12)-SUMIFS(INDEX('Oxford Economics'!$A$7:$AZ$1000,0,IFERROR(MATCH(Z$5,'Oxford Economics'!$A$6:$AZ$6,0),MATCH(Z$5&amp;"",'Oxford Economics'!$A$6:$AZ$6,0))),'Oxford Economics'!$A$7:$A$1000,$C13,'Oxford Economics'!$B$7:$B$1000,Settings!$B$14),SUMIFS(INDEX('Oxford Economics'!$A$7:$AZ$1000,0,IFERROR(MATCH(Z$5,'Oxford Economics'!$A$6:$AZ$6,0),MATCH(Z$5&amp;"",'Oxford Economics'!$A$6:$AZ$6,0))),'Oxford Economics'!$A$7:$A$1000,$C13,'Oxford Economics'!$B$7:$B$1000,Settings!$B$14)+SUMIFS(INDEX('Oxford Economics'!$A$7:$AZ$1000,0,IFERROR(MATCH(Z$5,'Oxford Economics'!$A$6:$AZ$6,0),MATCH(Z$5&amp;"",'Oxford Economics'!$A$6:$AZ$6,0))),'Oxford Economics'!$A$7:$A$1000,$C13,'Oxford Economics'!$B$7:$B$1000,Settings!$B$16)+IF(Settings!$B$18="",0,SUMIFS(INDEX('Oxford Economics'!$A$7:$AZ$1000,0,IFERROR(MATCH(Z$5,'Oxford Economics'!$A$6:$AZ$6,0),MATCH(Z$5&amp;"",'Oxford Economics'!$A$6:$AZ$6,0))),'Oxford Economics'!$A$7:$A$1000,$C13,'Oxford Economics'!$B$7:$B$1000,Settings!$B$18)))),""))</f>
        <v>12672.85</v>
      </c>
      <c r="AA13" s="37" t="n">
        <f aca="false">IF($A13="","",IFERROR(1/(1/IF($B13="Residential",SUMIFS(INDEX('Oxford Economics'!$A$7:$AZ$1000,0,IFERROR(MATCH(AA$5,'Oxford Economics'!$A$6:$AZ$6,0),MATCH(AA$5&amp;"",'Oxford Economics'!$A$6:$AZ$6,0))),'Oxford Economics'!$A$7:$A$1000,$C13,'Oxford Economics'!$B$7:$B$1000,Settings!$B$12)-SUMIFS(INDEX('Oxford Economics'!$A$7:$AZ$1000,0,IFERROR(MATCH(AA$5,'Oxford Economics'!$A$6:$AZ$6,0),MATCH(AA$5&amp;"",'Oxford Economics'!$A$6:$AZ$6,0))),'Oxford Economics'!$A$7:$A$1000,$C13,'Oxford Economics'!$B$7:$B$1000,Settings!$B$14),SUMIFS(INDEX('Oxford Economics'!$A$7:$AZ$1000,0,IFERROR(MATCH(AA$5,'Oxford Economics'!$A$6:$AZ$6,0),MATCH(AA$5&amp;"",'Oxford Economics'!$A$6:$AZ$6,0))),'Oxford Economics'!$A$7:$A$1000,$C13,'Oxford Economics'!$B$7:$B$1000,Settings!$B$14)+SUMIFS(INDEX('Oxford Economics'!$A$7:$AZ$1000,0,IFERROR(MATCH(AA$5,'Oxford Economics'!$A$6:$AZ$6,0),MATCH(AA$5&amp;"",'Oxford Economics'!$A$6:$AZ$6,0))),'Oxford Economics'!$A$7:$A$1000,$C13,'Oxford Economics'!$B$7:$B$1000,Settings!$B$16)+IF(Settings!$B$18="",0,SUMIFS(INDEX('Oxford Economics'!$A$7:$AZ$1000,0,IFERROR(MATCH(AA$5,'Oxford Economics'!$A$6:$AZ$6,0),MATCH(AA$5&amp;"",'Oxford Economics'!$A$6:$AZ$6,0))),'Oxford Economics'!$A$7:$A$1000,$C13,'Oxford Economics'!$B$7:$B$1000,Settings!$B$18)))),""))</f>
        <v>13034.29</v>
      </c>
      <c r="AB13" s="37" t="n">
        <f aca="false">IF($A13="","",IFERROR(1/(1/IF($B13="Residential",SUMIFS(INDEX('Oxford Economics'!$A$7:$AZ$1000,0,IFERROR(MATCH(AB$5,'Oxford Economics'!$A$6:$AZ$6,0),MATCH(AB$5&amp;"",'Oxford Economics'!$A$6:$AZ$6,0))),'Oxford Economics'!$A$7:$A$1000,$C13,'Oxford Economics'!$B$7:$B$1000,Settings!$B$11)-SUMIFS(INDEX('Oxford Economics'!$A$7:$AZ$1000,0,IFERROR(MATCH(AB$5,'Oxford Economics'!$A$6:$AZ$6,0),MATCH(AB$5&amp;"",'Oxford Economics'!$A$6:$AZ$6,0))),'Oxford Economics'!$A$7:$A$1000,$C13,'Oxford Economics'!$B$7:$B$1000,Settings!$B$13),SUMIFS(INDEX('Oxford Economics'!$A$7:$AZ$1000,0,IFERROR(MATCH(AB$5,'Oxford Economics'!$A$6:$AZ$6,0),MATCH(AB$5&amp;"",'Oxford Economics'!$A$6:$AZ$6,0))),'Oxford Economics'!$A$7:$A$1000,$C13,'Oxford Economics'!$B$7:$B$1000,Settings!$B$13)+SUMIFS(INDEX('Oxford Economics'!$A$7:$AZ$1000,0,IFERROR(MATCH(AB$5,'Oxford Economics'!$A$6:$AZ$6,0),MATCH(AB$5&amp;"",'Oxford Economics'!$A$6:$AZ$6,0))),'Oxford Economics'!$A$7:$A$1000,$C13,'Oxford Economics'!$B$7:$B$1000,Settings!$B$15)+IF(Settings!$B$17="",0,SUMIFS(INDEX('Oxford Economics'!$A$7:$AZ$1000,0,IFERROR(MATCH(AB$5,'Oxford Economics'!$A$6:$AZ$6,0),MATCH(AB$5&amp;"",'Oxford Economics'!$A$6:$AZ$6,0))),'Oxford Economics'!$A$7:$A$1000,$C13,'Oxford Economics'!$B$7:$B$1000,Settings!$B$17)))),""))</f>
        <v>11589.98</v>
      </c>
      <c r="AC13" s="37" t="n">
        <f aca="false">IF($A13="","",IFERROR(1/(1/IF($B13="Residential",SUMIFS(INDEX('Oxford Economics'!$A$7:$AZ$1000,0,IFERROR(MATCH(AC$5,'Oxford Economics'!$A$6:$AZ$6,0),MATCH(AC$5&amp;"",'Oxford Economics'!$A$6:$AZ$6,0))),'Oxford Economics'!$A$7:$A$1000,$C13,'Oxford Economics'!$B$7:$B$1000,Settings!$B$11)-SUMIFS(INDEX('Oxford Economics'!$A$7:$AZ$1000,0,IFERROR(MATCH(AC$5,'Oxford Economics'!$A$6:$AZ$6,0),MATCH(AC$5&amp;"",'Oxford Economics'!$A$6:$AZ$6,0))),'Oxford Economics'!$A$7:$A$1000,$C13,'Oxford Economics'!$B$7:$B$1000,Settings!$B$13),SUMIFS(INDEX('Oxford Economics'!$A$7:$AZ$1000,0,IFERROR(MATCH(AC$5,'Oxford Economics'!$A$6:$AZ$6,0),MATCH(AC$5&amp;"",'Oxford Economics'!$A$6:$AZ$6,0))),'Oxford Economics'!$A$7:$A$1000,$C13,'Oxford Economics'!$B$7:$B$1000,Settings!$B$13)+SUMIFS(INDEX('Oxford Economics'!$A$7:$AZ$1000,0,IFERROR(MATCH(AC$5,'Oxford Economics'!$A$6:$AZ$6,0),MATCH(AC$5&amp;"",'Oxford Economics'!$A$6:$AZ$6,0))),'Oxford Economics'!$A$7:$A$1000,$C13,'Oxford Economics'!$B$7:$B$1000,Settings!$B$15)+IF(Settings!$B$17="",0,SUMIFS(INDEX('Oxford Economics'!$A$7:$AZ$1000,0,IFERROR(MATCH(AC$5,'Oxford Economics'!$A$6:$AZ$6,0),MATCH(AC$5&amp;"",'Oxford Economics'!$A$6:$AZ$6,0))),'Oxford Economics'!$A$7:$A$1000,$C13,'Oxford Economics'!$B$7:$B$1000,Settings!$B$17)))),""))</f>
        <v>12960.79</v>
      </c>
      <c r="AD13" s="37" t="n">
        <f aca="false">IF($A13="","",IFERROR(1/(1/IF($B13="Residential",SUMIFS(INDEX('Oxford Economics'!$A$7:$AZ$1000,0,IFERROR(MATCH(AD$5,'Oxford Economics'!$A$6:$AZ$6,0),MATCH(AD$5&amp;"",'Oxford Economics'!$A$6:$AZ$6,0))),'Oxford Economics'!$A$7:$A$1000,$C13,'Oxford Economics'!$B$7:$B$1000,Settings!$B$11)-SUMIFS(INDEX('Oxford Economics'!$A$7:$AZ$1000,0,IFERROR(MATCH(AD$5,'Oxford Economics'!$A$6:$AZ$6,0),MATCH(AD$5&amp;"",'Oxford Economics'!$A$6:$AZ$6,0))),'Oxford Economics'!$A$7:$A$1000,$C13,'Oxford Economics'!$B$7:$B$1000,Settings!$B$13),SUMIFS(INDEX('Oxford Economics'!$A$7:$AZ$1000,0,IFERROR(MATCH(AD$5,'Oxford Economics'!$A$6:$AZ$6,0),MATCH(AD$5&amp;"",'Oxford Economics'!$A$6:$AZ$6,0))),'Oxford Economics'!$A$7:$A$1000,$C13,'Oxford Economics'!$B$7:$B$1000,Settings!$B$13)+SUMIFS(INDEX('Oxford Economics'!$A$7:$AZ$1000,0,IFERROR(MATCH(AD$5,'Oxford Economics'!$A$6:$AZ$6,0),MATCH(AD$5&amp;"",'Oxford Economics'!$A$6:$AZ$6,0))),'Oxford Economics'!$A$7:$A$1000,$C13,'Oxford Economics'!$B$7:$B$1000,Settings!$B$15)+IF(Settings!$B$17="",0,SUMIFS(INDEX('Oxford Economics'!$A$7:$AZ$1000,0,IFERROR(MATCH(AD$5,'Oxford Economics'!$A$6:$AZ$6,0),MATCH(AD$5&amp;"",'Oxford Economics'!$A$6:$AZ$6,0))),'Oxford Economics'!$A$7:$A$1000,$C13,'Oxford Economics'!$B$7:$B$1000,Settings!$B$17)))),""))</f>
        <v>14269.22</v>
      </c>
      <c r="AE13" s="37" t="n">
        <f aca="false">IF($A13="","",IFERROR(1/(1/IF($B13="Residential",SUMIFS(INDEX('Oxford Economics'!$A$7:$AZ$1000,0,IFERROR(MATCH(AE$5,'Oxford Economics'!$A$6:$AZ$6,0),MATCH(AE$5&amp;"",'Oxford Economics'!$A$6:$AZ$6,0))),'Oxford Economics'!$A$7:$A$1000,$C13,'Oxford Economics'!$B$7:$B$1000,Settings!$B$11)-SUMIFS(INDEX('Oxford Economics'!$A$7:$AZ$1000,0,IFERROR(MATCH(AE$5,'Oxford Economics'!$A$6:$AZ$6,0),MATCH(AE$5&amp;"",'Oxford Economics'!$A$6:$AZ$6,0))),'Oxford Economics'!$A$7:$A$1000,$C13,'Oxford Economics'!$B$7:$B$1000,Settings!$B$13),SUMIFS(INDEX('Oxford Economics'!$A$7:$AZ$1000,0,IFERROR(MATCH(AE$5,'Oxford Economics'!$A$6:$AZ$6,0),MATCH(AE$5&amp;"",'Oxford Economics'!$A$6:$AZ$6,0))),'Oxford Economics'!$A$7:$A$1000,$C13,'Oxford Economics'!$B$7:$B$1000,Settings!$B$13)+SUMIFS(INDEX('Oxford Economics'!$A$7:$AZ$1000,0,IFERROR(MATCH(AE$5,'Oxford Economics'!$A$6:$AZ$6,0),MATCH(AE$5&amp;"",'Oxford Economics'!$A$6:$AZ$6,0))),'Oxford Economics'!$A$7:$A$1000,$C13,'Oxford Economics'!$B$7:$B$1000,Settings!$B$15)+IF(Settings!$B$17="",0,SUMIFS(INDEX('Oxford Economics'!$A$7:$AZ$1000,0,IFERROR(MATCH(AE$5,'Oxford Economics'!$A$6:$AZ$6,0),MATCH(AE$5&amp;"",'Oxford Economics'!$A$6:$AZ$6,0))),'Oxford Economics'!$A$7:$A$1000,$C13,'Oxford Economics'!$B$7:$B$1000,Settings!$B$17)))),""))</f>
        <v>14911.22</v>
      </c>
      <c r="AF13" s="37" t="n">
        <f aca="false">IF($A13="","",IFERROR(1/(1/IF($B13="Residential",SUMIFS(INDEX('Oxford Economics'!$A$7:$AZ$1000,0,IFERROR(MATCH(AF$5,'Oxford Economics'!$A$6:$AZ$6,0),MATCH(AF$5&amp;"",'Oxford Economics'!$A$6:$AZ$6,0))),'Oxford Economics'!$A$7:$A$1000,$C13,'Oxford Economics'!$B$7:$B$1000,Settings!$B$11)-SUMIFS(INDEX('Oxford Economics'!$A$7:$AZ$1000,0,IFERROR(MATCH(AF$5,'Oxford Economics'!$A$6:$AZ$6,0),MATCH(AF$5&amp;"",'Oxford Economics'!$A$6:$AZ$6,0))),'Oxford Economics'!$A$7:$A$1000,$C13,'Oxford Economics'!$B$7:$B$1000,Settings!$B$13),SUMIFS(INDEX('Oxford Economics'!$A$7:$AZ$1000,0,IFERROR(MATCH(AF$5,'Oxford Economics'!$A$6:$AZ$6,0),MATCH(AF$5&amp;"",'Oxford Economics'!$A$6:$AZ$6,0))),'Oxford Economics'!$A$7:$A$1000,$C13,'Oxford Economics'!$B$7:$B$1000,Settings!$B$13)+SUMIFS(INDEX('Oxford Economics'!$A$7:$AZ$1000,0,IFERROR(MATCH(AF$5,'Oxford Economics'!$A$6:$AZ$6,0),MATCH(AF$5&amp;"",'Oxford Economics'!$A$6:$AZ$6,0))),'Oxford Economics'!$A$7:$A$1000,$C13,'Oxford Economics'!$B$7:$B$1000,Settings!$B$15)+IF(Settings!$B$17="",0,SUMIFS(INDEX('Oxford Economics'!$A$7:$AZ$1000,0,IFERROR(MATCH(AF$5,'Oxford Economics'!$A$6:$AZ$6,0),MATCH(AF$5&amp;"",'Oxford Economics'!$A$6:$AZ$6,0))),'Oxford Economics'!$A$7:$A$1000,$C13,'Oxford Economics'!$B$7:$B$1000,Settings!$B$17)))),""))</f>
        <v>13900.85</v>
      </c>
      <c r="AG13" s="37" t="n">
        <f aca="false">IF($A13="","",IFERROR(1/(1/IF($B13="Residential",SUMIFS(INDEX('Oxford Economics'!$A$7:$AZ$1000,0,IFERROR(MATCH(AG$5,'Oxford Economics'!$A$6:$AZ$6,0),MATCH(AG$5&amp;"",'Oxford Economics'!$A$6:$AZ$6,0))),'Oxford Economics'!$A$7:$A$1000,$C13,'Oxford Economics'!$B$7:$B$1000,Settings!$B$11)-SUMIFS(INDEX('Oxford Economics'!$A$7:$AZ$1000,0,IFERROR(MATCH(AG$5,'Oxford Economics'!$A$6:$AZ$6,0),MATCH(AG$5&amp;"",'Oxford Economics'!$A$6:$AZ$6,0))),'Oxford Economics'!$A$7:$A$1000,$C13,'Oxford Economics'!$B$7:$B$1000,Settings!$B$13),SUMIFS(INDEX('Oxford Economics'!$A$7:$AZ$1000,0,IFERROR(MATCH(AG$5,'Oxford Economics'!$A$6:$AZ$6,0),MATCH(AG$5&amp;"",'Oxford Economics'!$A$6:$AZ$6,0))),'Oxford Economics'!$A$7:$A$1000,$C13,'Oxford Economics'!$B$7:$B$1000,Settings!$B$13)+SUMIFS(INDEX('Oxford Economics'!$A$7:$AZ$1000,0,IFERROR(MATCH(AG$5,'Oxford Economics'!$A$6:$AZ$6,0),MATCH(AG$5&amp;"",'Oxford Economics'!$A$6:$AZ$6,0))),'Oxford Economics'!$A$7:$A$1000,$C13,'Oxford Economics'!$B$7:$B$1000,Settings!$B$15)+IF(Settings!$B$17="",0,SUMIFS(INDEX('Oxford Economics'!$A$7:$AZ$1000,0,IFERROR(MATCH(AG$5,'Oxford Economics'!$A$6:$AZ$6,0),MATCH(AG$5&amp;"",'Oxford Economics'!$A$6:$AZ$6,0))),'Oxford Economics'!$A$7:$A$1000,$C13,'Oxford Economics'!$B$7:$B$1000,Settings!$B$17)))),""))</f>
        <v>13994.61</v>
      </c>
      <c r="AH13" s="37" t="n">
        <f aca="false">IF($A13="","",IFERROR(1/(1/IF($B13="Residential",SUMIFS(INDEX('Oxford Economics'!$A$7:$AZ$1000,0,IFERROR(MATCH(AH$5,'Oxford Economics'!$A$6:$AZ$6,0),MATCH(AH$5&amp;"",'Oxford Economics'!$A$6:$AZ$6,0))),'Oxford Economics'!$A$7:$A$1000,$C13,'Oxford Economics'!$B$7:$B$1000,Settings!$B$11)-SUMIFS(INDEX('Oxford Economics'!$A$7:$AZ$1000,0,IFERROR(MATCH(AH$5,'Oxford Economics'!$A$6:$AZ$6,0),MATCH(AH$5&amp;"",'Oxford Economics'!$A$6:$AZ$6,0))),'Oxford Economics'!$A$7:$A$1000,$C13,'Oxford Economics'!$B$7:$B$1000,Settings!$B$13),SUMIFS(INDEX('Oxford Economics'!$A$7:$AZ$1000,0,IFERROR(MATCH(AH$5,'Oxford Economics'!$A$6:$AZ$6,0),MATCH(AH$5&amp;"",'Oxford Economics'!$A$6:$AZ$6,0))),'Oxford Economics'!$A$7:$A$1000,$C13,'Oxford Economics'!$B$7:$B$1000,Settings!$B$13)+SUMIFS(INDEX('Oxford Economics'!$A$7:$AZ$1000,0,IFERROR(MATCH(AH$5,'Oxford Economics'!$A$6:$AZ$6,0),MATCH(AH$5&amp;"",'Oxford Economics'!$A$6:$AZ$6,0))),'Oxford Economics'!$A$7:$A$1000,$C13,'Oxford Economics'!$B$7:$B$1000,Settings!$B$15)+IF(Settings!$B$17="",0,SUMIFS(INDEX('Oxford Economics'!$A$7:$AZ$1000,0,IFERROR(MATCH(AH$5,'Oxford Economics'!$A$6:$AZ$6,0),MATCH(AH$5&amp;"",'Oxford Economics'!$A$6:$AZ$6,0))),'Oxford Economics'!$A$7:$A$1000,$C13,'Oxford Economics'!$B$7:$B$1000,Settings!$B$17)))),""))</f>
        <v>14384.89</v>
      </c>
      <c r="AI13" s="37" t="n">
        <f aca="false">IF($A13="","",IFERROR(1/(1/IF($B13="Residential",SUMIFS(INDEX('Oxford Economics'!$A$7:$AZ$1000,0,IFERROR(MATCH(AI$5,'Oxford Economics'!$A$6:$AZ$6,0),MATCH(AI$5&amp;"",'Oxford Economics'!$A$6:$AZ$6,0))),'Oxford Economics'!$A$7:$A$1000,$C13,'Oxford Economics'!$B$7:$B$1000,Settings!$B$11)-SUMIFS(INDEX('Oxford Economics'!$A$7:$AZ$1000,0,IFERROR(MATCH(AI$5,'Oxford Economics'!$A$6:$AZ$6,0),MATCH(AI$5&amp;"",'Oxford Economics'!$A$6:$AZ$6,0))),'Oxford Economics'!$A$7:$A$1000,$C13,'Oxford Economics'!$B$7:$B$1000,Settings!$B$13),SUMIFS(INDEX('Oxford Economics'!$A$7:$AZ$1000,0,IFERROR(MATCH(AI$5,'Oxford Economics'!$A$6:$AZ$6,0),MATCH(AI$5&amp;"",'Oxford Economics'!$A$6:$AZ$6,0))),'Oxford Economics'!$A$7:$A$1000,$C13,'Oxford Economics'!$B$7:$B$1000,Settings!$B$13)+SUMIFS(INDEX('Oxford Economics'!$A$7:$AZ$1000,0,IFERROR(MATCH(AI$5,'Oxford Economics'!$A$6:$AZ$6,0),MATCH(AI$5&amp;"",'Oxford Economics'!$A$6:$AZ$6,0))),'Oxford Economics'!$A$7:$A$1000,$C13,'Oxford Economics'!$B$7:$B$1000,Settings!$B$15)+IF(Settings!$B$17="",0,SUMIFS(INDEX('Oxford Economics'!$A$7:$AZ$1000,0,IFERROR(MATCH(AI$5,'Oxford Economics'!$A$6:$AZ$6,0),MATCH(AI$5&amp;"",'Oxford Economics'!$A$6:$AZ$6,0))),'Oxford Economics'!$A$7:$A$1000,$C13,'Oxford Economics'!$B$7:$B$1000,Settings!$B$17)))),""))</f>
        <v>14626.24</v>
      </c>
      <c r="AJ13" s="37" t="n">
        <f aca="false">IF($A13="","",IFERROR(1/(1/IF($B13="Residential",SUMIFS(INDEX('Oxford Economics'!$A$7:$AZ$1000,0,IFERROR(MATCH(AJ$5,'Oxford Economics'!$A$6:$AZ$6,0),MATCH(AJ$5&amp;"",'Oxford Economics'!$A$6:$AZ$6,0))),'Oxford Economics'!$A$7:$A$1000,$C13,'Oxford Economics'!$B$7:$B$1000,Settings!$B$11)-SUMIFS(INDEX('Oxford Economics'!$A$7:$AZ$1000,0,IFERROR(MATCH(AJ$5,'Oxford Economics'!$A$6:$AZ$6,0),MATCH(AJ$5&amp;"",'Oxford Economics'!$A$6:$AZ$6,0))),'Oxford Economics'!$A$7:$A$1000,$C13,'Oxford Economics'!$B$7:$B$1000,Settings!$B$13),SUMIFS(INDEX('Oxford Economics'!$A$7:$AZ$1000,0,IFERROR(MATCH(AJ$5,'Oxford Economics'!$A$6:$AZ$6,0),MATCH(AJ$5&amp;"",'Oxford Economics'!$A$6:$AZ$6,0))),'Oxford Economics'!$A$7:$A$1000,$C13,'Oxford Economics'!$B$7:$B$1000,Settings!$B$13)+SUMIFS(INDEX('Oxford Economics'!$A$7:$AZ$1000,0,IFERROR(MATCH(AJ$5,'Oxford Economics'!$A$6:$AZ$6,0),MATCH(AJ$5&amp;"",'Oxford Economics'!$A$6:$AZ$6,0))),'Oxford Economics'!$A$7:$A$1000,$C13,'Oxford Economics'!$B$7:$B$1000,Settings!$B$15)+IF(Settings!$B$17="",0,SUMIFS(INDEX('Oxford Economics'!$A$7:$AZ$1000,0,IFERROR(MATCH(AJ$5,'Oxford Economics'!$A$6:$AZ$6,0),MATCH(AJ$5&amp;"",'Oxford Economics'!$A$6:$AZ$6,0))),'Oxford Economics'!$A$7:$A$1000,$C13,'Oxford Economics'!$B$7:$B$1000,Settings!$B$17)))),""))</f>
        <v>14949.98</v>
      </c>
      <c r="AK13" s="37" t="n">
        <f aca="false">IF($A13="","",IFERROR(1/(1/IF($B13="Residential",SUMIFS(INDEX('Oxford Economics'!$A$7:$AZ$1000,0,IFERROR(MATCH(AK$5,'Oxford Economics'!$A$6:$AZ$6,0),MATCH(AK$5&amp;"",'Oxford Economics'!$A$6:$AZ$6,0))),'Oxford Economics'!$A$7:$A$1000,$C13,'Oxford Economics'!$B$7:$B$1000,Settings!$B$11)-SUMIFS(INDEX('Oxford Economics'!$A$7:$AZ$1000,0,IFERROR(MATCH(AK$5,'Oxford Economics'!$A$6:$AZ$6,0),MATCH(AK$5&amp;"",'Oxford Economics'!$A$6:$AZ$6,0))),'Oxford Economics'!$A$7:$A$1000,$C13,'Oxford Economics'!$B$7:$B$1000,Settings!$B$13),SUMIFS(INDEX('Oxford Economics'!$A$7:$AZ$1000,0,IFERROR(MATCH(AK$5,'Oxford Economics'!$A$6:$AZ$6,0),MATCH(AK$5&amp;"",'Oxford Economics'!$A$6:$AZ$6,0))),'Oxford Economics'!$A$7:$A$1000,$C13,'Oxford Economics'!$B$7:$B$1000,Settings!$B$13)+SUMIFS(INDEX('Oxford Economics'!$A$7:$AZ$1000,0,IFERROR(MATCH(AK$5,'Oxford Economics'!$A$6:$AZ$6,0),MATCH(AK$5&amp;"",'Oxford Economics'!$A$6:$AZ$6,0))),'Oxford Economics'!$A$7:$A$1000,$C13,'Oxford Economics'!$B$7:$B$1000,Settings!$B$15)+IF(Settings!$B$17="",0,SUMIFS(INDEX('Oxford Economics'!$A$7:$AZ$1000,0,IFERROR(MATCH(AK$5,'Oxford Economics'!$A$6:$AZ$6,0),MATCH(AK$5&amp;"",'Oxford Economics'!$A$6:$AZ$6,0))),'Oxford Economics'!$A$7:$A$1000,$C13,'Oxford Economics'!$B$7:$B$1000,Settings!$B$17)))),""))</f>
        <v>15348.43</v>
      </c>
      <c r="AL13" s="37" t="n">
        <f aca="false">IF($A13="","",IFERROR(1/(1/IF($B13="Residential",SUMIFS(INDEX('Oxford Economics'!$A$7:$AZ$1000,0,IFERROR(MATCH(AL$5,'Oxford Economics'!$A$6:$AZ$6,0),MATCH(AL$5&amp;"",'Oxford Economics'!$A$6:$AZ$6,0))),'Oxford Economics'!$A$7:$A$1000,$C13,'Oxford Economics'!$B$7:$B$1000,Settings!$B$11)-SUMIFS(INDEX('Oxford Economics'!$A$7:$AZ$1000,0,IFERROR(MATCH(AL$5,'Oxford Economics'!$A$6:$AZ$6,0),MATCH(AL$5&amp;"",'Oxford Economics'!$A$6:$AZ$6,0))),'Oxford Economics'!$A$7:$A$1000,$C13,'Oxford Economics'!$B$7:$B$1000,Settings!$B$13),SUMIFS(INDEX('Oxford Economics'!$A$7:$AZ$1000,0,IFERROR(MATCH(AL$5,'Oxford Economics'!$A$6:$AZ$6,0),MATCH(AL$5&amp;"",'Oxford Economics'!$A$6:$AZ$6,0))),'Oxford Economics'!$A$7:$A$1000,$C13,'Oxford Economics'!$B$7:$B$1000,Settings!$B$13)+SUMIFS(INDEX('Oxford Economics'!$A$7:$AZ$1000,0,IFERROR(MATCH(AL$5,'Oxford Economics'!$A$6:$AZ$6,0),MATCH(AL$5&amp;"",'Oxford Economics'!$A$6:$AZ$6,0))),'Oxford Economics'!$A$7:$A$1000,$C13,'Oxford Economics'!$B$7:$B$1000,Settings!$B$15)+IF(Settings!$B$17="",0,SUMIFS(INDEX('Oxford Economics'!$A$7:$AZ$1000,0,IFERROR(MATCH(AL$5,'Oxford Economics'!$A$6:$AZ$6,0),MATCH(AL$5&amp;"",'Oxford Economics'!$A$6:$AZ$6,0))),'Oxford Economics'!$A$7:$A$1000,$C13,'Oxford Economics'!$B$7:$B$1000,Settings!$B$17)))),""))</f>
        <v>15743.09</v>
      </c>
      <c r="AM13" s="37" t="n">
        <f aca="false">IF($A13="","",IFERROR(1/(1/IF($B13="Residential",SUMIFS(INDEX('Oxford Economics'!$A$7:$AZ$1000,0,IFERROR(MATCH(AM$5,'Oxford Economics'!$A$6:$AZ$6,0),MATCH(AM$5&amp;"",'Oxford Economics'!$A$6:$AZ$6,0))),'Oxford Economics'!$A$7:$A$1000,$C13,'Oxford Economics'!$B$7:$B$1000,Settings!$B$11)-SUMIFS(INDEX('Oxford Economics'!$A$7:$AZ$1000,0,IFERROR(MATCH(AM$5,'Oxford Economics'!$A$6:$AZ$6,0),MATCH(AM$5&amp;"",'Oxford Economics'!$A$6:$AZ$6,0))),'Oxford Economics'!$A$7:$A$1000,$C13,'Oxford Economics'!$B$7:$B$1000,Settings!$B$13),SUMIFS(INDEX('Oxford Economics'!$A$7:$AZ$1000,0,IFERROR(MATCH(AM$5,'Oxford Economics'!$A$6:$AZ$6,0),MATCH(AM$5&amp;"",'Oxford Economics'!$A$6:$AZ$6,0))),'Oxford Economics'!$A$7:$A$1000,$C13,'Oxford Economics'!$B$7:$B$1000,Settings!$B$13)+SUMIFS(INDEX('Oxford Economics'!$A$7:$AZ$1000,0,IFERROR(MATCH(AM$5,'Oxford Economics'!$A$6:$AZ$6,0),MATCH(AM$5&amp;"",'Oxford Economics'!$A$6:$AZ$6,0))),'Oxford Economics'!$A$7:$A$1000,$C13,'Oxford Economics'!$B$7:$B$1000,Settings!$B$15)+IF(Settings!$B$17="",0,SUMIFS(INDEX('Oxford Economics'!$A$7:$AZ$1000,0,IFERROR(MATCH(AM$5,'Oxford Economics'!$A$6:$AZ$6,0),MATCH(AM$5&amp;"",'Oxford Economics'!$A$6:$AZ$6,0))),'Oxford Economics'!$A$7:$A$1000,$C13,'Oxford Economics'!$B$7:$B$1000,Settings!$B$17)))),""))</f>
        <v>16033.67</v>
      </c>
    </row>
    <row r="14" customFormat="false" ht="15" hidden="false" customHeight="false" outlineLevel="0" collapsed="false">
      <c r="A14" s="36" t="str">
        <f aca="false">IF('Raw data'!$A14="","",'Raw data'!$A14)</f>
        <v>Sweden</v>
      </c>
      <c r="B14" s="36" t="str">
        <f aca="false">IF($A14="","",'Raw data'!$C14)</f>
        <v>Residential</v>
      </c>
      <c r="C14" s="36" t="str">
        <f aca="false">IF($A14="","",IF('Raw data'!$D14="",$A14,'Raw data'!$D14))</f>
        <v>Sweden</v>
      </c>
      <c r="D14" s="37" t="n">
        <f aca="false">IF($A14="","",IF(AND(ISNUMBER(P14),ISNUMBER(AB14)),P14+AB14,""))</f>
        <v>8380.22</v>
      </c>
      <c r="E14" s="37" t="n">
        <f aca="false">IF($A14="","",IF(AND(ISNUMBER(Q14),ISNUMBER(AC14)),Q14+AC14,""))</f>
        <v>8776.18</v>
      </c>
      <c r="F14" s="37" t="n">
        <f aca="false">IF($A14="","",IF(AND(ISNUMBER(R14),ISNUMBER(AD14)),R14+AD14,""))</f>
        <v>9202.1</v>
      </c>
      <c r="G14" s="37" t="n">
        <f aca="false">IF($A14="","",IF(AND(ISNUMBER(S14),ISNUMBER(AE14)),S14+AE14,""))</f>
        <v>9061.96</v>
      </c>
      <c r="H14" s="37" t="n">
        <f aca="false">IF($A14="","",IF(AND(ISNUMBER(T14),ISNUMBER(AF14)),T14+AF14,""))</f>
        <v>8634.45</v>
      </c>
      <c r="I14" s="37" t="n">
        <f aca="false">IF($A14="","",IF(AND(ISNUMBER(U14),ISNUMBER(AG14)),U14+AG14,""))</f>
        <v>8363.88</v>
      </c>
      <c r="J14" s="37" t="n">
        <f aca="false">IF($A14="","",IF(AND(ISNUMBER(V14),ISNUMBER(AH14)),V14+AH14,""))</f>
        <v>8535.63</v>
      </c>
      <c r="K14" s="37" t="n">
        <f aca="false">IF($A14="","",IF(AND(ISNUMBER(W14),ISNUMBER(AI14)),W14+AI14,""))</f>
        <v>8896.12</v>
      </c>
      <c r="L14" s="37" t="n">
        <f aca="false">IF($A14="","",IF(AND(ISNUMBER(X14),ISNUMBER(AJ14)),X14+AJ14,""))</f>
        <v>9099.96</v>
      </c>
      <c r="M14" s="37" t="n">
        <f aca="false">IF($A14="","",IF(AND(ISNUMBER(Y14),ISNUMBER(AK14)),Y14+AK14,""))</f>
        <v>9255.97</v>
      </c>
      <c r="N14" s="37" t="n">
        <f aca="false">IF($A14="","",IF(AND(ISNUMBER(Z14),ISNUMBER(AL14)),Z14+AL14,""))</f>
        <v>9521.88</v>
      </c>
      <c r="O14" s="37" t="n">
        <f aca="false">IF($A14="","",IF(AND(ISNUMBER(AA14),ISNUMBER(AM14)),AA14+AM14,""))</f>
        <v>9690.43</v>
      </c>
      <c r="P14" s="37" t="n">
        <f aca="false">IF($A14="","",IFERROR(1/(1/IF($B14="Residential",SUMIFS(INDEX('Oxford Economics'!$A$7:$AZ$1000,0,IFERROR(MATCH(P$5,'Oxford Economics'!$A$6:$AZ$6,0),MATCH(P$5&amp;"",'Oxford Economics'!$A$6:$AZ$6,0))),'Oxford Economics'!$A$7:$A$1000,$C14,'Oxford Economics'!$B$7:$B$1000,Settings!$B$12)-SUMIFS(INDEX('Oxford Economics'!$A$7:$AZ$1000,0,IFERROR(MATCH(P$5,'Oxford Economics'!$A$6:$AZ$6,0),MATCH(P$5&amp;"",'Oxford Economics'!$A$6:$AZ$6,0))),'Oxford Economics'!$A$7:$A$1000,$C14,'Oxford Economics'!$B$7:$B$1000,Settings!$B$14),SUMIFS(INDEX('Oxford Economics'!$A$7:$AZ$1000,0,IFERROR(MATCH(P$5,'Oxford Economics'!$A$6:$AZ$6,0),MATCH(P$5&amp;"",'Oxford Economics'!$A$6:$AZ$6,0))),'Oxford Economics'!$A$7:$A$1000,$C14,'Oxford Economics'!$B$7:$B$1000,Settings!$B$14)+SUMIFS(INDEX('Oxford Economics'!$A$7:$AZ$1000,0,IFERROR(MATCH(P$5,'Oxford Economics'!$A$6:$AZ$6,0),MATCH(P$5&amp;"",'Oxford Economics'!$A$6:$AZ$6,0))),'Oxford Economics'!$A$7:$A$1000,$C14,'Oxford Economics'!$B$7:$B$1000,Settings!$B$16)+IF(Settings!$B$18="",0,SUMIFS(INDEX('Oxford Economics'!$A$7:$AZ$1000,0,IFERROR(MATCH(P$5,'Oxford Economics'!$A$6:$AZ$6,0),MATCH(P$5&amp;"",'Oxford Economics'!$A$6:$AZ$6,0))),'Oxford Economics'!$A$7:$A$1000,$C14,'Oxford Economics'!$B$7:$B$1000,Settings!$B$18)))),""))</f>
        <v>4053.53</v>
      </c>
      <c r="Q14" s="37" t="n">
        <f aca="false">IF($A14="","",IFERROR(1/(1/IF($B14="Residential",SUMIFS(INDEX('Oxford Economics'!$A$7:$AZ$1000,0,IFERROR(MATCH(Q$5,'Oxford Economics'!$A$6:$AZ$6,0),MATCH(Q$5&amp;"",'Oxford Economics'!$A$6:$AZ$6,0))),'Oxford Economics'!$A$7:$A$1000,$C14,'Oxford Economics'!$B$7:$B$1000,Settings!$B$12)-SUMIFS(INDEX('Oxford Economics'!$A$7:$AZ$1000,0,IFERROR(MATCH(Q$5,'Oxford Economics'!$A$6:$AZ$6,0),MATCH(Q$5&amp;"",'Oxford Economics'!$A$6:$AZ$6,0))),'Oxford Economics'!$A$7:$A$1000,$C14,'Oxford Economics'!$B$7:$B$1000,Settings!$B$14),SUMIFS(INDEX('Oxford Economics'!$A$7:$AZ$1000,0,IFERROR(MATCH(Q$5,'Oxford Economics'!$A$6:$AZ$6,0),MATCH(Q$5&amp;"",'Oxford Economics'!$A$6:$AZ$6,0))),'Oxford Economics'!$A$7:$A$1000,$C14,'Oxford Economics'!$B$7:$B$1000,Settings!$B$14)+SUMIFS(INDEX('Oxford Economics'!$A$7:$AZ$1000,0,IFERROR(MATCH(Q$5,'Oxford Economics'!$A$6:$AZ$6,0),MATCH(Q$5&amp;"",'Oxford Economics'!$A$6:$AZ$6,0))),'Oxford Economics'!$A$7:$A$1000,$C14,'Oxford Economics'!$B$7:$B$1000,Settings!$B$16)+IF(Settings!$B$18="",0,SUMIFS(INDEX('Oxford Economics'!$A$7:$AZ$1000,0,IFERROR(MATCH(Q$5,'Oxford Economics'!$A$6:$AZ$6,0),MATCH(Q$5&amp;"",'Oxford Economics'!$A$6:$AZ$6,0))),'Oxford Economics'!$A$7:$A$1000,$C14,'Oxford Economics'!$B$7:$B$1000,Settings!$B$18)))),""))</f>
        <v>4041.52</v>
      </c>
      <c r="R14" s="37" t="n">
        <f aca="false">IF($A14="","",IFERROR(1/(1/IF($B14="Residential",SUMIFS(INDEX('Oxford Economics'!$A$7:$AZ$1000,0,IFERROR(MATCH(R$5,'Oxford Economics'!$A$6:$AZ$6,0),MATCH(R$5&amp;"",'Oxford Economics'!$A$6:$AZ$6,0))),'Oxford Economics'!$A$7:$A$1000,$C14,'Oxford Economics'!$B$7:$B$1000,Settings!$B$12)-SUMIFS(INDEX('Oxford Economics'!$A$7:$AZ$1000,0,IFERROR(MATCH(R$5,'Oxford Economics'!$A$6:$AZ$6,0),MATCH(R$5&amp;"",'Oxford Economics'!$A$6:$AZ$6,0))),'Oxford Economics'!$A$7:$A$1000,$C14,'Oxford Economics'!$B$7:$B$1000,Settings!$B$14),SUMIFS(INDEX('Oxford Economics'!$A$7:$AZ$1000,0,IFERROR(MATCH(R$5,'Oxford Economics'!$A$6:$AZ$6,0),MATCH(R$5&amp;"",'Oxford Economics'!$A$6:$AZ$6,0))),'Oxford Economics'!$A$7:$A$1000,$C14,'Oxford Economics'!$B$7:$B$1000,Settings!$B$14)+SUMIFS(INDEX('Oxford Economics'!$A$7:$AZ$1000,0,IFERROR(MATCH(R$5,'Oxford Economics'!$A$6:$AZ$6,0),MATCH(R$5&amp;"",'Oxford Economics'!$A$6:$AZ$6,0))),'Oxford Economics'!$A$7:$A$1000,$C14,'Oxford Economics'!$B$7:$B$1000,Settings!$B$16)+IF(Settings!$B$18="",0,SUMIFS(INDEX('Oxford Economics'!$A$7:$AZ$1000,0,IFERROR(MATCH(R$5,'Oxford Economics'!$A$6:$AZ$6,0),MATCH(R$5&amp;"",'Oxford Economics'!$A$6:$AZ$6,0))),'Oxford Economics'!$A$7:$A$1000,$C14,'Oxford Economics'!$B$7:$B$1000,Settings!$B$18)))),""))</f>
        <v>4181.8</v>
      </c>
      <c r="S14" s="37" t="n">
        <f aca="false">IF($A14="","",IFERROR(1/(1/IF($B14="Residential",SUMIFS(INDEX('Oxford Economics'!$A$7:$AZ$1000,0,IFERROR(MATCH(S$5,'Oxford Economics'!$A$6:$AZ$6,0),MATCH(S$5&amp;"",'Oxford Economics'!$A$6:$AZ$6,0))),'Oxford Economics'!$A$7:$A$1000,$C14,'Oxford Economics'!$B$7:$B$1000,Settings!$B$12)-SUMIFS(INDEX('Oxford Economics'!$A$7:$AZ$1000,0,IFERROR(MATCH(S$5,'Oxford Economics'!$A$6:$AZ$6,0),MATCH(S$5&amp;"",'Oxford Economics'!$A$6:$AZ$6,0))),'Oxford Economics'!$A$7:$A$1000,$C14,'Oxford Economics'!$B$7:$B$1000,Settings!$B$14),SUMIFS(INDEX('Oxford Economics'!$A$7:$AZ$1000,0,IFERROR(MATCH(S$5,'Oxford Economics'!$A$6:$AZ$6,0),MATCH(S$5&amp;"",'Oxford Economics'!$A$6:$AZ$6,0))),'Oxford Economics'!$A$7:$A$1000,$C14,'Oxford Economics'!$B$7:$B$1000,Settings!$B$14)+SUMIFS(INDEX('Oxford Economics'!$A$7:$AZ$1000,0,IFERROR(MATCH(S$5,'Oxford Economics'!$A$6:$AZ$6,0),MATCH(S$5&amp;"",'Oxford Economics'!$A$6:$AZ$6,0))),'Oxford Economics'!$A$7:$A$1000,$C14,'Oxford Economics'!$B$7:$B$1000,Settings!$B$16)+IF(Settings!$B$18="",0,SUMIFS(INDEX('Oxford Economics'!$A$7:$AZ$1000,0,IFERROR(MATCH(S$5,'Oxford Economics'!$A$6:$AZ$6,0),MATCH(S$5&amp;"",'Oxford Economics'!$A$6:$AZ$6,0))),'Oxford Economics'!$A$7:$A$1000,$C14,'Oxford Economics'!$B$7:$B$1000,Settings!$B$18)))),""))</f>
        <v>4935.68</v>
      </c>
      <c r="T14" s="37" t="n">
        <f aca="false">IF($A14="","",IFERROR(1/(1/IF($B14="Residential",SUMIFS(INDEX('Oxford Economics'!$A$7:$AZ$1000,0,IFERROR(MATCH(T$5,'Oxford Economics'!$A$6:$AZ$6,0),MATCH(T$5&amp;"",'Oxford Economics'!$A$6:$AZ$6,0))),'Oxford Economics'!$A$7:$A$1000,$C14,'Oxford Economics'!$B$7:$B$1000,Settings!$B$12)-SUMIFS(INDEX('Oxford Economics'!$A$7:$AZ$1000,0,IFERROR(MATCH(T$5,'Oxford Economics'!$A$6:$AZ$6,0),MATCH(T$5&amp;"",'Oxford Economics'!$A$6:$AZ$6,0))),'Oxford Economics'!$A$7:$A$1000,$C14,'Oxford Economics'!$B$7:$B$1000,Settings!$B$14),SUMIFS(INDEX('Oxford Economics'!$A$7:$AZ$1000,0,IFERROR(MATCH(T$5,'Oxford Economics'!$A$6:$AZ$6,0),MATCH(T$5&amp;"",'Oxford Economics'!$A$6:$AZ$6,0))),'Oxford Economics'!$A$7:$A$1000,$C14,'Oxford Economics'!$B$7:$B$1000,Settings!$B$14)+SUMIFS(INDEX('Oxford Economics'!$A$7:$AZ$1000,0,IFERROR(MATCH(T$5,'Oxford Economics'!$A$6:$AZ$6,0),MATCH(T$5&amp;"",'Oxford Economics'!$A$6:$AZ$6,0))),'Oxford Economics'!$A$7:$A$1000,$C14,'Oxford Economics'!$B$7:$B$1000,Settings!$B$16)+IF(Settings!$B$18="",0,SUMIFS(INDEX('Oxford Economics'!$A$7:$AZ$1000,0,IFERROR(MATCH(T$5,'Oxford Economics'!$A$6:$AZ$6,0),MATCH(T$5&amp;"",'Oxford Economics'!$A$6:$AZ$6,0))),'Oxford Economics'!$A$7:$A$1000,$C14,'Oxford Economics'!$B$7:$B$1000,Settings!$B$18)))),""))</f>
        <v>5225.83</v>
      </c>
      <c r="U14" s="37" t="n">
        <f aca="false">IF($A14="","",IFERROR(1/(1/IF($B14="Residential",SUMIFS(INDEX('Oxford Economics'!$A$7:$AZ$1000,0,IFERROR(MATCH(U$5,'Oxford Economics'!$A$6:$AZ$6,0),MATCH(U$5&amp;"",'Oxford Economics'!$A$6:$AZ$6,0))),'Oxford Economics'!$A$7:$A$1000,$C14,'Oxford Economics'!$B$7:$B$1000,Settings!$B$12)-SUMIFS(INDEX('Oxford Economics'!$A$7:$AZ$1000,0,IFERROR(MATCH(U$5,'Oxford Economics'!$A$6:$AZ$6,0),MATCH(U$5&amp;"",'Oxford Economics'!$A$6:$AZ$6,0))),'Oxford Economics'!$A$7:$A$1000,$C14,'Oxford Economics'!$B$7:$B$1000,Settings!$B$14),SUMIFS(INDEX('Oxford Economics'!$A$7:$AZ$1000,0,IFERROR(MATCH(U$5,'Oxford Economics'!$A$6:$AZ$6,0),MATCH(U$5&amp;"",'Oxford Economics'!$A$6:$AZ$6,0))),'Oxford Economics'!$A$7:$A$1000,$C14,'Oxford Economics'!$B$7:$B$1000,Settings!$B$14)+SUMIFS(INDEX('Oxford Economics'!$A$7:$AZ$1000,0,IFERROR(MATCH(U$5,'Oxford Economics'!$A$6:$AZ$6,0),MATCH(U$5&amp;"",'Oxford Economics'!$A$6:$AZ$6,0))),'Oxford Economics'!$A$7:$A$1000,$C14,'Oxford Economics'!$B$7:$B$1000,Settings!$B$16)+IF(Settings!$B$18="",0,SUMIFS(INDEX('Oxford Economics'!$A$7:$AZ$1000,0,IFERROR(MATCH(U$5,'Oxford Economics'!$A$6:$AZ$6,0),MATCH(U$5&amp;"",'Oxford Economics'!$A$6:$AZ$6,0))),'Oxford Economics'!$A$7:$A$1000,$C14,'Oxford Economics'!$B$7:$B$1000,Settings!$B$18)))),""))</f>
        <v>5075.26</v>
      </c>
      <c r="V14" s="37" t="n">
        <f aca="false">IF($A14="","",IFERROR(1/(1/IF($B14="Residential",SUMIFS(INDEX('Oxford Economics'!$A$7:$AZ$1000,0,IFERROR(MATCH(V$5,'Oxford Economics'!$A$6:$AZ$6,0),MATCH(V$5&amp;"",'Oxford Economics'!$A$6:$AZ$6,0))),'Oxford Economics'!$A$7:$A$1000,$C14,'Oxford Economics'!$B$7:$B$1000,Settings!$B$12)-SUMIFS(INDEX('Oxford Economics'!$A$7:$AZ$1000,0,IFERROR(MATCH(V$5,'Oxford Economics'!$A$6:$AZ$6,0),MATCH(V$5&amp;"",'Oxford Economics'!$A$6:$AZ$6,0))),'Oxford Economics'!$A$7:$A$1000,$C14,'Oxford Economics'!$B$7:$B$1000,Settings!$B$14),SUMIFS(INDEX('Oxford Economics'!$A$7:$AZ$1000,0,IFERROR(MATCH(V$5,'Oxford Economics'!$A$6:$AZ$6,0),MATCH(V$5&amp;"",'Oxford Economics'!$A$6:$AZ$6,0))),'Oxford Economics'!$A$7:$A$1000,$C14,'Oxford Economics'!$B$7:$B$1000,Settings!$B$14)+SUMIFS(INDEX('Oxford Economics'!$A$7:$AZ$1000,0,IFERROR(MATCH(V$5,'Oxford Economics'!$A$6:$AZ$6,0),MATCH(V$5&amp;"",'Oxford Economics'!$A$6:$AZ$6,0))),'Oxford Economics'!$A$7:$A$1000,$C14,'Oxford Economics'!$B$7:$B$1000,Settings!$B$16)+IF(Settings!$B$18="",0,SUMIFS(INDEX('Oxford Economics'!$A$7:$AZ$1000,0,IFERROR(MATCH(V$5,'Oxford Economics'!$A$6:$AZ$6,0),MATCH(V$5&amp;"",'Oxford Economics'!$A$6:$AZ$6,0))),'Oxford Economics'!$A$7:$A$1000,$C14,'Oxford Economics'!$B$7:$B$1000,Settings!$B$18)))),""))</f>
        <v>5050.7</v>
      </c>
      <c r="W14" s="37" t="n">
        <f aca="false">IF($A14="","",IFERROR(1/(1/IF($B14="Residential",SUMIFS(INDEX('Oxford Economics'!$A$7:$AZ$1000,0,IFERROR(MATCH(W$5,'Oxford Economics'!$A$6:$AZ$6,0),MATCH(W$5&amp;"",'Oxford Economics'!$A$6:$AZ$6,0))),'Oxford Economics'!$A$7:$A$1000,$C14,'Oxford Economics'!$B$7:$B$1000,Settings!$B$12)-SUMIFS(INDEX('Oxford Economics'!$A$7:$AZ$1000,0,IFERROR(MATCH(W$5,'Oxford Economics'!$A$6:$AZ$6,0),MATCH(W$5&amp;"",'Oxford Economics'!$A$6:$AZ$6,0))),'Oxford Economics'!$A$7:$A$1000,$C14,'Oxford Economics'!$B$7:$B$1000,Settings!$B$14),SUMIFS(INDEX('Oxford Economics'!$A$7:$AZ$1000,0,IFERROR(MATCH(W$5,'Oxford Economics'!$A$6:$AZ$6,0),MATCH(W$5&amp;"",'Oxford Economics'!$A$6:$AZ$6,0))),'Oxford Economics'!$A$7:$A$1000,$C14,'Oxford Economics'!$B$7:$B$1000,Settings!$B$14)+SUMIFS(INDEX('Oxford Economics'!$A$7:$AZ$1000,0,IFERROR(MATCH(W$5,'Oxford Economics'!$A$6:$AZ$6,0),MATCH(W$5&amp;"",'Oxford Economics'!$A$6:$AZ$6,0))),'Oxford Economics'!$A$7:$A$1000,$C14,'Oxford Economics'!$B$7:$B$1000,Settings!$B$16)+IF(Settings!$B$18="",0,SUMIFS(INDEX('Oxford Economics'!$A$7:$AZ$1000,0,IFERROR(MATCH(W$5,'Oxford Economics'!$A$6:$AZ$6,0),MATCH(W$5&amp;"",'Oxford Economics'!$A$6:$AZ$6,0))),'Oxford Economics'!$A$7:$A$1000,$C14,'Oxford Economics'!$B$7:$B$1000,Settings!$B$18)))),""))</f>
        <v>5249.98</v>
      </c>
      <c r="X14" s="37" t="n">
        <f aca="false">IF($A14="","",IFERROR(1/(1/IF($B14="Residential",SUMIFS(INDEX('Oxford Economics'!$A$7:$AZ$1000,0,IFERROR(MATCH(X$5,'Oxford Economics'!$A$6:$AZ$6,0),MATCH(X$5&amp;"",'Oxford Economics'!$A$6:$AZ$6,0))),'Oxford Economics'!$A$7:$A$1000,$C14,'Oxford Economics'!$B$7:$B$1000,Settings!$B$12)-SUMIFS(INDEX('Oxford Economics'!$A$7:$AZ$1000,0,IFERROR(MATCH(X$5,'Oxford Economics'!$A$6:$AZ$6,0),MATCH(X$5&amp;"",'Oxford Economics'!$A$6:$AZ$6,0))),'Oxford Economics'!$A$7:$A$1000,$C14,'Oxford Economics'!$B$7:$B$1000,Settings!$B$14),SUMIFS(INDEX('Oxford Economics'!$A$7:$AZ$1000,0,IFERROR(MATCH(X$5,'Oxford Economics'!$A$6:$AZ$6,0),MATCH(X$5&amp;"",'Oxford Economics'!$A$6:$AZ$6,0))),'Oxford Economics'!$A$7:$A$1000,$C14,'Oxford Economics'!$B$7:$B$1000,Settings!$B$14)+SUMIFS(INDEX('Oxford Economics'!$A$7:$AZ$1000,0,IFERROR(MATCH(X$5,'Oxford Economics'!$A$6:$AZ$6,0),MATCH(X$5&amp;"",'Oxford Economics'!$A$6:$AZ$6,0))),'Oxford Economics'!$A$7:$A$1000,$C14,'Oxford Economics'!$B$7:$B$1000,Settings!$B$16)+IF(Settings!$B$18="",0,SUMIFS(INDEX('Oxford Economics'!$A$7:$AZ$1000,0,IFERROR(MATCH(X$5,'Oxford Economics'!$A$6:$AZ$6,0),MATCH(X$5&amp;"",'Oxford Economics'!$A$6:$AZ$6,0))),'Oxford Economics'!$A$7:$A$1000,$C14,'Oxford Economics'!$B$7:$B$1000,Settings!$B$18)))),""))</f>
        <v>5371.29</v>
      </c>
      <c r="Y14" s="37" t="n">
        <f aca="false">IF($A14="","",IFERROR(1/(1/IF($B14="Residential",SUMIFS(INDEX('Oxford Economics'!$A$7:$AZ$1000,0,IFERROR(MATCH(Y$5,'Oxford Economics'!$A$6:$AZ$6,0),MATCH(Y$5&amp;"",'Oxford Economics'!$A$6:$AZ$6,0))),'Oxford Economics'!$A$7:$A$1000,$C14,'Oxford Economics'!$B$7:$B$1000,Settings!$B$12)-SUMIFS(INDEX('Oxford Economics'!$A$7:$AZ$1000,0,IFERROR(MATCH(Y$5,'Oxford Economics'!$A$6:$AZ$6,0),MATCH(Y$5&amp;"",'Oxford Economics'!$A$6:$AZ$6,0))),'Oxford Economics'!$A$7:$A$1000,$C14,'Oxford Economics'!$B$7:$B$1000,Settings!$B$14),SUMIFS(INDEX('Oxford Economics'!$A$7:$AZ$1000,0,IFERROR(MATCH(Y$5,'Oxford Economics'!$A$6:$AZ$6,0),MATCH(Y$5&amp;"",'Oxford Economics'!$A$6:$AZ$6,0))),'Oxford Economics'!$A$7:$A$1000,$C14,'Oxford Economics'!$B$7:$B$1000,Settings!$B$14)+SUMIFS(INDEX('Oxford Economics'!$A$7:$AZ$1000,0,IFERROR(MATCH(Y$5,'Oxford Economics'!$A$6:$AZ$6,0),MATCH(Y$5&amp;"",'Oxford Economics'!$A$6:$AZ$6,0))),'Oxford Economics'!$A$7:$A$1000,$C14,'Oxford Economics'!$B$7:$B$1000,Settings!$B$16)+IF(Settings!$B$18="",0,SUMIFS(INDEX('Oxford Economics'!$A$7:$AZ$1000,0,IFERROR(MATCH(Y$5,'Oxford Economics'!$A$6:$AZ$6,0),MATCH(Y$5&amp;"",'Oxford Economics'!$A$6:$AZ$6,0))),'Oxford Economics'!$A$7:$A$1000,$C14,'Oxford Economics'!$B$7:$B$1000,Settings!$B$18)))),""))</f>
        <v>5460.51</v>
      </c>
      <c r="Z14" s="37" t="n">
        <f aca="false">IF($A14="","",IFERROR(1/(1/IF($B14="Residential",SUMIFS(INDEX('Oxford Economics'!$A$7:$AZ$1000,0,IFERROR(MATCH(Z$5,'Oxford Economics'!$A$6:$AZ$6,0),MATCH(Z$5&amp;"",'Oxford Economics'!$A$6:$AZ$6,0))),'Oxford Economics'!$A$7:$A$1000,$C14,'Oxford Economics'!$B$7:$B$1000,Settings!$B$12)-SUMIFS(INDEX('Oxford Economics'!$A$7:$AZ$1000,0,IFERROR(MATCH(Z$5,'Oxford Economics'!$A$6:$AZ$6,0),MATCH(Z$5&amp;"",'Oxford Economics'!$A$6:$AZ$6,0))),'Oxford Economics'!$A$7:$A$1000,$C14,'Oxford Economics'!$B$7:$B$1000,Settings!$B$14),SUMIFS(INDEX('Oxford Economics'!$A$7:$AZ$1000,0,IFERROR(MATCH(Z$5,'Oxford Economics'!$A$6:$AZ$6,0),MATCH(Z$5&amp;"",'Oxford Economics'!$A$6:$AZ$6,0))),'Oxford Economics'!$A$7:$A$1000,$C14,'Oxford Economics'!$B$7:$B$1000,Settings!$B$14)+SUMIFS(INDEX('Oxford Economics'!$A$7:$AZ$1000,0,IFERROR(MATCH(Z$5,'Oxford Economics'!$A$6:$AZ$6,0),MATCH(Z$5&amp;"",'Oxford Economics'!$A$6:$AZ$6,0))),'Oxford Economics'!$A$7:$A$1000,$C14,'Oxford Economics'!$B$7:$B$1000,Settings!$B$16)+IF(Settings!$B$18="",0,SUMIFS(INDEX('Oxford Economics'!$A$7:$AZ$1000,0,IFERROR(MATCH(Z$5,'Oxford Economics'!$A$6:$AZ$6,0),MATCH(Z$5&amp;"",'Oxford Economics'!$A$6:$AZ$6,0))),'Oxford Economics'!$A$7:$A$1000,$C14,'Oxford Economics'!$B$7:$B$1000,Settings!$B$18)))),""))</f>
        <v>5654.06</v>
      </c>
      <c r="AA14" s="37" t="n">
        <f aca="false">IF($A14="","",IFERROR(1/(1/IF($B14="Residential",SUMIFS(INDEX('Oxford Economics'!$A$7:$AZ$1000,0,IFERROR(MATCH(AA$5,'Oxford Economics'!$A$6:$AZ$6,0),MATCH(AA$5&amp;"",'Oxford Economics'!$A$6:$AZ$6,0))),'Oxford Economics'!$A$7:$A$1000,$C14,'Oxford Economics'!$B$7:$B$1000,Settings!$B$12)-SUMIFS(INDEX('Oxford Economics'!$A$7:$AZ$1000,0,IFERROR(MATCH(AA$5,'Oxford Economics'!$A$6:$AZ$6,0),MATCH(AA$5&amp;"",'Oxford Economics'!$A$6:$AZ$6,0))),'Oxford Economics'!$A$7:$A$1000,$C14,'Oxford Economics'!$B$7:$B$1000,Settings!$B$14),SUMIFS(INDEX('Oxford Economics'!$A$7:$AZ$1000,0,IFERROR(MATCH(AA$5,'Oxford Economics'!$A$6:$AZ$6,0),MATCH(AA$5&amp;"",'Oxford Economics'!$A$6:$AZ$6,0))),'Oxford Economics'!$A$7:$A$1000,$C14,'Oxford Economics'!$B$7:$B$1000,Settings!$B$14)+SUMIFS(INDEX('Oxford Economics'!$A$7:$AZ$1000,0,IFERROR(MATCH(AA$5,'Oxford Economics'!$A$6:$AZ$6,0),MATCH(AA$5&amp;"",'Oxford Economics'!$A$6:$AZ$6,0))),'Oxford Economics'!$A$7:$A$1000,$C14,'Oxford Economics'!$B$7:$B$1000,Settings!$B$16)+IF(Settings!$B$18="",0,SUMIFS(INDEX('Oxford Economics'!$A$7:$AZ$1000,0,IFERROR(MATCH(AA$5,'Oxford Economics'!$A$6:$AZ$6,0),MATCH(AA$5&amp;"",'Oxford Economics'!$A$6:$AZ$6,0))),'Oxford Economics'!$A$7:$A$1000,$C14,'Oxford Economics'!$B$7:$B$1000,Settings!$B$18)))),""))</f>
        <v>5759.77</v>
      </c>
      <c r="AB14" s="37" t="n">
        <f aca="false">IF($A14="","",IFERROR(1/(1/IF($B14="Residential",SUMIFS(INDEX('Oxford Economics'!$A$7:$AZ$1000,0,IFERROR(MATCH(AB$5,'Oxford Economics'!$A$6:$AZ$6,0),MATCH(AB$5&amp;"",'Oxford Economics'!$A$6:$AZ$6,0))),'Oxford Economics'!$A$7:$A$1000,$C14,'Oxford Economics'!$B$7:$B$1000,Settings!$B$11)-SUMIFS(INDEX('Oxford Economics'!$A$7:$AZ$1000,0,IFERROR(MATCH(AB$5,'Oxford Economics'!$A$6:$AZ$6,0),MATCH(AB$5&amp;"",'Oxford Economics'!$A$6:$AZ$6,0))),'Oxford Economics'!$A$7:$A$1000,$C14,'Oxford Economics'!$B$7:$B$1000,Settings!$B$13),SUMIFS(INDEX('Oxford Economics'!$A$7:$AZ$1000,0,IFERROR(MATCH(AB$5,'Oxford Economics'!$A$6:$AZ$6,0),MATCH(AB$5&amp;"",'Oxford Economics'!$A$6:$AZ$6,0))),'Oxford Economics'!$A$7:$A$1000,$C14,'Oxford Economics'!$B$7:$B$1000,Settings!$B$13)+SUMIFS(INDEX('Oxford Economics'!$A$7:$AZ$1000,0,IFERROR(MATCH(AB$5,'Oxford Economics'!$A$6:$AZ$6,0),MATCH(AB$5&amp;"",'Oxford Economics'!$A$6:$AZ$6,0))),'Oxford Economics'!$A$7:$A$1000,$C14,'Oxford Economics'!$B$7:$B$1000,Settings!$B$15)+IF(Settings!$B$17="",0,SUMIFS(INDEX('Oxford Economics'!$A$7:$AZ$1000,0,IFERROR(MATCH(AB$5,'Oxford Economics'!$A$6:$AZ$6,0),MATCH(AB$5&amp;"",'Oxford Economics'!$A$6:$AZ$6,0))),'Oxford Economics'!$A$7:$A$1000,$C14,'Oxford Economics'!$B$7:$B$1000,Settings!$B$17)))),""))</f>
        <v>4326.69</v>
      </c>
      <c r="AC14" s="37" t="n">
        <f aca="false">IF($A14="","",IFERROR(1/(1/IF($B14="Residential",SUMIFS(INDEX('Oxford Economics'!$A$7:$AZ$1000,0,IFERROR(MATCH(AC$5,'Oxford Economics'!$A$6:$AZ$6,0),MATCH(AC$5&amp;"",'Oxford Economics'!$A$6:$AZ$6,0))),'Oxford Economics'!$A$7:$A$1000,$C14,'Oxford Economics'!$B$7:$B$1000,Settings!$B$11)-SUMIFS(INDEX('Oxford Economics'!$A$7:$AZ$1000,0,IFERROR(MATCH(AC$5,'Oxford Economics'!$A$6:$AZ$6,0),MATCH(AC$5&amp;"",'Oxford Economics'!$A$6:$AZ$6,0))),'Oxford Economics'!$A$7:$A$1000,$C14,'Oxford Economics'!$B$7:$B$1000,Settings!$B$13),SUMIFS(INDEX('Oxford Economics'!$A$7:$AZ$1000,0,IFERROR(MATCH(AC$5,'Oxford Economics'!$A$6:$AZ$6,0),MATCH(AC$5&amp;"",'Oxford Economics'!$A$6:$AZ$6,0))),'Oxford Economics'!$A$7:$A$1000,$C14,'Oxford Economics'!$B$7:$B$1000,Settings!$B$13)+SUMIFS(INDEX('Oxford Economics'!$A$7:$AZ$1000,0,IFERROR(MATCH(AC$5,'Oxford Economics'!$A$6:$AZ$6,0),MATCH(AC$5&amp;"",'Oxford Economics'!$A$6:$AZ$6,0))),'Oxford Economics'!$A$7:$A$1000,$C14,'Oxford Economics'!$B$7:$B$1000,Settings!$B$15)+IF(Settings!$B$17="",0,SUMIFS(INDEX('Oxford Economics'!$A$7:$AZ$1000,0,IFERROR(MATCH(AC$5,'Oxford Economics'!$A$6:$AZ$6,0),MATCH(AC$5&amp;"",'Oxford Economics'!$A$6:$AZ$6,0))),'Oxford Economics'!$A$7:$A$1000,$C14,'Oxford Economics'!$B$7:$B$1000,Settings!$B$17)))),""))</f>
        <v>4734.66</v>
      </c>
      <c r="AD14" s="37" t="n">
        <f aca="false">IF($A14="","",IFERROR(1/(1/IF($B14="Residential",SUMIFS(INDEX('Oxford Economics'!$A$7:$AZ$1000,0,IFERROR(MATCH(AD$5,'Oxford Economics'!$A$6:$AZ$6,0),MATCH(AD$5&amp;"",'Oxford Economics'!$A$6:$AZ$6,0))),'Oxford Economics'!$A$7:$A$1000,$C14,'Oxford Economics'!$B$7:$B$1000,Settings!$B$11)-SUMIFS(INDEX('Oxford Economics'!$A$7:$AZ$1000,0,IFERROR(MATCH(AD$5,'Oxford Economics'!$A$6:$AZ$6,0),MATCH(AD$5&amp;"",'Oxford Economics'!$A$6:$AZ$6,0))),'Oxford Economics'!$A$7:$A$1000,$C14,'Oxford Economics'!$B$7:$B$1000,Settings!$B$13),SUMIFS(INDEX('Oxford Economics'!$A$7:$AZ$1000,0,IFERROR(MATCH(AD$5,'Oxford Economics'!$A$6:$AZ$6,0),MATCH(AD$5&amp;"",'Oxford Economics'!$A$6:$AZ$6,0))),'Oxford Economics'!$A$7:$A$1000,$C14,'Oxford Economics'!$B$7:$B$1000,Settings!$B$13)+SUMIFS(INDEX('Oxford Economics'!$A$7:$AZ$1000,0,IFERROR(MATCH(AD$5,'Oxford Economics'!$A$6:$AZ$6,0),MATCH(AD$5&amp;"",'Oxford Economics'!$A$6:$AZ$6,0))),'Oxford Economics'!$A$7:$A$1000,$C14,'Oxford Economics'!$B$7:$B$1000,Settings!$B$15)+IF(Settings!$B$17="",0,SUMIFS(INDEX('Oxford Economics'!$A$7:$AZ$1000,0,IFERROR(MATCH(AD$5,'Oxford Economics'!$A$6:$AZ$6,0),MATCH(AD$5&amp;"",'Oxford Economics'!$A$6:$AZ$6,0))),'Oxford Economics'!$A$7:$A$1000,$C14,'Oxford Economics'!$B$7:$B$1000,Settings!$B$17)))),""))</f>
        <v>5020.3</v>
      </c>
      <c r="AE14" s="37" t="n">
        <f aca="false">IF($A14="","",IFERROR(1/(1/IF($B14="Residential",SUMIFS(INDEX('Oxford Economics'!$A$7:$AZ$1000,0,IFERROR(MATCH(AE$5,'Oxford Economics'!$A$6:$AZ$6,0),MATCH(AE$5&amp;"",'Oxford Economics'!$A$6:$AZ$6,0))),'Oxford Economics'!$A$7:$A$1000,$C14,'Oxford Economics'!$B$7:$B$1000,Settings!$B$11)-SUMIFS(INDEX('Oxford Economics'!$A$7:$AZ$1000,0,IFERROR(MATCH(AE$5,'Oxford Economics'!$A$6:$AZ$6,0),MATCH(AE$5&amp;"",'Oxford Economics'!$A$6:$AZ$6,0))),'Oxford Economics'!$A$7:$A$1000,$C14,'Oxford Economics'!$B$7:$B$1000,Settings!$B$13),SUMIFS(INDEX('Oxford Economics'!$A$7:$AZ$1000,0,IFERROR(MATCH(AE$5,'Oxford Economics'!$A$6:$AZ$6,0),MATCH(AE$5&amp;"",'Oxford Economics'!$A$6:$AZ$6,0))),'Oxford Economics'!$A$7:$A$1000,$C14,'Oxford Economics'!$B$7:$B$1000,Settings!$B$13)+SUMIFS(INDEX('Oxford Economics'!$A$7:$AZ$1000,0,IFERROR(MATCH(AE$5,'Oxford Economics'!$A$6:$AZ$6,0),MATCH(AE$5&amp;"",'Oxford Economics'!$A$6:$AZ$6,0))),'Oxford Economics'!$A$7:$A$1000,$C14,'Oxford Economics'!$B$7:$B$1000,Settings!$B$15)+IF(Settings!$B$17="",0,SUMIFS(INDEX('Oxford Economics'!$A$7:$AZ$1000,0,IFERROR(MATCH(AE$5,'Oxford Economics'!$A$6:$AZ$6,0),MATCH(AE$5&amp;"",'Oxford Economics'!$A$6:$AZ$6,0))),'Oxford Economics'!$A$7:$A$1000,$C14,'Oxford Economics'!$B$7:$B$1000,Settings!$B$17)))),""))</f>
        <v>4126.28</v>
      </c>
      <c r="AF14" s="37" t="n">
        <f aca="false">IF($A14="","",IFERROR(1/(1/IF($B14="Residential",SUMIFS(INDEX('Oxford Economics'!$A$7:$AZ$1000,0,IFERROR(MATCH(AF$5,'Oxford Economics'!$A$6:$AZ$6,0),MATCH(AF$5&amp;"",'Oxford Economics'!$A$6:$AZ$6,0))),'Oxford Economics'!$A$7:$A$1000,$C14,'Oxford Economics'!$B$7:$B$1000,Settings!$B$11)-SUMIFS(INDEX('Oxford Economics'!$A$7:$AZ$1000,0,IFERROR(MATCH(AF$5,'Oxford Economics'!$A$6:$AZ$6,0),MATCH(AF$5&amp;"",'Oxford Economics'!$A$6:$AZ$6,0))),'Oxford Economics'!$A$7:$A$1000,$C14,'Oxford Economics'!$B$7:$B$1000,Settings!$B$13),SUMIFS(INDEX('Oxford Economics'!$A$7:$AZ$1000,0,IFERROR(MATCH(AF$5,'Oxford Economics'!$A$6:$AZ$6,0),MATCH(AF$5&amp;"",'Oxford Economics'!$A$6:$AZ$6,0))),'Oxford Economics'!$A$7:$A$1000,$C14,'Oxford Economics'!$B$7:$B$1000,Settings!$B$13)+SUMIFS(INDEX('Oxford Economics'!$A$7:$AZ$1000,0,IFERROR(MATCH(AF$5,'Oxford Economics'!$A$6:$AZ$6,0),MATCH(AF$5&amp;"",'Oxford Economics'!$A$6:$AZ$6,0))),'Oxford Economics'!$A$7:$A$1000,$C14,'Oxford Economics'!$B$7:$B$1000,Settings!$B$15)+IF(Settings!$B$17="",0,SUMIFS(INDEX('Oxford Economics'!$A$7:$AZ$1000,0,IFERROR(MATCH(AF$5,'Oxford Economics'!$A$6:$AZ$6,0),MATCH(AF$5&amp;"",'Oxford Economics'!$A$6:$AZ$6,0))),'Oxford Economics'!$A$7:$A$1000,$C14,'Oxford Economics'!$B$7:$B$1000,Settings!$B$17)))),""))</f>
        <v>3408.62</v>
      </c>
      <c r="AG14" s="37" t="n">
        <f aca="false">IF($A14="","",IFERROR(1/(1/IF($B14="Residential",SUMIFS(INDEX('Oxford Economics'!$A$7:$AZ$1000,0,IFERROR(MATCH(AG$5,'Oxford Economics'!$A$6:$AZ$6,0),MATCH(AG$5&amp;"",'Oxford Economics'!$A$6:$AZ$6,0))),'Oxford Economics'!$A$7:$A$1000,$C14,'Oxford Economics'!$B$7:$B$1000,Settings!$B$11)-SUMIFS(INDEX('Oxford Economics'!$A$7:$AZ$1000,0,IFERROR(MATCH(AG$5,'Oxford Economics'!$A$6:$AZ$6,0),MATCH(AG$5&amp;"",'Oxford Economics'!$A$6:$AZ$6,0))),'Oxford Economics'!$A$7:$A$1000,$C14,'Oxford Economics'!$B$7:$B$1000,Settings!$B$13),SUMIFS(INDEX('Oxford Economics'!$A$7:$AZ$1000,0,IFERROR(MATCH(AG$5,'Oxford Economics'!$A$6:$AZ$6,0),MATCH(AG$5&amp;"",'Oxford Economics'!$A$6:$AZ$6,0))),'Oxford Economics'!$A$7:$A$1000,$C14,'Oxford Economics'!$B$7:$B$1000,Settings!$B$13)+SUMIFS(INDEX('Oxford Economics'!$A$7:$AZ$1000,0,IFERROR(MATCH(AG$5,'Oxford Economics'!$A$6:$AZ$6,0),MATCH(AG$5&amp;"",'Oxford Economics'!$A$6:$AZ$6,0))),'Oxford Economics'!$A$7:$A$1000,$C14,'Oxford Economics'!$B$7:$B$1000,Settings!$B$15)+IF(Settings!$B$17="",0,SUMIFS(INDEX('Oxford Economics'!$A$7:$AZ$1000,0,IFERROR(MATCH(AG$5,'Oxford Economics'!$A$6:$AZ$6,0),MATCH(AG$5&amp;"",'Oxford Economics'!$A$6:$AZ$6,0))),'Oxford Economics'!$A$7:$A$1000,$C14,'Oxford Economics'!$B$7:$B$1000,Settings!$B$17)))),""))</f>
        <v>3288.62</v>
      </c>
      <c r="AH14" s="37" t="n">
        <f aca="false">IF($A14="","",IFERROR(1/(1/IF($B14="Residential",SUMIFS(INDEX('Oxford Economics'!$A$7:$AZ$1000,0,IFERROR(MATCH(AH$5,'Oxford Economics'!$A$6:$AZ$6,0),MATCH(AH$5&amp;"",'Oxford Economics'!$A$6:$AZ$6,0))),'Oxford Economics'!$A$7:$A$1000,$C14,'Oxford Economics'!$B$7:$B$1000,Settings!$B$11)-SUMIFS(INDEX('Oxford Economics'!$A$7:$AZ$1000,0,IFERROR(MATCH(AH$5,'Oxford Economics'!$A$6:$AZ$6,0),MATCH(AH$5&amp;"",'Oxford Economics'!$A$6:$AZ$6,0))),'Oxford Economics'!$A$7:$A$1000,$C14,'Oxford Economics'!$B$7:$B$1000,Settings!$B$13),SUMIFS(INDEX('Oxford Economics'!$A$7:$AZ$1000,0,IFERROR(MATCH(AH$5,'Oxford Economics'!$A$6:$AZ$6,0),MATCH(AH$5&amp;"",'Oxford Economics'!$A$6:$AZ$6,0))),'Oxford Economics'!$A$7:$A$1000,$C14,'Oxford Economics'!$B$7:$B$1000,Settings!$B$13)+SUMIFS(INDEX('Oxford Economics'!$A$7:$AZ$1000,0,IFERROR(MATCH(AH$5,'Oxford Economics'!$A$6:$AZ$6,0),MATCH(AH$5&amp;"",'Oxford Economics'!$A$6:$AZ$6,0))),'Oxford Economics'!$A$7:$A$1000,$C14,'Oxford Economics'!$B$7:$B$1000,Settings!$B$15)+IF(Settings!$B$17="",0,SUMIFS(INDEX('Oxford Economics'!$A$7:$AZ$1000,0,IFERROR(MATCH(AH$5,'Oxford Economics'!$A$6:$AZ$6,0),MATCH(AH$5&amp;"",'Oxford Economics'!$A$6:$AZ$6,0))),'Oxford Economics'!$A$7:$A$1000,$C14,'Oxford Economics'!$B$7:$B$1000,Settings!$B$17)))),""))</f>
        <v>3484.93</v>
      </c>
      <c r="AI14" s="37" t="n">
        <f aca="false">IF($A14="","",IFERROR(1/(1/IF($B14="Residential",SUMIFS(INDEX('Oxford Economics'!$A$7:$AZ$1000,0,IFERROR(MATCH(AI$5,'Oxford Economics'!$A$6:$AZ$6,0),MATCH(AI$5&amp;"",'Oxford Economics'!$A$6:$AZ$6,0))),'Oxford Economics'!$A$7:$A$1000,$C14,'Oxford Economics'!$B$7:$B$1000,Settings!$B$11)-SUMIFS(INDEX('Oxford Economics'!$A$7:$AZ$1000,0,IFERROR(MATCH(AI$5,'Oxford Economics'!$A$6:$AZ$6,0),MATCH(AI$5&amp;"",'Oxford Economics'!$A$6:$AZ$6,0))),'Oxford Economics'!$A$7:$A$1000,$C14,'Oxford Economics'!$B$7:$B$1000,Settings!$B$13),SUMIFS(INDEX('Oxford Economics'!$A$7:$AZ$1000,0,IFERROR(MATCH(AI$5,'Oxford Economics'!$A$6:$AZ$6,0),MATCH(AI$5&amp;"",'Oxford Economics'!$A$6:$AZ$6,0))),'Oxford Economics'!$A$7:$A$1000,$C14,'Oxford Economics'!$B$7:$B$1000,Settings!$B$13)+SUMIFS(INDEX('Oxford Economics'!$A$7:$AZ$1000,0,IFERROR(MATCH(AI$5,'Oxford Economics'!$A$6:$AZ$6,0),MATCH(AI$5&amp;"",'Oxford Economics'!$A$6:$AZ$6,0))),'Oxford Economics'!$A$7:$A$1000,$C14,'Oxford Economics'!$B$7:$B$1000,Settings!$B$15)+IF(Settings!$B$17="",0,SUMIFS(INDEX('Oxford Economics'!$A$7:$AZ$1000,0,IFERROR(MATCH(AI$5,'Oxford Economics'!$A$6:$AZ$6,0),MATCH(AI$5&amp;"",'Oxford Economics'!$A$6:$AZ$6,0))),'Oxford Economics'!$A$7:$A$1000,$C14,'Oxford Economics'!$B$7:$B$1000,Settings!$B$17)))),""))</f>
        <v>3646.14</v>
      </c>
      <c r="AJ14" s="37" t="n">
        <f aca="false">IF($A14="","",IFERROR(1/(1/IF($B14="Residential",SUMIFS(INDEX('Oxford Economics'!$A$7:$AZ$1000,0,IFERROR(MATCH(AJ$5,'Oxford Economics'!$A$6:$AZ$6,0),MATCH(AJ$5&amp;"",'Oxford Economics'!$A$6:$AZ$6,0))),'Oxford Economics'!$A$7:$A$1000,$C14,'Oxford Economics'!$B$7:$B$1000,Settings!$B$11)-SUMIFS(INDEX('Oxford Economics'!$A$7:$AZ$1000,0,IFERROR(MATCH(AJ$5,'Oxford Economics'!$A$6:$AZ$6,0),MATCH(AJ$5&amp;"",'Oxford Economics'!$A$6:$AZ$6,0))),'Oxford Economics'!$A$7:$A$1000,$C14,'Oxford Economics'!$B$7:$B$1000,Settings!$B$13),SUMIFS(INDEX('Oxford Economics'!$A$7:$AZ$1000,0,IFERROR(MATCH(AJ$5,'Oxford Economics'!$A$6:$AZ$6,0),MATCH(AJ$5&amp;"",'Oxford Economics'!$A$6:$AZ$6,0))),'Oxford Economics'!$A$7:$A$1000,$C14,'Oxford Economics'!$B$7:$B$1000,Settings!$B$13)+SUMIFS(INDEX('Oxford Economics'!$A$7:$AZ$1000,0,IFERROR(MATCH(AJ$5,'Oxford Economics'!$A$6:$AZ$6,0),MATCH(AJ$5&amp;"",'Oxford Economics'!$A$6:$AZ$6,0))),'Oxford Economics'!$A$7:$A$1000,$C14,'Oxford Economics'!$B$7:$B$1000,Settings!$B$15)+IF(Settings!$B$17="",0,SUMIFS(INDEX('Oxford Economics'!$A$7:$AZ$1000,0,IFERROR(MATCH(AJ$5,'Oxford Economics'!$A$6:$AZ$6,0),MATCH(AJ$5&amp;"",'Oxford Economics'!$A$6:$AZ$6,0))),'Oxford Economics'!$A$7:$A$1000,$C14,'Oxford Economics'!$B$7:$B$1000,Settings!$B$17)))),""))</f>
        <v>3728.67</v>
      </c>
      <c r="AK14" s="37" t="n">
        <f aca="false">IF($A14="","",IFERROR(1/(1/IF($B14="Residential",SUMIFS(INDEX('Oxford Economics'!$A$7:$AZ$1000,0,IFERROR(MATCH(AK$5,'Oxford Economics'!$A$6:$AZ$6,0),MATCH(AK$5&amp;"",'Oxford Economics'!$A$6:$AZ$6,0))),'Oxford Economics'!$A$7:$A$1000,$C14,'Oxford Economics'!$B$7:$B$1000,Settings!$B$11)-SUMIFS(INDEX('Oxford Economics'!$A$7:$AZ$1000,0,IFERROR(MATCH(AK$5,'Oxford Economics'!$A$6:$AZ$6,0),MATCH(AK$5&amp;"",'Oxford Economics'!$A$6:$AZ$6,0))),'Oxford Economics'!$A$7:$A$1000,$C14,'Oxford Economics'!$B$7:$B$1000,Settings!$B$13),SUMIFS(INDEX('Oxford Economics'!$A$7:$AZ$1000,0,IFERROR(MATCH(AK$5,'Oxford Economics'!$A$6:$AZ$6,0),MATCH(AK$5&amp;"",'Oxford Economics'!$A$6:$AZ$6,0))),'Oxford Economics'!$A$7:$A$1000,$C14,'Oxford Economics'!$B$7:$B$1000,Settings!$B$13)+SUMIFS(INDEX('Oxford Economics'!$A$7:$AZ$1000,0,IFERROR(MATCH(AK$5,'Oxford Economics'!$A$6:$AZ$6,0),MATCH(AK$5&amp;"",'Oxford Economics'!$A$6:$AZ$6,0))),'Oxford Economics'!$A$7:$A$1000,$C14,'Oxford Economics'!$B$7:$B$1000,Settings!$B$15)+IF(Settings!$B$17="",0,SUMIFS(INDEX('Oxford Economics'!$A$7:$AZ$1000,0,IFERROR(MATCH(AK$5,'Oxford Economics'!$A$6:$AZ$6,0),MATCH(AK$5&amp;"",'Oxford Economics'!$A$6:$AZ$6,0))),'Oxford Economics'!$A$7:$A$1000,$C14,'Oxford Economics'!$B$7:$B$1000,Settings!$B$17)))),""))</f>
        <v>3795.46</v>
      </c>
      <c r="AL14" s="37" t="n">
        <f aca="false">IF($A14="","",IFERROR(1/(1/IF($B14="Residential",SUMIFS(INDEX('Oxford Economics'!$A$7:$AZ$1000,0,IFERROR(MATCH(AL$5,'Oxford Economics'!$A$6:$AZ$6,0),MATCH(AL$5&amp;"",'Oxford Economics'!$A$6:$AZ$6,0))),'Oxford Economics'!$A$7:$A$1000,$C14,'Oxford Economics'!$B$7:$B$1000,Settings!$B$11)-SUMIFS(INDEX('Oxford Economics'!$A$7:$AZ$1000,0,IFERROR(MATCH(AL$5,'Oxford Economics'!$A$6:$AZ$6,0),MATCH(AL$5&amp;"",'Oxford Economics'!$A$6:$AZ$6,0))),'Oxford Economics'!$A$7:$A$1000,$C14,'Oxford Economics'!$B$7:$B$1000,Settings!$B$13),SUMIFS(INDEX('Oxford Economics'!$A$7:$AZ$1000,0,IFERROR(MATCH(AL$5,'Oxford Economics'!$A$6:$AZ$6,0),MATCH(AL$5&amp;"",'Oxford Economics'!$A$6:$AZ$6,0))),'Oxford Economics'!$A$7:$A$1000,$C14,'Oxford Economics'!$B$7:$B$1000,Settings!$B$13)+SUMIFS(INDEX('Oxford Economics'!$A$7:$AZ$1000,0,IFERROR(MATCH(AL$5,'Oxford Economics'!$A$6:$AZ$6,0),MATCH(AL$5&amp;"",'Oxford Economics'!$A$6:$AZ$6,0))),'Oxford Economics'!$A$7:$A$1000,$C14,'Oxford Economics'!$B$7:$B$1000,Settings!$B$15)+IF(Settings!$B$17="",0,SUMIFS(INDEX('Oxford Economics'!$A$7:$AZ$1000,0,IFERROR(MATCH(AL$5,'Oxford Economics'!$A$6:$AZ$6,0),MATCH(AL$5&amp;"",'Oxford Economics'!$A$6:$AZ$6,0))),'Oxford Economics'!$A$7:$A$1000,$C14,'Oxford Economics'!$B$7:$B$1000,Settings!$B$17)))),""))</f>
        <v>3867.82</v>
      </c>
      <c r="AM14" s="37" t="n">
        <f aca="false">IF($A14="","",IFERROR(1/(1/IF($B14="Residential",SUMIFS(INDEX('Oxford Economics'!$A$7:$AZ$1000,0,IFERROR(MATCH(AM$5,'Oxford Economics'!$A$6:$AZ$6,0),MATCH(AM$5&amp;"",'Oxford Economics'!$A$6:$AZ$6,0))),'Oxford Economics'!$A$7:$A$1000,$C14,'Oxford Economics'!$B$7:$B$1000,Settings!$B$11)-SUMIFS(INDEX('Oxford Economics'!$A$7:$AZ$1000,0,IFERROR(MATCH(AM$5,'Oxford Economics'!$A$6:$AZ$6,0),MATCH(AM$5&amp;"",'Oxford Economics'!$A$6:$AZ$6,0))),'Oxford Economics'!$A$7:$A$1000,$C14,'Oxford Economics'!$B$7:$B$1000,Settings!$B$13),SUMIFS(INDEX('Oxford Economics'!$A$7:$AZ$1000,0,IFERROR(MATCH(AM$5,'Oxford Economics'!$A$6:$AZ$6,0),MATCH(AM$5&amp;"",'Oxford Economics'!$A$6:$AZ$6,0))),'Oxford Economics'!$A$7:$A$1000,$C14,'Oxford Economics'!$B$7:$B$1000,Settings!$B$13)+SUMIFS(INDEX('Oxford Economics'!$A$7:$AZ$1000,0,IFERROR(MATCH(AM$5,'Oxford Economics'!$A$6:$AZ$6,0),MATCH(AM$5&amp;"",'Oxford Economics'!$A$6:$AZ$6,0))),'Oxford Economics'!$A$7:$A$1000,$C14,'Oxford Economics'!$B$7:$B$1000,Settings!$B$15)+IF(Settings!$B$17="",0,SUMIFS(INDEX('Oxford Economics'!$A$7:$AZ$1000,0,IFERROR(MATCH(AM$5,'Oxford Economics'!$A$6:$AZ$6,0),MATCH(AM$5&amp;"",'Oxford Economics'!$A$6:$AZ$6,0))),'Oxford Economics'!$A$7:$A$1000,$C14,'Oxford Economics'!$B$7:$B$1000,Settings!$B$17)))),""))</f>
        <v>3930.66</v>
      </c>
    </row>
    <row r="15" customFormat="false" ht="15" hidden="false" customHeight="false" outlineLevel="0" collapsed="false">
      <c r="A15" s="36" t="str">
        <f aca="false">IF('Raw data'!$A15="","",'Raw data'!$A15)</f>
        <v>Sweden</v>
      </c>
      <c r="B15" s="36" t="str">
        <f aca="false">IF($A15="","",'Raw data'!$C15)</f>
        <v>Commercial</v>
      </c>
      <c r="C15" s="36" t="str">
        <f aca="false">IF($A15="","",IF('Raw data'!$D15="",$A15,'Raw data'!$D15))</f>
        <v>Sweden</v>
      </c>
      <c r="D15" s="37" t="n">
        <f aca="false">IF($A15="","",IF(AND(ISNUMBER(P15),ISNUMBER(AB15)),P15+AB15,""))</f>
        <v>17278.38</v>
      </c>
      <c r="E15" s="37" t="n">
        <f aca="false">IF($A15="","",IF(AND(ISNUMBER(Q15),ISNUMBER(AC15)),Q15+AC15,""))</f>
        <v>17683.56</v>
      </c>
      <c r="F15" s="37" t="n">
        <f aca="false">IF($A15="","",IF(AND(ISNUMBER(R15),ISNUMBER(AD15)),R15+AD15,""))</f>
        <v>18076.28</v>
      </c>
      <c r="G15" s="37" t="n">
        <f aca="false">IF($A15="","",IF(AND(ISNUMBER(S15),ISNUMBER(AE15)),S15+AE15,""))</f>
        <v>17772.72</v>
      </c>
      <c r="H15" s="37" t="n">
        <f aca="false">IF($A15="","",IF(AND(ISNUMBER(T15),ISNUMBER(AF15)),T15+AF15,""))</f>
        <v>17652.06</v>
      </c>
      <c r="I15" s="37" t="n">
        <f aca="false">IF($A15="","",IF(AND(ISNUMBER(U15),ISNUMBER(AG15)),U15+AG15,""))</f>
        <v>16933.1</v>
      </c>
      <c r="J15" s="37" t="n">
        <f aca="false">IF($A15="","",IF(AND(ISNUMBER(V15),ISNUMBER(AH15)),V15+AH15,""))</f>
        <v>16822.53</v>
      </c>
      <c r="K15" s="37" t="n">
        <f aca="false">IF($A15="","",IF(AND(ISNUMBER(W15),ISNUMBER(AI15)),W15+AI15,""))</f>
        <v>17106.48</v>
      </c>
      <c r="L15" s="37" t="n">
        <f aca="false">IF($A15="","",IF(AND(ISNUMBER(X15),ISNUMBER(AJ15)),X15+AJ15,""))</f>
        <v>17497.61</v>
      </c>
      <c r="M15" s="37" t="n">
        <f aca="false">IF($A15="","",IF(AND(ISNUMBER(Y15),ISNUMBER(AK15)),Y15+AK15,""))</f>
        <v>17916.37</v>
      </c>
      <c r="N15" s="37" t="n">
        <f aca="false">IF($A15="","",IF(AND(ISNUMBER(Z15),ISNUMBER(AL15)),Z15+AL15,""))</f>
        <v>18475.21</v>
      </c>
      <c r="O15" s="37" t="n">
        <f aca="false">IF($A15="","",IF(AND(ISNUMBER(AA15),ISNUMBER(AM15)),AA15+AM15,""))</f>
        <v>18820.48</v>
      </c>
      <c r="P15" s="37" t="n">
        <f aca="false">IF($A15="","",IFERROR(1/(1/IF($B15="Residential",SUMIFS(INDEX('Oxford Economics'!$A$7:$AZ$1000,0,IFERROR(MATCH(P$5,'Oxford Economics'!$A$6:$AZ$6,0),MATCH(P$5&amp;"",'Oxford Economics'!$A$6:$AZ$6,0))),'Oxford Economics'!$A$7:$A$1000,$C15,'Oxford Economics'!$B$7:$B$1000,Settings!$B$12)-SUMIFS(INDEX('Oxford Economics'!$A$7:$AZ$1000,0,IFERROR(MATCH(P$5,'Oxford Economics'!$A$6:$AZ$6,0),MATCH(P$5&amp;"",'Oxford Economics'!$A$6:$AZ$6,0))),'Oxford Economics'!$A$7:$A$1000,$C15,'Oxford Economics'!$B$7:$B$1000,Settings!$B$14),SUMIFS(INDEX('Oxford Economics'!$A$7:$AZ$1000,0,IFERROR(MATCH(P$5,'Oxford Economics'!$A$6:$AZ$6,0),MATCH(P$5&amp;"",'Oxford Economics'!$A$6:$AZ$6,0))),'Oxford Economics'!$A$7:$A$1000,$C15,'Oxford Economics'!$B$7:$B$1000,Settings!$B$14)+SUMIFS(INDEX('Oxford Economics'!$A$7:$AZ$1000,0,IFERROR(MATCH(P$5,'Oxford Economics'!$A$6:$AZ$6,0),MATCH(P$5&amp;"",'Oxford Economics'!$A$6:$AZ$6,0))),'Oxford Economics'!$A$7:$A$1000,$C15,'Oxford Economics'!$B$7:$B$1000,Settings!$B$16)+IF(Settings!$B$18="",0,SUMIFS(INDEX('Oxford Economics'!$A$7:$AZ$1000,0,IFERROR(MATCH(P$5,'Oxford Economics'!$A$6:$AZ$6,0),MATCH(P$5&amp;"",'Oxford Economics'!$A$6:$AZ$6,0))),'Oxford Economics'!$A$7:$A$1000,$C15,'Oxford Economics'!$B$7:$B$1000,Settings!$B$18)))),""))</f>
        <v>7171.26</v>
      </c>
      <c r="Q15" s="37" t="n">
        <f aca="false">IF($A15="","",IFERROR(1/(1/IF($B15="Residential",SUMIFS(INDEX('Oxford Economics'!$A$7:$AZ$1000,0,IFERROR(MATCH(Q$5,'Oxford Economics'!$A$6:$AZ$6,0),MATCH(Q$5&amp;"",'Oxford Economics'!$A$6:$AZ$6,0))),'Oxford Economics'!$A$7:$A$1000,$C15,'Oxford Economics'!$B$7:$B$1000,Settings!$B$12)-SUMIFS(INDEX('Oxford Economics'!$A$7:$AZ$1000,0,IFERROR(MATCH(Q$5,'Oxford Economics'!$A$6:$AZ$6,0),MATCH(Q$5&amp;"",'Oxford Economics'!$A$6:$AZ$6,0))),'Oxford Economics'!$A$7:$A$1000,$C15,'Oxford Economics'!$B$7:$B$1000,Settings!$B$14),SUMIFS(INDEX('Oxford Economics'!$A$7:$AZ$1000,0,IFERROR(MATCH(Q$5,'Oxford Economics'!$A$6:$AZ$6,0),MATCH(Q$5&amp;"",'Oxford Economics'!$A$6:$AZ$6,0))),'Oxford Economics'!$A$7:$A$1000,$C15,'Oxford Economics'!$B$7:$B$1000,Settings!$B$14)+SUMIFS(INDEX('Oxford Economics'!$A$7:$AZ$1000,0,IFERROR(MATCH(Q$5,'Oxford Economics'!$A$6:$AZ$6,0),MATCH(Q$5&amp;"",'Oxford Economics'!$A$6:$AZ$6,0))),'Oxford Economics'!$A$7:$A$1000,$C15,'Oxford Economics'!$B$7:$B$1000,Settings!$B$16)+IF(Settings!$B$18="",0,SUMIFS(INDEX('Oxford Economics'!$A$7:$AZ$1000,0,IFERROR(MATCH(Q$5,'Oxford Economics'!$A$6:$AZ$6,0),MATCH(Q$5&amp;"",'Oxford Economics'!$A$6:$AZ$6,0))),'Oxford Economics'!$A$7:$A$1000,$C15,'Oxford Economics'!$B$7:$B$1000,Settings!$B$18)))),""))</f>
        <v>7319.44</v>
      </c>
      <c r="R15" s="37" t="n">
        <f aca="false">IF($A15="","",IFERROR(1/(1/IF($B15="Residential",SUMIFS(INDEX('Oxford Economics'!$A$7:$AZ$1000,0,IFERROR(MATCH(R$5,'Oxford Economics'!$A$6:$AZ$6,0),MATCH(R$5&amp;"",'Oxford Economics'!$A$6:$AZ$6,0))),'Oxford Economics'!$A$7:$A$1000,$C15,'Oxford Economics'!$B$7:$B$1000,Settings!$B$12)-SUMIFS(INDEX('Oxford Economics'!$A$7:$AZ$1000,0,IFERROR(MATCH(R$5,'Oxford Economics'!$A$6:$AZ$6,0),MATCH(R$5&amp;"",'Oxford Economics'!$A$6:$AZ$6,0))),'Oxford Economics'!$A$7:$A$1000,$C15,'Oxford Economics'!$B$7:$B$1000,Settings!$B$14),SUMIFS(INDEX('Oxford Economics'!$A$7:$AZ$1000,0,IFERROR(MATCH(R$5,'Oxford Economics'!$A$6:$AZ$6,0),MATCH(R$5&amp;"",'Oxford Economics'!$A$6:$AZ$6,0))),'Oxford Economics'!$A$7:$A$1000,$C15,'Oxford Economics'!$B$7:$B$1000,Settings!$B$14)+SUMIFS(INDEX('Oxford Economics'!$A$7:$AZ$1000,0,IFERROR(MATCH(R$5,'Oxford Economics'!$A$6:$AZ$6,0),MATCH(R$5&amp;"",'Oxford Economics'!$A$6:$AZ$6,0))),'Oxford Economics'!$A$7:$A$1000,$C15,'Oxford Economics'!$B$7:$B$1000,Settings!$B$16)+IF(Settings!$B$18="",0,SUMIFS(INDEX('Oxford Economics'!$A$7:$AZ$1000,0,IFERROR(MATCH(R$5,'Oxford Economics'!$A$6:$AZ$6,0),MATCH(R$5&amp;"",'Oxford Economics'!$A$6:$AZ$6,0))),'Oxford Economics'!$A$7:$A$1000,$C15,'Oxford Economics'!$B$7:$B$1000,Settings!$B$18)))),""))</f>
        <v>7514.95</v>
      </c>
      <c r="S15" s="37" t="n">
        <f aca="false">IF($A15="","",IFERROR(1/(1/IF($B15="Residential",SUMIFS(INDEX('Oxford Economics'!$A$7:$AZ$1000,0,IFERROR(MATCH(S$5,'Oxford Economics'!$A$6:$AZ$6,0),MATCH(S$5&amp;"",'Oxford Economics'!$A$6:$AZ$6,0))),'Oxford Economics'!$A$7:$A$1000,$C15,'Oxford Economics'!$B$7:$B$1000,Settings!$B$12)-SUMIFS(INDEX('Oxford Economics'!$A$7:$AZ$1000,0,IFERROR(MATCH(S$5,'Oxford Economics'!$A$6:$AZ$6,0),MATCH(S$5&amp;"",'Oxford Economics'!$A$6:$AZ$6,0))),'Oxford Economics'!$A$7:$A$1000,$C15,'Oxford Economics'!$B$7:$B$1000,Settings!$B$14),SUMIFS(INDEX('Oxford Economics'!$A$7:$AZ$1000,0,IFERROR(MATCH(S$5,'Oxford Economics'!$A$6:$AZ$6,0),MATCH(S$5&amp;"",'Oxford Economics'!$A$6:$AZ$6,0))),'Oxford Economics'!$A$7:$A$1000,$C15,'Oxford Economics'!$B$7:$B$1000,Settings!$B$14)+SUMIFS(INDEX('Oxford Economics'!$A$7:$AZ$1000,0,IFERROR(MATCH(S$5,'Oxford Economics'!$A$6:$AZ$6,0),MATCH(S$5&amp;"",'Oxford Economics'!$A$6:$AZ$6,0))),'Oxford Economics'!$A$7:$A$1000,$C15,'Oxford Economics'!$B$7:$B$1000,Settings!$B$16)+IF(Settings!$B$18="",0,SUMIFS(INDEX('Oxford Economics'!$A$7:$AZ$1000,0,IFERROR(MATCH(S$5,'Oxford Economics'!$A$6:$AZ$6,0),MATCH(S$5&amp;"",'Oxford Economics'!$A$6:$AZ$6,0))),'Oxford Economics'!$A$7:$A$1000,$C15,'Oxford Economics'!$B$7:$B$1000,Settings!$B$18)))),""))</f>
        <v>8457.81</v>
      </c>
      <c r="T15" s="37" t="n">
        <f aca="false">IF($A15="","",IFERROR(1/(1/IF($B15="Residential",SUMIFS(INDEX('Oxford Economics'!$A$7:$AZ$1000,0,IFERROR(MATCH(T$5,'Oxford Economics'!$A$6:$AZ$6,0),MATCH(T$5&amp;"",'Oxford Economics'!$A$6:$AZ$6,0))),'Oxford Economics'!$A$7:$A$1000,$C15,'Oxford Economics'!$B$7:$B$1000,Settings!$B$12)-SUMIFS(INDEX('Oxford Economics'!$A$7:$AZ$1000,0,IFERROR(MATCH(T$5,'Oxford Economics'!$A$6:$AZ$6,0),MATCH(T$5&amp;"",'Oxford Economics'!$A$6:$AZ$6,0))),'Oxford Economics'!$A$7:$A$1000,$C15,'Oxford Economics'!$B$7:$B$1000,Settings!$B$14),SUMIFS(INDEX('Oxford Economics'!$A$7:$AZ$1000,0,IFERROR(MATCH(T$5,'Oxford Economics'!$A$6:$AZ$6,0),MATCH(T$5&amp;"",'Oxford Economics'!$A$6:$AZ$6,0))),'Oxford Economics'!$A$7:$A$1000,$C15,'Oxford Economics'!$B$7:$B$1000,Settings!$B$14)+SUMIFS(INDEX('Oxford Economics'!$A$7:$AZ$1000,0,IFERROR(MATCH(T$5,'Oxford Economics'!$A$6:$AZ$6,0),MATCH(T$5&amp;"",'Oxford Economics'!$A$6:$AZ$6,0))),'Oxford Economics'!$A$7:$A$1000,$C15,'Oxford Economics'!$B$7:$B$1000,Settings!$B$16)+IF(Settings!$B$18="",0,SUMIFS(INDEX('Oxford Economics'!$A$7:$AZ$1000,0,IFERROR(MATCH(T$5,'Oxford Economics'!$A$6:$AZ$6,0),MATCH(T$5&amp;"",'Oxford Economics'!$A$6:$AZ$6,0))),'Oxford Economics'!$A$7:$A$1000,$C15,'Oxford Economics'!$B$7:$B$1000,Settings!$B$18)))),""))</f>
        <v>9366.23</v>
      </c>
      <c r="U15" s="37" t="n">
        <f aca="false">IF($A15="","",IFERROR(1/(1/IF($B15="Residential",SUMIFS(INDEX('Oxford Economics'!$A$7:$AZ$1000,0,IFERROR(MATCH(U$5,'Oxford Economics'!$A$6:$AZ$6,0),MATCH(U$5&amp;"",'Oxford Economics'!$A$6:$AZ$6,0))),'Oxford Economics'!$A$7:$A$1000,$C15,'Oxford Economics'!$B$7:$B$1000,Settings!$B$12)-SUMIFS(INDEX('Oxford Economics'!$A$7:$AZ$1000,0,IFERROR(MATCH(U$5,'Oxford Economics'!$A$6:$AZ$6,0),MATCH(U$5&amp;"",'Oxford Economics'!$A$6:$AZ$6,0))),'Oxford Economics'!$A$7:$A$1000,$C15,'Oxford Economics'!$B$7:$B$1000,Settings!$B$14),SUMIFS(INDEX('Oxford Economics'!$A$7:$AZ$1000,0,IFERROR(MATCH(U$5,'Oxford Economics'!$A$6:$AZ$6,0),MATCH(U$5&amp;"",'Oxford Economics'!$A$6:$AZ$6,0))),'Oxford Economics'!$A$7:$A$1000,$C15,'Oxford Economics'!$B$7:$B$1000,Settings!$B$14)+SUMIFS(INDEX('Oxford Economics'!$A$7:$AZ$1000,0,IFERROR(MATCH(U$5,'Oxford Economics'!$A$6:$AZ$6,0),MATCH(U$5&amp;"",'Oxford Economics'!$A$6:$AZ$6,0))),'Oxford Economics'!$A$7:$A$1000,$C15,'Oxford Economics'!$B$7:$B$1000,Settings!$B$16)+IF(Settings!$B$18="",0,SUMIFS(INDEX('Oxford Economics'!$A$7:$AZ$1000,0,IFERROR(MATCH(U$5,'Oxford Economics'!$A$6:$AZ$6,0),MATCH(U$5&amp;"",'Oxford Economics'!$A$6:$AZ$6,0))),'Oxford Economics'!$A$7:$A$1000,$C15,'Oxford Economics'!$B$7:$B$1000,Settings!$B$18)))),""))</f>
        <v>9161.16</v>
      </c>
      <c r="V15" s="37" t="n">
        <f aca="false">IF($A15="","",IFERROR(1/(1/IF($B15="Residential",SUMIFS(INDEX('Oxford Economics'!$A$7:$AZ$1000,0,IFERROR(MATCH(V$5,'Oxford Economics'!$A$6:$AZ$6,0),MATCH(V$5&amp;"",'Oxford Economics'!$A$6:$AZ$6,0))),'Oxford Economics'!$A$7:$A$1000,$C15,'Oxford Economics'!$B$7:$B$1000,Settings!$B$12)-SUMIFS(INDEX('Oxford Economics'!$A$7:$AZ$1000,0,IFERROR(MATCH(V$5,'Oxford Economics'!$A$6:$AZ$6,0),MATCH(V$5&amp;"",'Oxford Economics'!$A$6:$AZ$6,0))),'Oxford Economics'!$A$7:$A$1000,$C15,'Oxford Economics'!$B$7:$B$1000,Settings!$B$14),SUMIFS(INDEX('Oxford Economics'!$A$7:$AZ$1000,0,IFERROR(MATCH(V$5,'Oxford Economics'!$A$6:$AZ$6,0),MATCH(V$5&amp;"",'Oxford Economics'!$A$6:$AZ$6,0))),'Oxford Economics'!$A$7:$A$1000,$C15,'Oxford Economics'!$B$7:$B$1000,Settings!$B$14)+SUMIFS(INDEX('Oxford Economics'!$A$7:$AZ$1000,0,IFERROR(MATCH(V$5,'Oxford Economics'!$A$6:$AZ$6,0),MATCH(V$5&amp;"",'Oxford Economics'!$A$6:$AZ$6,0))),'Oxford Economics'!$A$7:$A$1000,$C15,'Oxford Economics'!$B$7:$B$1000,Settings!$B$16)+IF(Settings!$B$18="",0,SUMIFS(INDEX('Oxford Economics'!$A$7:$AZ$1000,0,IFERROR(MATCH(V$5,'Oxford Economics'!$A$6:$AZ$6,0),MATCH(V$5&amp;"",'Oxford Economics'!$A$6:$AZ$6,0))),'Oxford Economics'!$A$7:$A$1000,$C15,'Oxford Economics'!$B$7:$B$1000,Settings!$B$18)))),""))</f>
        <v>8941.93</v>
      </c>
      <c r="W15" s="37" t="n">
        <f aca="false">IF($A15="","",IFERROR(1/(1/IF($B15="Residential",SUMIFS(INDEX('Oxford Economics'!$A$7:$AZ$1000,0,IFERROR(MATCH(W$5,'Oxford Economics'!$A$6:$AZ$6,0),MATCH(W$5&amp;"",'Oxford Economics'!$A$6:$AZ$6,0))),'Oxford Economics'!$A$7:$A$1000,$C15,'Oxford Economics'!$B$7:$B$1000,Settings!$B$12)-SUMIFS(INDEX('Oxford Economics'!$A$7:$AZ$1000,0,IFERROR(MATCH(W$5,'Oxford Economics'!$A$6:$AZ$6,0),MATCH(W$5&amp;"",'Oxford Economics'!$A$6:$AZ$6,0))),'Oxford Economics'!$A$7:$A$1000,$C15,'Oxford Economics'!$B$7:$B$1000,Settings!$B$14),SUMIFS(INDEX('Oxford Economics'!$A$7:$AZ$1000,0,IFERROR(MATCH(W$5,'Oxford Economics'!$A$6:$AZ$6,0),MATCH(W$5&amp;"",'Oxford Economics'!$A$6:$AZ$6,0))),'Oxford Economics'!$A$7:$A$1000,$C15,'Oxford Economics'!$B$7:$B$1000,Settings!$B$14)+SUMIFS(INDEX('Oxford Economics'!$A$7:$AZ$1000,0,IFERROR(MATCH(W$5,'Oxford Economics'!$A$6:$AZ$6,0),MATCH(W$5&amp;"",'Oxford Economics'!$A$6:$AZ$6,0))),'Oxford Economics'!$A$7:$A$1000,$C15,'Oxford Economics'!$B$7:$B$1000,Settings!$B$16)+IF(Settings!$B$18="",0,SUMIFS(INDEX('Oxford Economics'!$A$7:$AZ$1000,0,IFERROR(MATCH(W$5,'Oxford Economics'!$A$6:$AZ$6,0),MATCH(W$5&amp;"",'Oxford Economics'!$A$6:$AZ$6,0))),'Oxford Economics'!$A$7:$A$1000,$C15,'Oxford Economics'!$B$7:$B$1000,Settings!$B$18)))),""))</f>
        <v>9038.01</v>
      </c>
      <c r="X15" s="37" t="n">
        <f aca="false">IF($A15="","",IFERROR(1/(1/IF($B15="Residential",SUMIFS(INDEX('Oxford Economics'!$A$7:$AZ$1000,0,IFERROR(MATCH(X$5,'Oxford Economics'!$A$6:$AZ$6,0),MATCH(X$5&amp;"",'Oxford Economics'!$A$6:$AZ$6,0))),'Oxford Economics'!$A$7:$A$1000,$C15,'Oxford Economics'!$B$7:$B$1000,Settings!$B$12)-SUMIFS(INDEX('Oxford Economics'!$A$7:$AZ$1000,0,IFERROR(MATCH(X$5,'Oxford Economics'!$A$6:$AZ$6,0),MATCH(X$5&amp;"",'Oxford Economics'!$A$6:$AZ$6,0))),'Oxford Economics'!$A$7:$A$1000,$C15,'Oxford Economics'!$B$7:$B$1000,Settings!$B$14),SUMIFS(INDEX('Oxford Economics'!$A$7:$AZ$1000,0,IFERROR(MATCH(X$5,'Oxford Economics'!$A$6:$AZ$6,0),MATCH(X$5&amp;"",'Oxford Economics'!$A$6:$AZ$6,0))),'Oxford Economics'!$A$7:$A$1000,$C15,'Oxford Economics'!$B$7:$B$1000,Settings!$B$14)+SUMIFS(INDEX('Oxford Economics'!$A$7:$AZ$1000,0,IFERROR(MATCH(X$5,'Oxford Economics'!$A$6:$AZ$6,0),MATCH(X$5&amp;"",'Oxford Economics'!$A$6:$AZ$6,0))),'Oxford Economics'!$A$7:$A$1000,$C15,'Oxford Economics'!$B$7:$B$1000,Settings!$B$16)+IF(Settings!$B$18="",0,SUMIFS(INDEX('Oxford Economics'!$A$7:$AZ$1000,0,IFERROR(MATCH(X$5,'Oxford Economics'!$A$6:$AZ$6,0),MATCH(X$5&amp;"",'Oxford Economics'!$A$6:$AZ$6,0))),'Oxford Economics'!$A$7:$A$1000,$C15,'Oxford Economics'!$B$7:$B$1000,Settings!$B$18)))),""))</f>
        <v>9303.59</v>
      </c>
      <c r="Y15" s="37" t="n">
        <f aca="false">IF($A15="","",IFERROR(1/(1/IF($B15="Residential",SUMIFS(INDEX('Oxford Economics'!$A$7:$AZ$1000,0,IFERROR(MATCH(Y$5,'Oxford Economics'!$A$6:$AZ$6,0),MATCH(Y$5&amp;"",'Oxford Economics'!$A$6:$AZ$6,0))),'Oxford Economics'!$A$7:$A$1000,$C15,'Oxford Economics'!$B$7:$B$1000,Settings!$B$12)-SUMIFS(INDEX('Oxford Economics'!$A$7:$AZ$1000,0,IFERROR(MATCH(Y$5,'Oxford Economics'!$A$6:$AZ$6,0),MATCH(Y$5&amp;"",'Oxford Economics'!$A$6:$AZ$6,0))),'Oxford Economics'!$A$7:$A$1000,$C15,'Oxford Economics'!$B$7:$B$1000,Settings!$B$14),SUMIFS(INDEX('Oxford Economics'!$A$7:$AZ$1000,0,IFERROR(MATCH(Y$5,'Oxford Economics'!$A$6:$AZ$6,0),MATCH(Y$5&amp;"",'Oxford Economics'!$A$6:$AZ$6,0))),'Oxford Economics'!$A$7:$A$1000,$C15,'Oxford Economics'!$B$7:$B$1000,Settings!$B$14)+SUMIFS(INDEX('Oxford Economics'!$A$7:$AZ$1000,0,IFERROR(MATCH(Y$5,'Oxford Economics'!$A$6:$AZ$6,0),MATCH(Y$5&amp;"",'Oxford Economics'!$A$6:$AZ$6,0))),'Oxford Economics'!$A$7:$A$1000,$C15,'Oxford Economics'!$B$7:$B$1000,Settings!$B$16)+IF(Settings!$B$18="",0,SUMIFS(INDEX('Oxford Economics'!$A$7:$AZ$1000,0,IFERROR(MATCH(Y$5,'Oxford Economics'!$A$6:$AZ$6,0),MATCH(Y$5&amp;"",'Oxford Economics'!$A$6:$AZ$6,0))),'Oxford Economics'!$A$7:$A$1000,$C15,'Oxford Economics'!$B$7:$B$1000,Settings!$B$18)))),""))</f>
        <v>9621.21</v>
      </c>
      <c r="Z15" s="37" t="n">
        <f aca="false">IF($A15="","",IFERROR(1/(1/IF($B15="Residential",SUMIFS(INDEX('Oxford Economics'!$A$7:$AZ$1000,0,IFERROR(MATCH(Z$5,'Oxford Economics'!$A$6:$AZ$6,0),MATCH(Z$5&amp;"",'Oxford Economics'!$A$6:$AZ$6,0))),'Oxford Economics'!$A$7:$A$1000,$C15,'Oxford Economics'!$B$7:$B$1000,Settings!$B$12)-SUMIFS(INDEX('Oxford Economics'!$A$7:$AZ$1000,0,IFERROR(MATCH(Z$5,'Oxford Economics'!$A$6:$AZ$6,0),MATCH(Z$5&amp;"",'Oxford Economics'!$A$6:$AZ$6,0))),'Oxford Economics'!$A$7:$A$1000,$C15,'Oxford Economics'!$B$7:$B$1000,Settings!$B$14),SUMIFS(INDEX('Oxford Economics'!$A$7:$AZ$1000,0,IFERROR(MATCH(Z$5,'Oxford Economics'!$A$6:$AZ$6,0),MATCH(Z$5&amp;"",'Oxford Economics'!$A$6:$AZ$6,0))),'Oxford Economics'!$A$7:$A$1000,$C15,'Oxford Economics'!$B$7:$B$1000,Settings!$B$14)+SUMIFS(INDEX('Oxford Economics'!$A$7:$AZ$1000,0,IFERROR(MATCH(Z$5,'Oxford Economics'!$A$6:$AZ$6,0),MATCH(Z$5&amp;"",'Oxford Economics'!$A$6:$AZ$6,0))),'Oxford Economics'!$A$7:$A$1000,$C15,'Oxford Economics'!$B$7:$B$1000,Settings!$B$16)+IF(Settings!$B$18="",0,SUMIFS(INDEX('Oxford Economics'!$A$7:$AZ$1000,0,IFERROR(MATCH(Z$5,'Oxford Economics'!$A$6:$AZ$6,0),MATCH(Z$5&amp;"",'Oxford Economics'!$A$6:$AZ$6,0))),'Oxford Economics'!$A$7:$A$1000,$C15,'Oxford Economics'!$B$7:$B$1000,Settings!$B$18)))),""))</f>
        <v>10026.21</v>
      </c>
      <c r="AA15" s="37" t="n">
        <f aca="false">IF($A15="","",IFERROR(1/(1/IF($B15="Residential",SUMIFS(INDEX('Oxford Economics'!$A$7:$AZ$1000,0,IFERROR(MATCH(AA$5,'Oxford Economics'!$A$6:$AZ$6,0),MATCH(AA$5&amp;"",'Oxford Economics'!$A$6:$AZ$6,0))),'Oxford Economics'!$A$7:$A$1000,$C15,'Oxford Economics'!$B$7:$B$1000,Settings!$B$12)-SUMIFS(INDEX('Oxford Economics'!$A$7:$AZ$1000,0,IFERROR(MATCH(AA$5,'Oxford Economics'!$A$6:$AZ$6,0),MATCH(AA$5&amp;"",'Oxford Economics'!$A$6:$AZ$6,0))),'Oxford Economics'!$A$7:$A$1000,$C15,'Oxford Economics'!$B$7:$B$1000,Settings!$B$14),SUMIFS(INDEX('Oxford Economics'!$A$7:$AZ$1000,0,IFERROR(MATCH(AA$5,'Oxford Economics'!$A$6:$AZ$6,0),MATCH(AA$5&amp;"",'Oxford Economics'!$A$6:$AZ$6,0))),'Oxford Economics'!$A$7:$A$1000,$C15,'Oxford Economics'!$B$7:$B$1000,Settings!$B$14)+SUMIFS(INDEX('Oxford Economics'!$A$7:$AZ$1000,0,IFERROR(MATCH(AA$5,'Oxford Economics'!$A$6:$AZ$6,0),MATCH(AA$5&amp;"",'Oxford Economics'!$A$6:$AZ$6,0))),'Oxford Economics'!$A$7:$A$1000,$C15,'Oxford Economics'!$B$7:$B$1000,Settings!$B$16)+IF(Settings!$B$18="",0,SUMIFS(INDEX('Oxford Economics'!$A$7:$AZ$1000,0,IFERROR(MATCH(AA$5,'Oxford Economics'!$A$6:$AZ$6,0),MATCH(AA$5&amp;"",'Oxford Economics'!$A$6:$AZ$6,0))),'Oxford Economics'!$A$7:$A$1000,$C15,'Oxford Economics'!$B$7:$B$1000,Settings!$B$18)))),""))</f>
        <v>10197.62</v>
      </c>
      <c r="AB15" s="37" t="n">
        <f aca="false">IF($A15="","",IFERROR(1/(1/IF($B15="Residential",SUMIFS(INDEX('Oxford Economics'!$A$7:$AZ$1000,0,IFERROR(MATCH(AB$5,'Oxford Economics'!$A$6:$AZ$6,0),MATCH(AB$5&amp;"",'Oxford Economics'!$A$6:$AZ$6,0))),'Oxford Economics'!$A$7:$A$1000,$C15,'Oxford Economics'!$B$7:$B$1000,Settings!$B$11)-SUMIFS(INDEX('Oxford Economics'!$A$7:$AZ$1000,0,IFERROR(MATCH(AB$5,'Oxford Economics'!$A$6:$AZ$6,0),MATCH(AB$5&amp;"",'Oxford Economics'!$A$6:$AZ$6,0))),'Oxford Economics'!$A$7:$A$1000,$C15,'Oxford Economics'!$B$7:$B$1000,Settings!$B$13),SUMIFS(INDEX('Oxford Economics'!$A$7:$AZ$1000,0,IFERROR(MATCH(AB$5,'Oxford Economics'!$A$6:$AZ$6,0),MATCH(AB$5&amp;"",'Oxford Economics'!$A$6:$AZ$6,0))),'Oxford Economics'!$A$7:$A$1000,$C15,'Oxford Economics'!$B$7:$B$1000,Settings!$B$13)+SUMIFS(INDEX('Oxford Economics'!$A$7:$AZ$1000,0,IFERROR(MATCH(AB$5,'Oxford Economics'!$A$6:$AZ$6,0),MATCH(AB$5&amp;"",'Oxford Economics'!$A$6:$AZ$6,0))),'Oxford Economics'!$A$7:$A$1000,$C15,'Oxford Economics'!$B$7:$B$1000,Settings!$B$15)+IF(Settings!$B$17="",0,SUMIFS(INDEX('Oxford Economics'!$A$7:$AZ$1000,0,IFERROR(MATCH(AB$5,'Oxford Economics'!$A$6:$AZ$6,0),MATCH(AB$5&amp;"",'Oxford Economics'!$A$6:$AZ$6,0))),'Oxford Economics'!$A$7:$A$1000,$C15,'Oxford Economics'!$B$7:$B$1000,Settings!$B$17)))),""))</f>
        <v>10107.12</v>
      </c>
      <c r="AC15" s="37" t="n">
        <f aca="false">IF($A15="","",IFERROR(1/(1/IF($B15="Residential",SUMIFS(INDEX('Oxford Economics'!$A$7:$AZ$1000,0,IFERROR(MATCH(AC$5,'Oxford Economics'!$A$6:$AZ$6,0),MATCH(AC$5&amp;"",'Oxford Economics'!$A$6:$AZ$6,0))),'Oxford Economics'!$A$7:$A$1000,$C15,'Oxford Economics'!$B$7:$B$1000,Settings!$B$11)-SUMIFS(INDEX('Oxford Economics'!$A$7:$AZ$1000,0,IFERROR(MATCH(AC$5,'Oxford Economics'!$A$6:$AZ$6,0),MATCH(AC$5&amp;"",'Oxford Economics'!$A$6:$AZ$6,0))),'Oxford Economics'!$A$7:$A$1000,$C15,'Oxford Economics'!$B$7:$B$1000,Settings!$B$13),SUMIFS(INDEX('Oxford Economics'!$A$7:$AZ$1000,0,IFERROR(MATCH(AC$5,'Oxford Economics'!$A$6:$AZ$6,0),MATCH(AC$5&amp;"",'Oxford Economics'!$A$6:$AZ$6,0))),'Oxford Economics'!$A$7:$A$1000,$C15,'Oxford Economics'!$B$7:$B$1000,Settings!$B$13)+SUMIFS(INDEX('Oxford Economics'!$A$7:$AZ$1000,0,IFERROR(MATCH(AC$5,'Oxford Economics'!$A$6:$AZ$6,0),MATCH(AC$5&amp;"",'Oxford Economics'!$A$6:$AZ$6,0))),'Oxford Economics'!$A$7:$A$1000,$C15,'Oxford Economics'!$B$7:$B$1000,Settings!$B$15)+IF(Settings!$B$17="",0,SUMIFS(INDEX('Oxford Economics'!$A$7:$AZ$1000,0,IFERROR(MATCH(AC$5,'Oxford Economics'!$A$6:$AZ$6,0),MATCH(AC$5&amp;"",'Oxford Economics'!$A$6:$AZ$6,0))),'Oxford Economics'!$A$7:$A$1000,$C15,'Oxford Economics'!$B$7:$B$1000,Settings!$B$17)))),""))</f>
        <v>10364.12</v>
      </c>
      <c r="AD15" s="37" t="n">
        <f aca="false">IF($A15="","",IFERROR(1/(1/IF($B15="Residential",SUMIFS(INDEX('Oxford Economics'!$A$7:$AZ$1000,0,IFERROR(MATCH(AD$5,'Oxford Economics'!$A$6:$AZ$6,0),MATCH(AD$5&amp;"",'Oxford Economics'!$A$6:$AZ$6,0))),'Oxford Economics'!$A$7:$A$1000,$C15,'Oxford Economics'!$B$7:$B$1000,Settings!$B$11)-SUMIFS(INDEX('Oxford Economics'!$A$7:$AZ$1000,0,IFERROR(MATCH(AD$5,'Oxford Economics'!$A$6:$AZ$6,0),MATCH(AD$5&amp;"",'Oxford Economics'!$A$6:$AZ$6,0))),'Oxford Economics'!$A$7:$A$1000,$C15,'Oxford Economics'!$B$7:$B$1000,Settings!$B$13),SUMIFS(INDEX('Oxford Economics'!$A$7:$AZ$1000,0,IFERROR(MATCH(AD$5,'Oxford Economics'!$A$6:$AZ$6,0),MATCH(AD$5&amp;"",'Oxford Economics'!$A$6:$AZ$6,0))),'Oxford Economics'!$A$7:$A$1000,$C15,'Oxford Economics'!$B$7:$B$1000,Settings!$B$13)+SUMIFS(INDEX('Oxford Economics'!$A$7:$AZ$1000,0,IFERROR(MATCH(AD$5,'Oxford Economics'!$A$6:$AZ$6,0),MATCH(AD$5&amp;"",'Oxford Economics'!$A$6:$AZ$6,0))),'Oxford Economics'!$A$7:$A$1000,$C15,'Oxford Economics'!$B$7:$B$1000,Settings!$B$15)+IF(Settings!$B$17="",0,SUMIFS(INDEX('Oxford Economics'!$A$7:$AZ$1000,0,IFERROR(MATCH(AD$5,'Oxford Economics'!$A$6:$AZ$6,0),MATCH(AD$5&amp;"",'Oxford Economics'!$A$6:$AZ$6,0))),'Oxford Economics'!$A$7:$A$1000,$C15,'Oxford Economics'!$B$7:$B$1000,Settings!$B$17)))),""))</f>
        <v>10561.33</v>
      </c>
      <c r="AE15" s="37" t="n">
        <f aca="false">IF($A15="","",IFERROR(1/(1/IF($B15="Residential",SUMIFS(INDEX('Oxford Economics'!$A$7:$AZ$1000,0,IFERROR(MATCH(AE$5,'Oxford Economics'!$A$6:$AZ$6,0),MATCH(AE$5&amp;"",'Oxford Economics'!$A$6:$AZ$6,0))),'Oxford Economics'!$A$7:$A$1000,$C15,'Oxford Economics'!$B$7:$B$1000,Settings!$B$11)-SUMIFS(INDEX('Oxford Economics'!$A$7:$AZ$1000,0,IFERROR(MATCH(AE$5,'Oxford Economics'!$A$6:$AZ$6,0),MATCH(AE$5&amp;"",'Oxford Economics'!$A$6:$AZ$6,0))),'Oxford Economics'!$A$7:$A$1000,$C15,'Oxford Economics'!$B$7:$B$1000,Settings!$B$13),SUMIFS(INDEX('Oxford Economics'!$A$7:$AZ$1000,0,IFERROR(MATCH(AE$5,'Oxford Economics'!$A$6:$AZ$6,0),MATCH(AE$5&amp;"",'Oxford Economics'!$A$6:$AZ$6,0))),'Oxford Economics'!$A$7:$A$1000,$C15,'Oxford Economics'!$B$7:$B$1000,Settings!$B$13)+SUMIFS(INDEX('Oxford Economics'!$A$7:$AZ$1000,0,IFERROR(MATCH(AE$5,'Oxford Economics'!$A$6:$AZ$6,0),MATCH(AE$5&amp;"",'Oxford Economics'!$A$6:$AZ$6,0))),'Oxford Economics'!$A$7:$A$1000,$C15,'Oxford Economics'!$B$7:$B$1000,Settings!$B$15)+IF(Settings!$B$17="",0,SUMIFS(INDEX('Oxford Economics'!$A$7:$AZ$1000,0,IFERROR(MATCH(AE$5,'Oxford Economics'!$A$6:$AZ$6,0),MATCH(AE$5&amp;"",'Oxford Economics'!$A$6:$AZ$6,0))),'Oxford Economics'!$A$7:$A$1000,$C15,'Oxford Economics'!$B$7:$B$1000,Settings!$B$17)))),""))</f>
        <v>9314.91</v>
      </c>
      <c r="AF15" s="37" t="n">
        <f aca="false">IF($A15="","",IFERROR(1/(1/IF($B15="Residential",SUMIFS(INDEX('Oxford Economics'!$A$7:$AZ$1000,0,IFERROR(MATCH(AF$5,'Oxford Economics'!$A$6:$AZ$6,0),MATCH(AF$5&amp;"",'Oxford Economics'!$A$6:$AZ$6,0))),'Oxford Economics'!$A$7:$A$1000,$C15,'Oxford Economics'!$B$7:$B$1000,Settings!$B$11)-SUMIFS(INDEX('Oxford Economics'!$A$7:$AZ$1000,0,IFERROR(MATCH(AF$5,'Oxford Economics'!$A$6:$AZ$6,0),MATCH(AF$5&amp;"",'Oxford Economics'!$A$6:$AZ$6,0))),'Oxford Economics'!$A$7:$A$1000,$C15,'Oxford Economics'!$B$7:$B$1000,Settings!$B$13),SUMIFS(INDEX('Oxford Economics'!$A$7:$AZ$1000,0,IFERROR(MATCH(AF$5,'Oxford Economics'!$A$6:$AZ$6,0),MATCH(AF$5&amp;"",'Oxford Economics'!$A$6:$AZ$6,0))),'Oxford Economics'!$A$7:$A$1000,$C15,'Oxford Economics'!$B$7:$B$1000,Settings!$B$13)+SUMIFS(INDEX('Oxford Economics'!$A$7:$AZ$1000,0,IFERROR(MATCH(AF$5,'Oxford Economics'!$A$6:$AZ$6,0),MATCH(AF$5&amp;"",'Oxford Economics'!$A$6:$AZ$6,0))),'Oxford Economics'!$A$7:$A$1000,$C15,'Oxford Economics'!$B$7:$B$1000,Settings!$B$15)+IF(Settings!$B$17="",0,SUMIFS(INDEX('Oxford Economics'!$A$7:$AZ$1000,0,IFERROR(MATCH(AF$5,'Oxford Economics'!$A$6:$AZ$6,0),MATCH(AF$5&amp;"",'Oxford Economics'!$A$6:$AZ$6,0))),'Oxford Economics'!$A$7:$A$1000,$C15,'Oxford Economics'!$B$7:$B$1000,Settings!$B$17)))),""))</f>
        <v>8285.83</v>
      </c>
      <c r="AG15" s="37" t="n">
        <f aca="false">IF($A15="","",IFERROR(1/(1/IF($B15="Residential",SUMIFS(INDEX('Oxford Economics'!$A$7:$AZ$1000,0,IFERROR(MATCH(AG$5,'Oxford Economics'!$A$6:$AZ$6,0),MATCH(AG$5&amp;"",'Oxford Economics'!$A$6:$AZ$6,0))),'Oxford Economics'!$A$7:$A$1000,$C15,'Oxford Economics'!$B$7:$B$1000,Settings!$B$11)-SUMIFS(INDEX('Oxford Economics'!$A$7:$AZ$1000,0,IFERROR(MATCH(AG$5,'Oxford Economics'!$A$6:$AZ$6,0),MATCH(AG$5&amp;"",'Oxford Economics'!$A$6:$AZ$6,0))),'Oxford Economics'!$A$7:$A$1000,$C15,'Oxford Economics'!$B$7:$B$1000,Settings!$B$13),SUMIFS(INDEX('Oxford Economics'!$A$7:$AZ$1000,0,IFERROR(MATCH(AG$5,'Oxford Economics'!$A$6:$AZ$6,0),MATCH(AG$5&amp;"",'Oxford Economics'!$A$6:$AZ$6,0))),'Oxford Economics'!$A$7:$A$1000,$C15,'Oxford Economics'!$B$7:$B$1000,Settings!$B$13)+SUMIFS(INDEX('Oxford Economics'!$A$7:$AZ$1000,0,IFERROR(MATCH(AG$5,'Oxford Economics'!$A$6:$AZ$6,0),MATCH(AG$5&amp;"",'Oxford Economics'!$A$6:$AZ$6,0))),'Oxford Economics'!$A$7:$A$1000,$C15,'Oxford Economics'!$B$7:$B$1000,Settings!$B$15)+IF(Settings!$B$17="",0,SUMIFS(INDEX('Oxford Economics'!$A$7:$AZ$1000,0,IFERROR(MATCH(AG$5,'Oxford Economics'!$A$6:$AZ$6,0),MATCH(AG$5&amp;"",'Oxford Economics'!$A$6:$AZ$6,0))),'Oxford Economics'!$A$7:$A$1000,$C15,'Oxford Economics'!$B$7:$B$1000,Settings!$B$17)))),""))</f>
        <v>7771.94</v>
      </c>
      <c r="AH15" s="37" t="n">
        <f aca="false">IF($A15="","",IFERROR(1/(1/IF($B15="Residential",SUMIFS(INDEX('Oxford Economics'!$A$7:$AZ$1000,0,IFERROR(MATCH(AH$5,'Oxford Economics'!$A$6:$AZ$6,0),MATCH(AH$5&amp;"",'Oxford Economics'!$A$6:$AZ$6,0))),'Oxford Economics'!$A$7:$A$1000,$C15,'Oxford Economics'!$B$7:$B$1000,Settings!$B$11)-SUMIFS(INDEX('Oxford Economics'!$A$7:$AZ$1000,0,IFERROR(MATCH(AH$5,'Oxford Economics'!$A$6:$AZ$6,0),MATCH(AH$5&amp;"",'Oxford Economics'!$A$6:$AZ$6,0))),'Oxford Economics'!$A$7:$A$1000,$C15,'Oxford Economics'!$B$7:$B$1000,Settings!$B$13),SUMIFS(INDEX('Oxford Economics'!$A$7:$AZ$1000,0,IFERROR(MATCH(AH$5,'Oxford Economics'!$A$6:$AZ$6,0),MATCH(AH$5&amp;"",'Oxford Economics'!$A$6:$AZ$6,0))),'Oxford Economics'!$A$7:$A$1000,$C15,'Oxford Economics'!$B$7:$B$1000,Settings!$B$13)+SUMIFS(INDEX('Oxford Economics'!$A$7:$AZ$1000,0,IFERROR(MATCH(AH$5,'Oxford Economics'!$A$6:$AZ$6,0),MATCH(AH$5&amp;"",'Oxford Economics'!$A$6:$AZ$6,0))),'Oxford Economics'!$A$7:$A$1000,$C15,'Oxford Economics'!$B$7:$B$1000,Settings!$B$15)+IF(Settings!$B$17="",0,SUMIFS(INDEX('Oxford Economics'!$A$7:$AZ$1000,0,IFERROR(MATCH(AH$5,'Oxford Economics'!$A$6:$AZ$6,0),MATCH(AH$5&amp;"",'Oxford Economics'!$A$6:$AZ$6,0))),'Oxford Economics'!$A$7:$A$1000,$C15,'Oxford Economics'!$B$7:$B$1000,Settings!$B$17)))),""))</f>
        <v>7880.6</v>
      </c>
      <c r="AI15" s="37" t="n">
        <f aca="false">IF($A15="","",IFERROR(1/(1/IF($B15="Residential",SUMIFS(INDEX('Oxford Economics'!$A$7:$AZ$1000,0,IFERROR(MATCH(AI$5,'Oxford Economics'!$A$6:$AZ$6,0),MATCH(AI$5&amp;"",'Oxford Economics'!$A$6:$AZ$6,0))),'Oxford Economics'!$A$7:$A$1000,$C15,'Oxford Economics'!$B$7:$B$1000,Settings!$B$11)-SUMIFS(INDEX('Oxford Economics'!$A$7:$AZ$1000,0,IFERROR(MATCH(AI$5,'Oxford Economics'!$A$6:$AZ$6,0),MATCH(AI$5&amp;"",'Oxford Economics'!$A$6:$AZ$6,0))),'Oxford Economics'!$A$7:$A$1000,$C15,'Oxford Economics'!$B$7:$B$1000,Settings!$B$13),SUMIFS(INDEX('Oxford Economics'!$A$7:$AZ$1000,0,IFERROR(MATCH(AI$5,'Oxford Economics'!$A$6:$AZ$6,0),MATCH(AI$5&amp;"",'Oxford Economics'!$A$6:$AZ$6,0))),'Oxford Economics'!$A$7:$A$1000,$C15,'Oxford Economics'!$B$7:$B$1000,Settings!$B$13)+SUMIFS(INDEX('Oxford Economics'!$A$7:$AZ$1000,0,IFERROR(MATCH(AI$5,'Oxford Economics'!$A$6:$AZ$6,0),MATCH(AI$5&amp;"",'Oxford Economics'!$A$6:$AZ$6,0))),'Oxford Economics'!$A$7:$A$1000,$C15,'Oxford Economics'!$B$7:$B$1000,Settings!$B$15)+IF(Settings!$B$17="",0,SUMIFS(INDEX('Oxford Economics'!$A$7:$AZ$1000,0,IFERROR(MATCH(AI$5,'Oxford Economics'!$A$6:$AZ$6,0),MATCH(AI$5&amp;"",'Oxford Economics'!$A$6:$AZ$6,0))),'Oxford Economics'!$A$7:$A$1000,$C15,'Oxford Economics'!$B$7:$B$1000,Settings!$B$17)))),""))</f>
        <v>8068.47</v>
      </c>
      <c r="AJ15" s="37" t="n">
        <f aca="false">IF($A15="","",IFERROR(1/(1/IF($B15="Residential",SUMIFS(INDEX('Oxford Economics'!$A$7:$AZ$1000,0,IFERROR(MATCH(AJ$5,'Oxford Economics'!$A$6:$AZ$6,0),MATCH(AJ$5&amp;"",'Oxford Economics'!$A$6:$AZ$6,0))),'Oxford Economics'!$A$7:$A$1000,$C15,'Oxford Economics'!$B$7:$B$1000,Settings!$B$11)-SUMIFS(INDEX('Oxford Economics'!$A$7:$AZ$1000,0,IFERROR(MATCH(AJ$5,'Oxford Economics'!$A$6:$AZ$6,0),MATCH(AJ$5&amp;"",'Oxford Economics'!$A$6:$AZ$6,0))),'Oxford Economics'!$A$7:$A$1000,$C15,'Oxford Economics'!$B$7:$B$1000,Settings!$B$13),SUMIFS(INDEX('Oxford Economics'!$A$7:$AZ$1000,0,IFERROR(MATCH(AJ$5,'Oxford Economics'!$A$6:$AZ$6,0),MATCH(AJ$5&amp;"",'Oxford Economics'!$A$6:$AZ$6,0))),'Oxford Economics'!$A$7:$A$1000,$C15,'Oxford Economics'!$B$7:$B$1000,Settings!$B$13)+SUMIFS(INDEX('Oxford Economics'!$A$7:$AZ$1000,0,IFERROR(MATCH(AJ$5,'Oxford Economics'!$A$6:$AZ$6,0),MATCH(AJ$5&amp;"",'Oxford Economics'!$A$6:$AZ$6,0))),'Oxford Economics'!$A$7:$A$1000,$C15,'Oxford Economics'!$B$7:$B$1000,Settings!$B$15)+IF(Settings!$B$17="",0,SUMIFS(INDEX('Oxford Economics'!$A$7:$AZ$1000,0,IFERROR(MATCH(AJ$5,'Oxford Economics'!$A$6:$AZ$6,0),MATCH(AJ$5&amp;"",'Oxford Economics'!$A$6:$AZ$6,0))),'Oxford Economics'!$A$7:$A$1000,$C15,'Oxford Economics'!$B$7:$B$1000,Settings!$B$17)))),""))</f>
        <v>8194.02</v>
      </c>
      <c r="AK15" s="37" t="n">
        <f aca="false">IF($A15="","",IFERROR(1/(1/IF($B15="Residential",SUMIFS(INDEX('Oxford Economics'!$A$7:$AZ$1000,0,IFERROR(MATCH(AK$5,'Oxford Economics'!$A$6:$AZ$6,0),MATCH(AK$5&amp;"",'Oxford Economics'!$A$6:$AZ$6,0))),'Oxford Economics'!$A$7:$A$1000,$C15,'Oxford Economics'!$B$7:$B$1000,Settings!$B$11)-SUMIFS(INDEX('Oxford Economics'!$A$7:$AZ$1000,0,IFERROR(MATCH(AK$5,'Oxford Economics'!$A$6:$AZ$6,0),MATCH(AK$5&amp;"",'Oxford Economics'!$A$6:$AZ$6,0))),'Oxford Economics'!$A$7:$A$1000,$C15,'Oxford Economics'!$B$7:$B$1000,Settings!$B$13),SUMIFS(INDEX('Oxford Economics'!$A$7:$AZ$1000,0,IFERROR(MATCH(AK$5,'Oxford Economics'!$A$6:$AZ$6,0),MATCH(AK$5&amp;"",'Oxford Economics'!$A$6:$AZ$6,0))),'Oxford Economics'!$A$7:$A$1000,$C15,'Oxford Economics'!$B$7:$B$1000,Settings!$B$13)+SUMIFS(INDEX('Oxford Economics'!$A$7:$AZ$1000,0,IFERROR(MATCH(AK$5,'Oxford Economics'!$A$6:$AZ$6,0),MATCH(AK$5&amp;"",'Oxford Economics'!$A$6:$AZ$6,0))),'Oxford Economics'!$A$7:$A$1000,$C15,'Oxford Economics'!$B$7:$B$1000,Settings!$B$15)+IF(Settings!$B$17="",0,SUMIFS(INDEX('Oxford Economics'!$A$7:$AZ$1000,0,IFERROR(MATCH(AK$5,'Oxford Economics'!$A$6:$AZ$6,0),MATCH(AK$5&amp;"",'Oxford Economics'!$A$6:$AZ$6,0))),'Oxford Economics'!$A$7:$A$1000,$C15,'Oxford Economics'!$B$7:$B$1000,Settings!$B$17)))),""))</f>
        <v>8295.16</v>
      </c>
      <c r="AL15" s="37" t="n">
        <f aca="false">IF($A15="","",IFERROR(1/(1/IF($B15="Residential",SUMIFS(INDEX('Oxford Economics'!$A$7:$AZ$1000,0,IFERROR(MATCH(AL$5,'Oxford Economics'!$A$6:$AZ$6,0),MATCH(AL$5&amp;"",'Oxford Economics'!$A$6:$AZ$6,0))),'Oxford Economics'!$A$7:$A$1000,$C15,'Oxford Economics'!$B$7:$B$1000,Settings!$B$11)-SUMIFS(INDEX('Oxford Economics'!$A$7:$AZ$1000,0,IFERROR(MATCH(AL$5,'Oxford Economics'!$A$6:$AZ$6,0),MATCH(AL$5&amp;"",'Oxford Economics'!$A$6:$AZ$6,0))),'Oxford Economics'!$A$7:$A$1000,$C15,'Oxford Economics'!$B$7:$B$1000,Settings!$B$13),SUMIFS(INDEX('Oxford Economics'!$A$7:$AZ$1000,0,IFERROR(MATCH(AL$5,'Oxford Economics'!$A$6:$AZ$6,0),MATCH(AL$5&amp;"",'Oxford Economics'!$A$6:$AZ$6,0))),'Oxford Economics'!$A$7:$A$1000,$C15,'Oxford Economics'!$B$7:$B$1000,Settings!$B$13)+SUMIFS(INDEX('Oxford Economics'!$A$7:$AZ$1000,0,IFERROR(MATCH(AL$5,'Oxford Economics'!$A$6:$AZ$6,0),MATCH(AL$5&amp;"",'Oxford Economics'!$A$6:$AZ$6,0))),'Oxford Economics'!$A$7:$A$1000,$C15,'Oxford Economics'!$B$7:$B$1000,Settings!$B$15)+IF(Settings!$B$17="",0,SUMIFS(INDEX('Oxford Economics'!$A$7:$AZ$1000,0,IFERROR(MATCH(AL$5,'Oxford Economics'!$A$6:$AZ$6,0),MATCH(AL$5&amp;"",'Oxford Economics'!$A$6:$AZ$6,0))),'Oxford Economics'!$A$7:$A$1000,$C15,'Oxford Economics'!$B$7:$B$1000,Settings!$B$17)))),""))</f>
        <v>8449</v>
      </c>
      <c r="AM15" s="37" t="n">
        <f aca="false">IF($A15="","",IFERROR(1/(1/IF($B15="Residential",SUMIFS(INDEX('Oxford Economics'!$A$7:$AZ$1000,0,IFERROR(MATCH(AM$5,'Oxford Economics'!$A$6:$AZ$6,0),MATCH(AM$5&amp;"",'Oxford Economics'!$A$6:$AZ$6,0))),'Oxford Economics'!$A$7:$A$1000,$C15,'Oxford Economics'!$B$7:$B$1000,Settings!$B$11)-SUMIFS(INDEX('Oxford Economics'!$A$7:$AZ$1000,0,IFERROR(MATCH(AM$5,'Oxford Economics'!$A$6:$AZ$6,0),MATCH(AM$5&amp;"",'Oxford Economics'!$A$6:$AZ$6,0))),'Oxford Economics'!$A$7:$A$1000,$C15,'Oxford Economics'!$B$7:$B$1000,Settings!$B$13),SUMIFS(INDEX('Oxford Economics'!$A$7:$AZ$1000,0,IFERROR(MATCH(AM$5,'Oxford Economics'!$A$6:$AZ$6,0),MATCH(AM$5&amp;"",'Oxford Economics'!$A$6:$AZ$6,0))),'Oxford Economics'!$A$7:$A$1000,$C15,'Oxford Economics'!$B$7:$B$1000,Settings!$B$13)+SUMIFS(INDEX('Oxford Economics'!$A$7:$AZ$1000,0,IFERROR(MATCH(AM$5,'Oxford Economics'!$A$6:$AZ$6,0),MATCH(AM$5&amp;"",'Oxford Economics'!$A$6:$AZ$6,0))),'Oxford Economics'!$A$7:$A$1000,$C15,'Oxford Economics'!$B$7:$B$1000,Settings!$B$15)+IF(Settings!$B$17="",0,SUMIFS(INDEX('Oxford Economics'!$A$7:$AZ$1000,0,IFERROR(MATCH(AM$5,'Oxford Economics'!$A$6:$AZ$6,0),MATCH(AM$5&amp;"",'Oxford Economics'!$A$6:$AZ$6,0))),'Oxford Economics'!$A$7:$A$1000,$C15,'Oxford Economics'!$B$7:$B$1000,Settings!$B$17)))),""))</f>
        <v>8622.86</v>
      </c>
    </row>
    <row r="16" customFormat="false" ht="15" hidden="false" customHeight="false" outlineLevel="0" collapsed="false">
      <c r="A16" s="36" t="str">
        <f aca="false">IF('Raw data'!$A16="","",'Raw data'!$A16)</f>
        <v>Norway</v>
      </c>
      <c r="B16" s="36" t="str">
        <f aca="false">IF($A16="","",'Raw data'!$C16)</f>
        <v>Residential</v>
      </c>
      <c r="C16" s="36" t="str">
        <f aca="false">IF($A16="","",IF('Raw data'!$D16="",$A16,'Raw data'!$D16))</f>
        <v>Norway</v>
      </c>
      <c r="D16" s="37" t="n">
        <f aca="false">IF($A16="","",IF(AND(ISNUMBER(P16),ISNUMBER(AB16)),P16+AB16,""))</f>
        <v>4895.05</v>
      </c>
      <c r="E16" s="37" t="n">
        <f aca="false">IF($A16="","",IF(AND(ISNUMBER(Q16),ISNUMBER(AC16)),Q16+AC16,""))</f>
        <v>4903.45</v>
      </c>
      <c r="F16" s="37" t="n">
        <f aca="false">IF($A16="","",IF(AND(ISNUMBER(R16),ISNUMBER(AD16)),R16+AD16,""))</f>
        <v>4862.79</v>
      </c>
      <c r="G16" s="37" t="n">
        <f aca="false">IF($A16="","",IF(AND(ISNUMBER(S16),ISNUMBER(AE16)),S16+AE16,""))</f>
        <v>4758.22</v>
      </c>
      <c r="H16" s="37" t="n">
        <f aca="false">IF($A16="","",IF(AND(ISNUMBER(T16),ISNUMBER(AF16)),T16+AF16,""))</f>
        <v>4512.12</v>
      </c>
      <c r="I16" s="37" t="n">
        <f aca="false">IF($A16="","",IF(AND(ISNUMBER(U16),ISNUMBER(AG16)),U16+AG16,""))</f>
        <v>4324.92</v>
      </c>
      <c r="J16" s="37" t="n">
        <f aca="false">IF($A16="","",IF(AND(ISNUMBER(V16),ISNUMBER(AH16)),V16+AH16,""))</f>
        <v>4084.4</v>
      </c>
      <c r="K16" s="37" t="n">
        <f aca="false">IF($A16="","",IF(AND(ISNUMBER(W16),ISNUMBER(AI16)),W16+AI16,""))</f>
        <v>4107.37</v>
      </c>
      <c r="L16" s="37" t="n">
        <f aca="false">IF($A16="","",IF(AND(ISNUMBER(X16),ISNUMBER(AJ16)),X16+AJ16,""))</f>
        <v>4322.25</v>
      </c>
      <c r="M16" s="37" t="n">
        <f aca="false">IF($A16="","",IF(AND(ISNUMBER(Y16),ISNUMBER(AK16)),Y16+AK16,""))</f>
        <v>4479.47</v>
      </c>
      <c r="N16" s="37" t="n">
        <f aca="false">IF($A16="","",IF(AND(ISNUMBER(Z16),ISNUMBER(AL16)),Z16+AL16,""))</f>
        <v>4640.05</v>
      </c>
      <c r="O16" s="37" t="n">
        <f aca="false">IF($A16="","",IF(AND(ISNUMBER(AA16),ISNUMBER(AM16)),AA16+AM16,""))</f>
        <v>4703.5</v>
      </c>
      <c r="P16" s="37" t="n">
        <f aca="false">IF($A16="","",IFERROR(1/(1/IF($B16="Residential",SUMIFS(INDEX('Oxford Economics'!$A$7:$AZ$1000,0,IFERROR(MATCH(P$5,'Oxford Economics'!$A$6:$AZ$6,0),MATCH(P$5&amp;"",'Oxford Economics'!$A$6:$AZ$6,0))),'Oxford Economics'!$A$7:$A$1000,$C16,'Oxford Economics'!$B$7:$B$1000,Settings!$B$12)-SUMIFS(INDEX('Oxford Economics'!$A$7:$AZ$1000,0,IFERROR(MATCH(P$5,'Oxford Economics'!$A$6:$AZ$6,0),MATCH(P$5&amp;"",'Oxford Economics'!$A$6:$AZ$6,0))),'Oxford Economics'!$A$7:$A$1000,$C16,'Oxford Economics'!$B$7:$B$1000,Settings!$B$14),SUMIFS(INDEX('Oxford Economics'!$A$7:$AZ$1000,0,IFERROR(MATCH(P$5,'Oxford Economics'!$A$6:$AZ$6,0),MATCH(P$5&amp;"",'Oxford Economics'!$A$6:$AZ$6,0))),'Oxford Economics'!$A$7:$A$1000,$C16,'Oxford Economics'!$B$7:$B$1000,Settings!$B$14)+SUMIFS(INDEX('Oxford Economics'!$A$7:$AZ$1000,0,IFERROR(MATCH(P$5,'Oxford Economics'!$A$6:$AZ$6,0),MATCH(P$5&amp;"",'Oxford Economics'!$A$6:$AZ$6,0))),'Oxford Economics'!$A$7:$A$1000,$C16,'Oxford Economics'!$B$7:$B$1000,Settings!$B$16)+IF(Settings!$B$18="",0,SUMIFS(INDEX('Oxford Economics'!$A$7:$AZ$1000,0,IFERROR(MATCH(P$5,'Oxford Economics'!$A$6:$AZ$6,0),MATCH(P$5&amp;"",'Oxford Economics'!$A$6:$AZ$6,0))),'Oxford Economics'!$A$7:$A$1000,$C16,'Oxford Economics'!$B$7:$B$1000,Settings!$B$18)))),""))</f>
        <v>3108.28</v>
      </c>
      <c r="Q16" s="37" t="n">
        <f aca="false">IF($A16="","",IFERROR(1/(1/IF($B16="Residential",SUMIFS(INDEX('Oxford Economics'!$A$7:$AZ$1000,0,IFERROR(MATCH(Q$5,'Oxford Economics'!$A$6:$AZ$6,0),MATCH(Q$5&amp;"",'Oxford Economics'!$A$6:$AZ$6,0))),'Oxford Economics'!$A$7:$A$1000,$C16,'Oxford Economics'!$B$7:$B$1000,Settings!$B$12)-SUMIFS(INDEX('Oxford Economics'!$A$7:$AZ$1000,0,IFERROR(MATCH(Q$5,'Oxford Economics'!$A$6:$AZ$6,0),MATCH(Q$5&amp;"",'Oxford Economics'!$A$6:$AZ$6,0))),'Oxford Economics'!$A$7:$A$1000,$C16,'Oxford Economics'!$B$7:$B$1000,Settings!$B$14),SUMIFS(INDEX('Oxford Economics'!$A$7:$AZ$1000,0,IFERROR(MATCH(Q$5,'Oxford Economics'!$A$6:$AZ$6,0),MATCH(Q$5&amp;"",'Oxford Economics'!$A$6:$AZ$6,0))),'Oxford Economics'!$A$7:$A$1000,$C16,'Oxford Economics'!$B$7:$B$1000,Settings!$B$14)+SUMIFS(INDEX('Oxford Economics'!$A$7:$AZ$1000,0,IFERROR(MATCH(Q$5,'Oxford Economics'!$A$6:$AZ$6,0),MATCH(Q$5&amp;"",'Oxford Economics'!$A$6:$AZ$6,0))),'Oxford Economics'!$A$7:$A$1000,$C16,'Oxford Economics'!$B$7:$B$1000,Settings!$B$16)+IF(Settings!$B$18="",0,SUMIFS(INDEX('Oxford Economics'!$A$7:$AZ$1000,0,IFERROR(MATCH(Q$5,'Oxford Economics'!$A$6:$AZ$6,0),MATCH(Q$5&amp;"",'Oxford Economics'!$A$6:$AZ$6,0))),'Oxford Economics'!$A$7:$A$1000,$C16,'Oxford Economics'!$B$7:$B$1000,Settings!$B$18)))),""))</f>
        <v>2970.47</v>
      </c>
      <c r="R16" s="37" t="n">
        <f aca="false">IF($A16="","",IFERROR(1/(1/IF($B16="Residential",SUMIFS(INDEX('Oxford Economics'!$A$7:$AZ$1000,0,IFERROR(MATCH(R$5,'Oxford Economics'!$A$6:$AZ$6,0),MATCH(R$5&amp;"",'Oxford Economics'!$A$6:$AZ$6,0))),'Oxford Economics'!$A$7:$A$1000,$C16,'Oxford Economics'!$B$7:$B$1000,Settings!$B$12)-SUMIFS(INDEX('Oxford Economics'!$A$7:$AZ$1000,0,IFERROR(MATCH(R$5,'Oxford Economics'!$A$6:$AZ$6,0),MATCH(R$5&amp;"",'Oxford Economics'!$A$6:$AZ$6,0))),'Oxford Economics'!$A$7:$A$1000,$C16,'Oxford Economics'!$B$7:$B$1000,Settings!$B$14),SUMIFS(INDEX('Oxford Economics'!$A$7:$AZ$1000,0,IFERROR(MATCH(R$5,'Oxford Economics'!$A$6:$AZ$6,0),MATCH(R$5&amp;"",'Oxford Economics'!$A$6:$AZ$6,0))),'Oxford Economics'!$A$7:$A$1000,$C16,'Oxford Economics'!$B$7:$B$1000,Settings!$B$14)+SUMIFS(INDEX('Oxford Economics'!$A$7:$AZ$1000,0,IFERROR(MATCH(R$5,'Oxford Economics'!$A$6:$AZ$6,0),MATCH(R$5&amp;"",'Oxford Economics'!$A$6:$AZ$6,0))),'Oxford Economics'!$A$7:$A$1000,$C16,'Oxford Economics'!$B$7:$B$1000,Settings!$B$16)+IF(Settings!$B$18="",0,SUMIFS(INDEX('Oxford Economics'!$A$7:$AZ$1000,0,IFERROR(MATCH(R$5,'Oxford Economics'!$A$6:$AZ$6,0),MATCH(R$5&amp;"",'Oxford Economics'!$A$6:$AZ$6,0))),'Oxford Economics'!$A$7:$A$1000,$C16,'Oxford Economics'!$B$7:$B$1000,Settings!$B$18)))),""))</f>
        <v>3027.33</v>
      </c>
      <c r="S16" s="37" t="n">
        <f aca="false">IF($A16="","",IFERROR(1/(1/IF($B16="Residential",SUMIFS(INDEX('Oxford Economics'!$A$7:$AZ$1000,0,IFERROR(MATCH(S$5,'Oxford Economics'!$A$6:$AZ$6,0),MATCH(S$5&amp;"",'Oxford Economics'!$A$6:$AZ$6,0))),'Oxford Economics'!$A$7:$A$1000,$C16,'Oxford Economics'!$B$7:$B$1000,Settings!$B$12)-SUMIFS(INDEX('Oxford Economics'!$A$7:$AZ$1000,0,IFERROR(MATCH(S$5,'Oxford Economics'!$A$6:$AZ$6,0),MATCH(S$5&amp;"",'Oxford Economics'!$A$6:$AZ$6,0))),'Oxford Economics'!$A$7:$A$1000,$C16,'Oxford Economics'!$B$7:$B$1000,Settings!$B$14),SUMIFS(INDEX('Oxford Economics'!$A$7:$AZ$1000,0,IFERROR(MATCH(S$5,'Oxford Economics'!$A$6:$AZ$6,0),MATCH(S$5&amp;"",'Oxford Economics'!$A$6:$AZ$6,0))),'Oxford Economics'!$A$7:$A$1000,$C16,'Oxford Economics'!$B$7:$B$1000,Settings!$B$14)+SUMIFS(INDEX('Oxford Economics'!$A$7:$AZ$1000,0,IFERROR(MATCH(S$5,'Oxford Economics'!$A$6:$AZ$6,0),MATCH(S$5&amp;"",'Oxford Economics'!$A$6:$AZ$6,0))),'Oxford Economics'!$A$7:$A$1000,$C16,'Oxford Economics'!$B$7:$B$1000,Settings!$B$16)+IF(Settings!$B$18="",0,SUMIFS(INDEX('Oxford Economics'!$A$7:$AZ$1000,0,IFERROR(MATCH(S$5,'Oxford Economics'!$A$6:$AZ$6,0),MATCH(S$5&amp;"",'Oxford Economics'!$A$6:$AZ$6,0))),'Oxford Economics'!$A$7:$A$1000,$C16,'Oxford Economics'!$B$7:$B$1000,Settings!$B$18)))),""))</f>
        <v>3334.88</v>
      </c>
      <c r="T16" s="37" t="n">
        <f aca="false">IF($A16="","",IFERROR(1/(1/IF($B16="Residential",SUMIFS(INDEX('Oxford Economics'!$A$7:$AZ$1000,0,IFERROR(MATCH(T$5,'Oxford Economics'!$A$6:$AZ$6,0),MATCH(T$5&amp;"",'Oxford Economics'!$A$6:$AZ$6,0))),'Oxford Economics'!$A$7:$A$1000,$C16,'Oxford Economics'!$B$7:$B$1000,Settings!$B$12)-SUMIFS(INDEX('Oxford Economics'!$A$7:$AZ$1000,0,IFERROR(MATCH(T$5,'Oxford Economics'!$A$6:$AZ$6,0),MATCH(T$5&amp;"",'Oxford Economics'!$A$6:$AZ$6,0))),'Oxford Economics'!$A$7:$A$1000,$C16,'Oxford Economics'!$B$7:$B$1000,Settings!$B$14),SUMIFS(INDEX('Oxford Economics'!$A$7:$AZ$1000,0,IFERROR(MATCH(T$5,'Oxford Economics'!$A$6:$AZ$6,0),MATCH(T$5&amp;"",'Oxford Economics'!$A$6:$AZ$6,0))),'Oxford Economics'!$A$7:$A$1000,$C16,'Oxford Economics'!$B$7:$B$1000,Settings!$B$14)+SUMIFS(INDEX('Oxford Economics'!$A$7:$AZ$1000,0,IFERROR(MATCH(T$5,'Oxford Economics'!$A$6:$AZ$6,0),MATCH(T$5&amp;"",'Oxford Economics'!$A$6:$AZ$6,0))),'Oxford Economics'!$A$7:$A$1000,$C16,'Oxford Economics'!$B$7:$B$1000,Settings!$B$16)+IF(Settings!$B$18="",0,SUMIFS(INDEX('Oxford Economics'!$A$7:$AZ$1000,0,IFERROR(MATCH(T$5,'Oxford Economics'!$A$6:$AZ$6,0),MATCH(T$5&amp;"",'Oxford Economics'!$A$6:$AZ$6,0))),'Oxford Economics'!$A$7:$A$1000,$C16,'Oxford Economics'!$B$7:$B$1000,Settings!$B$18)))),""))</f>
        <v>3364.39</v>
      </c>
      <c r="U16" s="37" t="n">
        <f aca="false">IF($A16="","",IFERROR(1/(1/IF($B16="Residential",SUMIFS(INDEX('Oxford Economics'!$A$7:$AZ$1000,0,IFERROR(MATCH(U$5,'Oxford Economics'!$A$6:$AZ$6,0),MATCH(U$5&amp;"",'Oxford Economics'!$A$6:$AZ$6,0))),'Oxford Economics'!$A$7:$A$1000,$C16,'Oxford Economics'!$B$7:$B$1000,Settings!$B$12)-SUMIFS(INDEX('Oxford Economics'!$A$7:$AZ$1000,0,IFERROR(MATCH(U$5,'Oxford Economics'!$A$6:$AZ$6,0),MATCH(U$5&amp;"",'Oxford Economics'!$A$6:$AZ$6,0))),'Oxford Economics'!$A$7:$A$1000,$C16,'Oxford Economics'!$B$7:$B$1000,Settings!$B$14),SUMIFS(INDEX('Oxford Economics'!$A$7:$AZ$1000,0,IFERROR(MATCH(U$5,'Oxford Economics'!$A$6:$AZ$6,0),MATCH(U$5&amp;"",'Oxford Economics'!$A$6:$AZ$6,0))),'Oxford Economics'!$A$7:$A$1000,$C16,'Oxford Economics'!$B$7:$B$1000,Settings!$B$14)+SUMIFS(INDEX('Oxford Economics'!$A$7:$AZ$1000,0,IFERROR(MATCH(U$5,'Oxford Economics'!$A$6:$AZ$6,0),MATCH(U$5&amp;"",'Oxford Economics'!$A$6:$AZ$6,0))),'Oxford Economics'!$A$7:$A$1000,$C16,'Oxford Economics'!$B$7:$B$1000,Settings!$B$16)+IF(Settings!$B$18="",0,SUMIFS(INDEX('Oxford Economics'!$A$7:$AZ$1000,0,IFERROR(MATCH(U$5,'Oxford Economics'!$A$6:$AZ$6,0),MATCH(U$5&amp;"",'Oxford Economics'!$A$6:$AZ$6,0))),'Oxford Economics'!$A$7:$A$1000,$C16,'Oxford Economics'!$B$7:$B$1000,Settings!$B$18)))),""))</f>
        <v>3253.72</v>
      </c>
      <c r="V16" s="37" t="n">
        <f aca="false">IF($A16="","",IFERROR(1/(1/IF($B16="Residential",SUMIFS(INDEX('Oxford Economics'!$A$7:$AZ$1000,0,IFERROR(MATCH(V$5,'Oxford Economics'!$A$6:$AZ$6,0),MATCH(V$5&amp;"",'Oxford Economics'!$A$6:$AZ$6,0))),'Oxford Economics'!$A$7:$A$1000,$C16,'Oxford Economics'!$B$7:$B$1000,Settings!$B$12)-SUMIFS(INDEX('Oxford Economics'!$A$7:$AZ$1000,0,IFERROR(MATCH(V$5,'Oxford Economics'!$A$6:$AZ$6,0),MATCH(V$5&amp;"",'Oxford Economics'!$A$6:$AZ$6,0))),'Oxford Economics'!$A$7:$A$1000,$C16,'Oxford Economics'!$B$7:$B$1000,Settings!$B$14),SUMIFS(INDEX('Oxford Economics'!$A$7:$AZ$1000,0,IFERROR(MATCH(V$5,'Oxford Economics'!$A$6:$AZ$6,0),MATCH(V$5&amp;"",'Oxford Economics'!$A$6:$AZ$6,0))),'Oxford Economics'!$A$7:$A$1000,$C16,'Oxford Economics'!$B$7:$B$1000,Settings!$B$14)+SUMIFS(INDEX('Oxford Economics'!$A$7:$AZ$1000,0,IFERROR(MATCH(V$5,'Oxford Economics'!$A$6:$AZ$6,0),MATCH(V$5&amp;"",'Oxford Economics'!$A$6:$AZ$6,0))),'Oxford Economics'!$A$7:$A$1000,$C16,'Oxford Economics'!$B$7:$B$1000,Settings!$B$16)+IF(Settings!$B$18="",0,SUMIFS(INDEX('Oxford Economics'!$A$7:$AZ$1000,0,IFERROR(MATCH(V$5,'Oxford Economics'!$A$6:$AZ$6,0),MATCH(V$5&amp;"",'Oxford Economics'!$A$6:$AZ$6,0))),'Oxford Economics'!$A$7:$A$1000,$C16,'Oxford Economics'!$B$7:$B$1000,Settings!$B$18)))),""))</f>
        <v>3058.86</v>
      </c>
      <c r="W16" s="37" t="n">
        <f aca="false">IF($A16="","",IFERROR(1/(1/IF($B16="Residential",SUMIFS(INDEX('Oxford Economics'!$A$7:$AZ$1000,0,IFERROR(MATCH(W$5,'Oxford Economics'!$A$6:$AZ$6,0),MATCH(W$5&amp;"",'Oxford Economics'!$A$6:$AZ$6,0))),'Oxford Economics'!$A$7:$A$1000,$C16,'Oxford Economics'!$B$7:$B$1000,Settings!$B$12)-SUMIFS(INDEX('Oxford Economics'!$A$7:$AZ$1000,0,IFERROR(MATCH(W$5,'Oxford Economics'!$A$6:$AZ$6,0),MATCH(W$5&amp;"",'Oxford Economics'!$A$6:$AZ$6,0))),'Oxford Economics'!$A$7:$A$1000,$C16,'Oxford Economics'!$B$7:$B$1000,Settings!$B$14),SUMIFS(INDEX('Oxford Economics'!$A$7:$AZ$1000,0,IFERROR(MATCH(W$5,'Oxford Economics'!$A$6:$AZ$6,0),MATCH(W$5&amp;"",'Oxford Economics'!$A$6:$AZ$6,0))),'Oxford Economics'!$A$7:$A$1000,$C16,'Oxford Economics'!$B$7:$B$1000,Settings!$B$14)+SUMIFS(INDEX('Oxford Economics'!$A$7:$AZ$1000,0,IFERROR(MATCH(W$5,'Oxford Economics'!$A$6:$AZ$6,0),MATCH(W$5&amp;"",'Oxford Economics'!$A$6:$AZ$6,0))),'Oxford Economics'!$A$7:$A$1000,$C16,'Oxford Economics'!$B$7:$B$1000,Settings!$B$16)+IF(Settings!$B$18="",0,SUMIFS(INDEX('Oxford Economics'!$A$7:$AZ$1000,0,IFERROR(MATCH(W$5,'Oxford Economics'!$A$6:$AZ$6,0),MATCH(W$5&amp;"",'Oxford Economics'!$A$6:$AZ$6,0))),'Oxford Economics'!$A$7:$A$1000,$C16,'Oxford Economics'!$B$7:$B$1000,Settings!$B$18)))),""))</f>
        <v>3055.63</v>
      </c>
      <c r="X16" s="37" t="n">
        <f aca="false">IF($A16="","",IFERROR(1/(1/IF($B16="Residential",SUMIFS(INDEX('Oxford Economics'!$A$7:$AZ$1000,0,IFERROR(MATCH(X$5,'Oxford Economics'!$A$6:$AZ$6,0),MATCH(X$5&amp;"",'Oxford Economics'!$A$6:$AZ$6,0))),'Oxford Economics'!$A$7:$A$1000,$C16,'Oxford Economics'!$B$7:$B$1000,Settings!$B$12)-SUMIFS(INDEX('Oxford Economics'!$A$7:$AZ$1000,0,IFERROR(MATCH(X$5,'Oxford Economics'!$A$6:$AZ$6,0),MATCH(X$5&amp;"",'Oxford Economics'!$A$6:$AZ$6,0))),'Oxford Economics'!$A$7:$A$1000,$C16,'Oxford Economics'!$B$7:$B$1000,Settings!$B$14),SUMIFS(INDEX('Oxford Economics'!$A$7:$AZ$1000,0,IFERROR(MATCH(X$5,'Oxford Economics'!$A$6:$AZ$6,0),MATCH(X$5&amp;"",'Oxford Economics'!$A$6:$AZ$6,0))),'Oxford Economics'!$A$7:$A$1000,$C16,'Oxford Economics'!$B$7:$B$1000,Settings!$B$14)+SUMIFS(INDEX('Oxford Economics'!$A$7:$AZ$1000,0,IFERROR(MATCH(X$5,'Oxford Economics'!$A$6:$AZ$6,0),MATCH(X$5&amp;"",'Oxford Economics'!$A$6:$AZ$6,0))),'Oxford Economics'!$A$7:$A$1000,$C16,'Oxford Economics'!$B$7:$B$1000,Settings!$B$16)+IF(Settings!$B$18="",0,SUMIFS(INDEX('Oxford Economics'!$A$7:$AZ$1000,0,IFERROR(MATCH(X$5,'Oxford Economics'!$A$6:$AZ$6,0),MATCH(X$5&amp;"",'Oxford Economics'!$A$6:$AZ$6,0))),'Oxford Economics'!$A$7:$A$1000,$C16,'Oxford Economics'!$B$7:$B$1000,Settings!$B$18)))),""))</f>
        <v>3180.26</v>
      </c>
      <c r="Y16" s="37" t="n">
        <f aca="false">IF($A16="","",IFERROR(1/(1/IF($B16="Residential",SUMIFS(INDEX('Oxford Economics'!$A$7:$AZ$1000,0,IFERROR(MATCH(Y$5,'Oxford Economics'!$A$6:$AZ$6,0),MATCH(Y$5&amp;"",'Oxford Economics'!$A$6:$AZ$6,0))),'Oxford Economics'!$A$7:$A$1000,$C16,'Oxford Economics'!$B$7:$B$1000,Settings!$B$12)-SUMIFS(INDEX('Oxford Economics'!$A$7:$AZ$1000,0,IFERROR(MATCH(Y$5,'Oxford Economics'!$A$6:$AZ$6,0),MATCH(Y$5&amp;"",'Oxford Economics'!$A$6:$AZ$6,0))),'Oxford Economics'!$A$7:$A$1000,$C16,'Oxford Economics'!$B$7:$B$1000,Settings!$B$14),SUMIFS(INDEX('Oxford Economics'!$A$7:$AZ$1000,0,IFERROR(MATCH(Y$5,'Oxford Economics'!$A$6:$AZ$6,0),MATCH(Y$5&amp;"",'Oxford Economics'!$A$6:$AZ$6,0))),'Oxford Economics'!$A$7:$A$1000,$C16,'Oxford Economics'!$B$7:$B$1000,Settings!$B$14)+SUMIFS(INDEX('Oxford Economics'!$A$7:$AZ$1000,0,IFERROR(MATCH(Y$5,'Oxford Economics'!$A$6:$AZ$6,0),MATCH(Y$5&amp;"",'Oxford Economics'!$A$6:$AZ$6,0))),'Oxford Economics'!$A$7:$A$1000,$C16,'Oxford Economics'!$B$7:$B$1000,Settings!$B$16)+IF(Settings!$B$18="",0,SUMIFS(INDEX('Oxford Economics'!$A$7:$AZ$1000,0,IFERROR(MATCH(Y$5,'Oxford Economics'!$A$6:$AZ$6,0),MATCH(Y$5&amp;"",'Oxford Economics'!$A$6:$AZ$6,0))),'Oxford Economics'!$A$7:$A$1000,$C16,'Oxford Economics'!$B$7:$B$1000,Settings!$B$18)))),""))</f>
        <v>3260.16</v>
      </c>
      <c r="Z16" s="37" t="n">
        <f aca="false">IF($A16="","",IFERROR(1/(1/IF($B16="Residential",SUMIFS(INDEX('Oxford Economics'!$A$7:$AZ$1000,0,IFERROR(MATCH(Z$5,'Oxford Economics'!$A$6:$AZ$6,0),MATCH(Z$5&amp;"",'Oxford Economics'!$A$6:$AZ$6,0))),'Oxford Economics'!$A$7:$A$1000,$C16,'Oxford Economics'!$B$7:$B$1000,Settings!$B$12)-SUMIFS(INDEX('Oxford Economics'!$A$7:$AZ$1000,0,IFERROR(MATCH(Z$5,'Oxford Economics'!$A$6:$AZ$6,0),MATCH(Z$5&amp;"",'Oxford Economics'!$A$6:$AZ$6,0))),'Oxford Economics'!$A$7:$A$1000,$C16,'Oxford Economics'!$B$7:$B$1000,Settings!$B$14),SUMIFS(INDEX('Oxford Economics'!$A$7:$AZ$1000,0,IFERROR(MATCH(Z$5,'Oxford Economics'!$A$6:$AZ$6,0),MATCH(Z$5&amp;"",'Oxford Economics'!$A$6:$AZ$6,0))),'Oxford Economics'!$A$7:$A$1000,$C16,'Oxford Economics'!$B$7:$B$1000,Settings!$B$14)+SUMIFS(INDEX('Oxford Economics'!$A$7:$AZ$1000,0,IFERROR(MATCH(Z$5,'Oxford Economics'!$A$6:$AZ$6,0),MATCH(Z$5&amp;"",'Oxford Economics'!$A$6:$AZ$6,0))),'Oxford Economics'!$A$7:$A$1000,$C16,'Oxford Economics'!$B$7:$B$1000,Settings!$B$16)+IF(Settings!$B$18="",0,SUMIFS(INDEX('Oxford Economics'!$A$7:$AZ$1000,0,IFERROR(MATCH(Z$5,'Oxford Economics'!$A$6:$AZ$6,0),MATCH(Z$5&amp;"",'Oxford Economics'!$A$6:$AZ$6,0))),'Oxford Economics'!$A$7:$A$1000,$C16,'Oxford Economics'!$B$7:$B$1000,Settings!$B$18)))),""))</f>
        <v>3367.77</v>
      </c>
      <c r="AA16" s="37" t="n">
        <f aca="false">IF($A16="","",IFERROR(1/(1/IF($B16="Residential",SUMIFS(INDEX('Oxford Economics'!$A$7:$AZ$1000,0,IFERROR(MATCH(AA$5,'Oxford Economics'!$A$6:$AZ$6,0),MATCH(AA$5&amp;"",'Oxford Economics'!$A$6:$AZ$6,0))),'Oxford Economics'!$A$7:$A$1000,$C16,'Oxford Economics'!$B$7:$B$1000,Settings!$B$12)-SUMIFS(INDEX('Oxford Economics'!$A$7:$AZ$1000,0,IFERROR(MATCH(AA$5,'Oxford Economics'!$A$6:$AZ$6,0),MATCH(AA$5&amp;"",'Oxford Economics'!$A$6:$AZ$6,0))),'Oxford Economics'!$A$7:$A$1000,$C16,'Oxford Economics'!$B$7:$B$1000,Settings!$B$14),SUMIFS(INDEX('Oxford Economics'!$A$7:$AZ$1000,0,IFERROR(MATCH(AA$5,'Oxford Economics'!$A$6:$AZ$6,0),MATCH(AA$5&amp;"",'Oxford Economics'!$A$6:$AZ$6,0))),'Oxford Economics'!$A$7:$A$1000,$C16,'Oxford Economics'!$B$7:$B$1000,Settings!$B$14)+SUMIFS(INDEX('Oxford Economics'!$A$7:$AZ$1000,0,IFERROR(MATCH(AA$5,'Oxford Economics'!$A$6:$AZ$6,0),MATCH(AA$5&amp;"",'Oxford Economics'!$A$6:$AZ$6,0))),'Oxford Economics'!$A$7:$A$1000,$C16,'Oxford Economics'!$B$7:$B$1000,Settings!$B$16)+IF(Settings!$B$18="",0,SUMIFS(INDEX('Oxford Economics'!$A$7:$AZ$1000,0,IFERROR(MATCH(AA$5,'Oxford Economics'!$A$6:$AZ$6,0),MATCH(AA$5&amp;"",'Oxford Economics'!$A$6:$AZ$6,0))),'Oxford Economics'!$A$7:$A$1000,$C16,'Oxford Economics'!$B$7:$B$1000,Settings!$B$18)))),""))</f>
        <v>3398.17</v>
      </c>
      <c r="AB16" s="37" t="n">
        <f aca="false">IF($A16="","",IFERROR(1/(1/IF($B16="Residential",SUMIFS(INDEX('Oxford Economics'!$A$7:$AZ$1000,0,IFERROR(MATCH(AB$5,'Oxford Economics'!$A$6:$AZ$6,0),MATCH(AB$5&amp;"",'Oxford Economics'!$A$6:$AZ$6,0))),'Oxford Economics'!$A$7:$A$1000,$C16,'Oxford Economics'!$B$7:$B$1000,Settings!$B$11)-SUMIFS(INDEX('Oxford Economics'!$A$7:$AZ$1000,0,IFERROR(MATCH(AB$5,'Oxford Economics'!$A$6:$AZ$6,0),MATCH(AB$5&amp;"",'Oxford Economics'!$A$6:$AZ$6,0))),'Oxford Economics'!$A$7:$A$1000,$C16,'Oxford Economics'!$B$7:$B$1000,Settings!$B$13),SUMIFS(INDEX('Oxford Economics'!$A$7:$AZ$1000,0,IFERROR(MATCH(AB$5,'Oxford Economics'!$A$6:$AZ$6,0),MATCH(AB$5&amp;"",'Oxford Economics'!$A$6:$AZ$6,0))),'Oxford Economics'!$A$7:$A$1000,$C16,'Oxford Economics'!$B$7:$B$1000,Settings!$B$13)+SUMIFS(INDEX('Oxford Economics'!$A$7:$AZ$1000,0,IFERROR(MATCH(AB$5,'Oxford Economics'!$A$6:$AZ$6,0),MATCH(AB$5&amp;"",'Oxford Economics'!$A$6:$AZ$6,0))),'Oxford Economics'!$A$7:$A$1000,$C16,'Oxford Economics'!$B$7:$B$1000,Settings!$B$15)+IF(Settings!$B$17="",0,SUMIFS(INDEX('Oxford Economics'!$A$7:$AZ$1000,0,IFERROR(MATCH(AB$5,'Oxford Economics'!$A$6:$AZ$6,0),MATCH(AB$5&amp;"",'Oxford Economics'!$A$6:$AZ$6,0))),'Oxford Economics'!$A$7:$A$1000,$C16,'Oxford Economics'!$B$7:$B$1000,Settings!$B$17)))),""))</f>
        <v>1786.77</v>
      </c>
      <c r="AC16" s="37" t="n">
        <f aca="false">IF($A16="","",IFERROR(1/(1/IF($B16="Residential",SUMIFS(INDEX('Oxford Economics'!$A$7:$AZ$1000,0,IFERROR(MATCH(AC$5,'Oxford Economics'!$A$6:$AZ$6,0),MATCH(AC$5&amp;"",'Oxford Economics'!$A$6:$AZ$6,0))),'Oxford Economics'!$A$7:$A$1000,$C16,'Oxford Economics'!$B$7:$B$1000,Settings!$B$11)-SUMIFS(INDEX('Oxford Economics'!$A$7:$AZ$1000,0,IFERROR(MATCH(AC$5,'Oxford Economics'!$A$6:$AZ$6,0),MATCH(AC$5&amp;"",'Oxford Economics'!$A$6:$AZ$6,0))),'Oxford Economics'!$A$7:$A$1000,$C16,'Oxford Economics'!$B$7:$B$1000,Settings!$B$13),SUMIFS(INDEX('Oxford Economics'!$A$7:$AZ$1000,0,IFERROR(MATCH(AC$5,'Oxford Economics'!$A$6:$AZ$6,0),MATCH(AC$5&amp;"",'Oxford Economics'!$A$6:$AZ$6,0))),'Oxford Economics'!$A$7:$A$1000,$C16,'Oxford Economics'!$B$7:$B$1000,Settings!$B$13)+SUMIFS(INDEX('Oxford Economics'!$A$7:$AZ$1000,0,IFERROR(MATCH(AC$5,'Oxford Economics'!$A$6:$AZ$6,0),MATCH(AC$5&amp;"",'Oxford Economics'!$A$6:$AZ$6,0))),'Oxford Economics'!$A$7:$A$1000,$C16,'Oxford Economics'!$B$7:$B$1000,Settings!$B$15)+IF(Settings!$B$17="",0,SUMIFS(INDEX('Oxford Economics'!$A$7:$AZ$1000,0,IFERROR(MATCH(AC$5,'Oxford Economics'!$A$6:$AZ$6,0),MATCH(AC$5&amp;"",'Oxford Economics'!$A$6:$AZ$6,0))),'Oxford Economics'!$A$7:$A$1000,$C16,'Oxford Economics'!$B$7:$B$1000,Settings!$B$17)))),""))</f>
        <v>1932.98</v>
      </c>
      <c r="AD16" s="37" t="n">
        <f aca="false">IF($A16="","",IFERROR(1/(1/IF($B16="Residential",SUMIFS(INDEX('Oxford Economics'!$A$7:$AZ$1000,0,IFERROR(MATCH(AD$5,'Oxford Economics'!$A$6:$AZ$6,0),MATCH(AD$5&amp;"",'Oxford Economics'!$A$6:$AZ$6,0))),'Oxford Economics'!$A$7:$A$1000,$C16,'Oxford Economics'!$B$7:$B$1000,Settings!$B$11)-SUMIFS(INDEX('Oxford Economics'!$A$7:$AZ$1000,0,IFERROR(MATCH(AD$5,'Oxford Economics'!$A$6:$AZ$6,0),MATCH(AD$5&amp;"",'Oxford Economics'!$A$6:$AZ$6,0))),'Oxford Economics'!$A$7:$A$1000,$C16,'Oxford Economics'!$B$7:$B$1000,Settings!$B$13),SUMIFS(INDEX('Oxford Economics'!$A$7:$AZ$1000,0,IFERROR(MATCH(AD$5,'Oxford Economics'!$A$6:$AZ$6,0),MATCH(AD$5&amp;"",'Oxford Economics'!$A$6:$AZ$6,0))),'Oxford Economics'!$A$7:$A$1000,$C16,'Oxford Economics'!$B$7:$B$1000,Settings!$B$13)+SUMIFS(INDEX('Oxford Economics'!$A$7:$AZ$1000,0,IFERROR(MATCH(AD$5,'Oxford Economics'!$A$6:$AZ$6,0),MATCH(AD$5&amp;"",'Oxford Economics'!$A$6:$AZ$6,0))),'Oxford Economics'!$A$7:$A$1000,$C16,'Oxford Economics'!$B$7:$B$1000,Settings!$B$15)+IF(Settings!$B$17="",0,SUMIFS(INDEX('Oxford Economics'!$A$7:$AZ$1000,0,IFERROR(MATCH(AD$5,'Oxford Economics'!$A$6:$AZ$6,0),MATCH(AD$5&amp;"",'Oxford Economics'!$A$6:$AZ$6,0))),'Oxford Economics'!$A$7:$A$1000,$C16,'Oxford Economics'!$B$7:$B$1000,Settings!$B$17)))),""))</f>
        <v>1835.46</v>
      </c>
      <c r="AE16" s="37" t="n">
        <f aca="false">IF($A16="","",IFERROR(1/(1/IF($B16="Residential",SUMIFS(INDEX('Oxford Economics'!$A$7:$AZ$1000,0,IFERROR(MATCH(AE$5,'Oxford Economics'!$A$6:$AZ$6,0),MATCH(AE$5&amp;"",'Oxford Economics'!$A$6:$AZ$6,0))),'Oxford Economics'!$A$7:$A$1000,$C16,'Oxford Economics'!$B$7:$B$1000,Settings!$B$11)-SUMIFS(INDEX('Oxford Economics'!$A$7:$AZ$1000,0,IFERROR(MATCH(AE$5,'Oxford Economics'!$A$6:$AZ$6,0),MATCH(AE$5&amp;"",'Oxford Economics'!$A$6:$AZ$6,0))),'Oxford Economics'!$A$7:$A$1000,$C16,'Oxford Economics'!$B$7:$B$1000,Settings!$B$13),SUMIFS(INDEX('Oxford Economics'!$A$7:$AZ$1000,0,IFERROR(MATCH(AE$5,'Oxford Economics'!$A$6:$AZ$6,0),MATCH(AE$5&amp;"",'Oxford Economics'!$A$6:$AZ$6,0))),'Oxford Economics'!$A$7:$A$1000,$C16,'Oxford Economics'!$B$7:$B$1000,Settings!$B$13)+SUMIFS(INDEX('Oxford Economics'!$A$7:$AZ$1000,0,IFERROR(MATCH(AE$5,'Oxford Economics'!$A$6:$AZ$6,0),MATCH(AE$5&amp;"",'Oxford Economics'!$A$6:$AZ$6,0))),'Oxford Economics'!$A$7:$A$1000,$C16,'Oxford Economics'!$B$7:$B$1000,Settings!$B$15)+IF(Settings!$B$17="",0,SUMIFS(INDEX('Oxford Economics'!$A$7:$AZ$1000,0,IFERROR(MATCH(AE$5,'Oxford Economics'!$A$6:$AZ$6,0),MATCH(AE$5&amp;"",'Oxford Economics'!$A$6:$AZ$6,0))),'Oxford Economics'!$A$7:$A$1000,$C16,'Oxford Economics'!$B$7:$B$1000,Settings!$B$17)))),""))</f>
        <v>1423.34</v>
      </c>
      <c r="AF16" s="37" t="n">
        <f aca="false">IF($A16="","",IFERROR(1/(1/IF($B16="Residential",SUMIFS(INDEX('Oxford Economics'!$A$7:$AZ$1000,0,IFERROR(MATCH(AF$5,'Oxford Economics'!$A$6:$AZ$6,0),MATCH(AF$5&amp;"",'Oxford Economics'!$A$6:$AZ$6,0))),'Oxford Economics'!$A$7:$A$1000,$C16,'Oxford Economics'!$B$7:$B$1000,Settings!$B$11)-SUMIFS(INDEX('Oxford Economics'!$A$7:$AZ$1000,0,IFERROR(MATCH(AF$5,'Oxford Economics'!$A$6:$AZ$6,0),MATCH(AF$5&amp;"",'Oxford Economics'!$A$6:$AZ$6,0))),'Oxford Economics'!$A$7:$A$1000,$C16,'Oxford Economics'!$B$7:$B$1000,Settings!$B$13),SUMIFS(INDEX('Oxford Economics'!$A$7:$AZ$1000,0,IFERROR(MATCH(AF$5,'Oxford Economics'!$A$6:$AZ$6,0),MATCH(AF$5&amp;"",'Oxford Economics'!$A$6:$AZ$6,0))),'Oxford Economics'!$A$7:$A$1000,$C16,'Oxford Economics'!$B$7:$B$1000,Settings!$B$13)+SUMIFS(INDEX('Oxford Economics'!$A$7:$AZ$1000,0,IFERROR(MATCH(AF$5,'Oxford Economics'!$A$6:$AZ$6,0),MATCH(AF$5&amp;"",'Oxford Economics'!$A$6:$AZ$6,0))),'Oxford Economics'!$A$7:$A$1000,$C16,'Oxford Economics'!$B$7:$B$1000,Settings!$B$15)+IF(Settings!$B$17="",0,SUMIFS(INDEX('Oxford Economics'!$A$7:$AZ$1000,0,IFERROR(MATCH(AF$5,'Oxford Economics'!$A$6:$AZ$6,0),MATCH(AF$5&amp;"",'Oxford Economics'!$A$6:$AZ$6,0))),'Oxford Economics'!$A$7:$A$1000,$C16,'Oxford Economics'!$B$7:$B$1000,Settings!$B$17)))),""))</f>
        <v>1147.73</v>
      </c>
      <c r="AG16" s="37" t="n">
        <f aca="false">IF($A16="","",IFERROR(1/(1/IF($B16="Residential",SUMIFS(INDEX('Oxford Economics'!$A$7:$AZ$1000,0,IFERROR(MATCH(AG$5,'Oxford Economics'!$A$6:$AZ$6,0),MATCH(AG$5&amp;"",'Oxford Economics'!$A$6:$AZ$6,0))),'Oxford Economics'!$A$7:$A$1000,$C16,'Oxford Economics'!$B$7:$B$1000,Settings!$B$11)-SUMIFS(INDEX('Oxford Economics'!$A$7:$AZ$1000,0,IFERROR(MATCH(AG$5,'Oxford Economics'!$A$6:$AZ$6,0),MATCH(AG$5&amp;"",'Oxford Economics'!$A$6:$AZ$6,0))),'Oxford Economics'!$A$7:$A$1000,$C16,'Oxford Economics'!$B$7:$B$1000,Settings!$B$13),SUMIFS(INDEX('Oxford Economics'!$A$7:$AZ$1000,0,IFERROR(MATCH(AG$5,'Oxford Economics'!$A$6:$AZ$6,0),MATCH(AG$5&amp;"",'Oxford Economics'!$A$6:$AZ$6,0))),'Oxford Economics'!$A$7:$A$1000,$C16,'Oxford Economics'!$B$7:$B$1000,Settings!$B$13)+SUMIFS(INDEX('Oxford Economics'!$A$7:$AZ$1000,0,IFERROR(MATCH(AG$5,'Oxford Economics'!$A$6:$AZ$6,0),MATCH(AG$5&amp;"",'Oxford Economics'!$A$6:$AZ$6,0))),'Oxford Economics'!$A$7:$A$1000,$C16,'Oxford Economics'!$B$7:$B$1000,Settings!$B$15)+IF(Settings!$B$17="",0,SUMIFS(INDEX('Oxford Economics'!$A$7:$AZ$1000,0,IFERROR(MATCH(AG$5,'Oxford Economics'!$A$6:$AZ$6,0),MATCH(AG$5&amp;"",'Oxford Economics'!$A$6:$AZ$6,0))),'Oxford Economics'!$A$7:$A$1000,$C16,'Oxford Economics'!$B$7:$B$1000,Settings!$B$17)))),""))</f>
        <v>1071.2</v>
      </c>
      <c r="AH16" s="37" t="n">
        <f aca="false">IF($A16="","",IFERROR(1/(1/IF($B16="Residential",SUMIFS(INDEX('Oxford Economics'!$A$7:$AZ$1000,0,IFERROR(MATCH(AH$5,'Oxford Economics'!$A$6:$AZ$6,0),MATCH(AH$5&amp;"",'Oxford Economics'!$A$6:$AZ$6,0))),'Oxford Economics'!$A$7:$A$1000,$C16,'Oxford Economics'!$B$7:$B$1000,Settings!$B$11)-SUMIFS(INDEX('Oxford Economics'!$A$7:$AZ$1000,0,IFERROR(MATCH(AH$5,'Oxford Economics'!$A$6:$AZ$6,0),MATCH(AH$5&amp;"",'Oxford Economics'!$A$6:$AZ$6,0))),'Oxford Economics'!$A$7:$A$1000,$C16,'Oxford Economics'!$B$7:$B$1000,Settings!$B$13),SUMIFS(INDEX('Oxford Economics'!$A$7:$AZ$1000,0,IFERROR(MATCH(AH$5,'Oxford Economics'!$A$6:$AZ$6,0),MATCH(AH$5&amp;"",'Oxford Economics'!$A$6:$AZ$6,0))),'Oxford Economics'!$A$7:$A$1000,$C16,'Oxford Economics'!$B$7:$B$1000,Settings!$B$13)+SUMIFS(INDEX('Oxford Economics'!$A$7:$AZ$1000,0,IFERROR(MATCH(AH$5,'Oxford Economics'!$A$6:$AZ$6,0),MATCH(AH$5&amp;"",'Oxford Economics'!$A$6:$AZ$6,0))),'Oxford Economics'!$A$7:$A$1000,$C16,'Oxford Economics'!$B$7:$B$1000,Settings!$B$15)+IF(Settings!$B$17="",0,SUMIFS(INDEX('Oxford Economics'!$A$7:$AZ$1000,0,IFERROR(MATCH(AH$5,'Oxford Economics'!$A$6:$AZ$6,0),MATCH(AH$5&amp;"",'Oxford Economics'!$A$6:$AZ$6,0))),'Oxford Economics'!$A$7:$A$1000,$C16,'Oxford Economics'!$B$7:$B$1000,Settings!$B$17)))),""))</f>
        <v>1025.54</v>
      </c>
      <c r="AI16" s="37" t="n">
        <f aca="false">IF($A16="","",IFERROR(1/(1/IF($B16="Residential",SUMIFS(INDEX('Oxford Economics'!$A$7:$AZ$1000,0,IFERROR(MATCH(AI$5,'Oxford Economics'!$A$6:$AZ$6,0),MATCH(AI$5&amp;"",'Oxford Economics'!$A$6:$AZ$6,0))),'Oxford Economics'!$A$7:$A$1000,$C16,'Oxford Economics'!$B$7:$B$1000,Settings!$B$11)-SUMIFS(INDEX('Oxford Economics'!$A$7:$AZ$1000,0,IFERROR(MATCH(AI$5,'Oxford Economics'!$A$6:$AZ$6,0),MATCH(AI$5&amp;"",'Oxford Economics'!$A$6:$AZ$6,0))),'Oxford Economics'!$A$7:$A$1000,$C16,'Oxford Economics'!$B$7:$B$1000,Settings!$B$13),SUMIFS(INDEX('Oxford Economics'!$A$7:$AZ$1000,0,IFERROR(MATCH(AI$5,'Oxford Economics'!$A$6:$AZ$6,0),MATCH(AI$5&amp;"",'Oxford Economics'!$A$6:$AZ$6,0))),'Oxford Economics'!$A$7:$A$1000,$C16,'Oxford Economics'!$B$7:$B$1000,Settings!$B$13)+SUMIFS(INDEX('Oxford Economics'!$A$7:$AZ$1000,0,IFERROR(MATCH(AI$5,'Oxford Economics'!$A$6:$AZ$6,0),MATCH(AI$5&amp;"",'Oxford Economics'!$A$6:$AZ$6,0))),'Oxford Economics'!$A$7:$A$1000,$C16,'Oxford Economics'!$B$7:$B$1000,Settings!$B$15)+IF(Settings!$B$17="",0,SUMIFS(INDEX('Oxford Economics'!$A$7:$AZ$1000,0,IFERROR(MATCH(AI$5,'Oxford Economics'!$A$6:$AZ$6,0),MATCH(AI$5&amp;"",'Oxford Economics'!$A$6:$AZ$6,0))),'Oxford Economics'!$A$7:$A$1000,$C16,'Oxford Economics'!$B$7:$B$1000,Settings!$B$17)))),""))</f>
        <v>1051.74</v>
      </c>
      <c r="AJ16" s="37" t="n">
        <f aca="false">IF($A16="","",IFERROR(1/(1/IF($B16="Residential",SUMIFS(INDEX('Oxford Economics'!$A$7:$AZ$1000,0,IFERROR(MATCH(AJ$5,'Oxford Economics'!$A$6:$AZ$6,0),MATCH(AJ$5&amp;"",'Oxford Economics'!$A$6:$AZ$6,0))),'Oxford Economics'!$A$7:$A$1000,$C16,'Oxford Economics'!$B$7:$B$1000,Settings!$B$11)-SUMIFS(INDEX('Oxford Economics'!$A$7:$AZ$1000,0,IFERROR(MATCH(AJ$5,'Oxford Economics'!$A$6:$AZ$6,0),MATCH(AJ$5&amp;"",'Oxford Economics'!$A$6:$AZ$6,0))),'Oxford Economics'!$A$7:$A$1000,$C16,'Oxford Economics'!$B$7:$B$1000,Settings!$B$13),SUMIFS(INDEX('Oxford Economics'!$A$7:$AZ$1000,0,IFERROR(MATCH(AJ$5,'Oxford Economics'!$A$6:$AZ$6,0),MATCH(AJ$5&amp;"",'Oxford Economics'!$A$6:$AZ$6,0))),'Oxford Economics'!$A$7:$A$1000,$C16,'Oxford Economics'!$B$7:$B$1000,Settings!$B$13)+SUMIFS(INDEX('Oxford Economics'!$A$7:$AZ$1000,0,IFERROR(MATCH(AJ$5,'Oxford Economics'!$A$6:$AZ$6,0),MATCH(AJ$5&amp;"",'Oxford Economics'!$A$6:$AZ$6,0))),'Oxford Economics'!$A$7:$A$1000,$C16,'Oxford Economics'!$B$7:$B$1000,Settings!$B$15)+IF(Settings!$B$17="",0,SUMIFS(INDEX('Oxford Economics'!$A$7:$AZ$1000,0,IFERROR(MATCH(AJ$5,'Oxford Economics'!$A$6:$AZ$6,0),MATCH(AJ$5&amp;"",'Oxford Economics'!$A$6:$AZ$6,0))),'Oxford Economics'!$A$7:$A$1000,$C16,'Oxford Economics'!$B$7:$B$1000,Settings!$B$17)))),""))</f>
        <v>1141.99</v>
      </c>
      <c r="AK16" s="37" t="n">
        <f aca="false">IF($A16="","",IFERROR(1/(1/IF($B16="Residential",SUMIFS(INDEX('Oxford Economics'!$A$7:$AZ$1000,0,IFERROR(MATCH(AK$5,'Oxford Economics'!$A$6:$AZ$6,0),MATCH(AK$5&amp;"",'Oxford Economics'!$A$6:$AZ$6,0))),'Oxford Economics'!$A$7:$A$1000,$C16,'Oxford Economics'!$B$7:$B$1000,Settings!$B$11)-SUMIFS(INDEX('Oxford Economics'!$A$7:$AZ$1000,0,IFERROR(MATCH(AK$5,'Oxford Economics'!$A$6:$AZ$6,0),MATCH(AK$5&amp;"",'Oxford Economics'!$A$6:$AZ$6,0))),'Oxford Economics'!$A$7:$A$1000,$C16,'Oxford Economics'!$B$7:$B$1000,Settings!$B$13),SUMIFS(INDEX('Oxford Economics'!$A$7:$AZ$1000,0,IFERROR(MATCH(AK$5,'Oxford Economics'!$A$6:$AZ$6,0),MATCH(AK$5&amp;"",'Oxford Economics'!$A$6:$AZ$6,0))),'Oxford Economics'!$A$7:$A$1000,$C16,'Oxford Economics'!$B$7:$B$1000,Settings!$B$13)+SUMIFS(INDEX('Oxford Economics'!$A$7:$AZ$1000,0,IFERROR(MATCH(AK$5,'Oxford Economics'!$A$6:$AZ$6,0),MATCH(AK$5&amp;"",'Oxford Economics'!$A$6:$AZ$6,0))),'Oxford Economics'!$A$7:$A$1000,$C16,'Oxford Economics'!$B$7:$B$1000,Settings!$B$15)+IF(Settings!$B$17="",0,SUMIFS(INDEX('Oxford Economics'!$A$7:$AZ$1000,0,IFERROR(MATCH(AK$5,'Oxford Economics'!$A$6:$AZ$6,0),MATCH(AK$5&amp;"",'Oxford Economics'!$A$6:$AZ$6,0))),'Oxford Economics'!$A$7:$A$1000,$C16,'Oxford Economics'!$B$7:$B$1000,Settings!$B$17)))),""))</f>
        <v>1219.31</v>
      </c>
      <c r="AL16" s="37" t="n">
        <f aca="false">IF($A16="","",IFERROR(1/(1/IF($B16="Residential",SUMIFS(INDEX('Oxford Economics'!$A$7:$AZ$1000,0,IFERROR(MATCH(AL$5,'Oxford Economics'!$A$6:$AZ$6,0),MATCH(AL$5&amp;"",'Oxford Economics'!$A$6:$AZ$6,0))),'Oxford Economics'!$A$7:$A$1000,$C16,'Oxford Economics'!$B$7:$B$1000,Settings!$B$11)-SUMIFS(INDEX('Oxford Economics'!$A$7:$AZ$1000,0,IFERROR(MATCH(AL$5,'Oxford Economics'!$A$6:$AZ$6,0),MATCH(AL$5&amp;"",'Oxford Economics'!$A$6:$AZ$6,0))),'Oxford Economics'!$A$7:$A$1000,$C16,'Oxford Economics'!$B$7:$B$1000,Settings!$B$13),SUMIFS(INDEX('Oxford Economics'!$A$7:$AZ$1000,0,IFERROR(MATCH(AL$5,'Oxford Economics'!$A$6:$AZ$6,0),MATCH(AL$5&amp;"",'Oxford Economics'!$A$6:$AZ$6,0))),'Oxford Economics'!$A$7:$A$1000,$C16,'Oxford Economics'!$B$7:$B$1000,Settings!$B$13)+SUMIFS(INDEX('Oxford Economics'!$A$7:$AZ$1000,0,IFERROR(MATCH(AL$5,'Oxford Economics'!$A$6:$AZ$6,0),MATCH(AL$5&amp;"",'Oxford Economics'!$A$6:$AZ$6,0))),'Oxford Economics'!$A$7:$A$1000,$C16,'Oxford Economics'!$B$7:$B$1000,Settings!$B$15)+IF(Settings!$B$17="",0,SUMIFS(INDEX('Oxford Economics'!$A$7:$AZ$1000,0,IFERROR(MATCH(AL$5,'Oxford Economics'!$A$6:$AZ$6,0),MATCH(AL$5&amp;"",'Oxford Economics'!$A$6:$AZ$6,0))),'Oxford Economics'!$A$7:$A$1000,$C16,'Oxford Economics'!$B$7:$B$1000,Settings!$B$17)))),""))</f>
        <v>1272.28</v>
      </c>
      <c r="AM16" s="37" t="n">
        <f aca="false">IF($A16="","",IFERROR(1/(1/IF($B16="Residential",SUMIFS(INDEX('Oxford Economics'!$A$7:$AZ$1000,0,IFERROR(MATCH(AM$5,'Oxford Economics'!$A$6:$AZ$6,0),MATCH(AM$5&amp;"",'Oxford Economics'!$A$6:$AZ$6,0))),'Oxford Economics'!$A$7:$A$1000,$C16,'Oxford Economics'!$B$7:$B$1000,Settings!$B$11)-SUMIFS(INDEX('Oxford Economics'!$A$7:$AZ$1000,0,IFERROR(MATCH(AM$5,'Oxford Economics'!$A$6:$AZ$6,0),MATCH(AM$5&amp;"",'Oxford Economics'!$A$6:$AZ$6,0))),'Oxford Economics'!$A$7:$A$1000,$C16,'Oxford Economics'!$B$7:$B$1000,Settings!$B$13),SUMIFS(INDEX('Oxford Economics'!$A$7:$AZ$1000,0,IFERROR(MATCH(AM$5,'Oxford Economics'!$A$6:$AZ$6,0),MATCH(AM$5&amp;"",'Oxford Economics'!$A$6:$AZ$6,0))),'Oxford Economics'!$A$7:$A$1000,$C16,'Oxford Economics'!$B$7:$B$1000,Settings!$B$13)+SUMIFS(INDEX('Oxford Economics'!$A$7:$AZ$1000,0,IFERROR(MATCH(AM$5,'Oxford Economics'!$A$6:$AZ$6,0),MATCH(AM$5&amp;"",'Oxford Economics'!$A$6:$AZ$6,0))),'Oxford Economics'!$A$7:$A$1000,$C16,'Oxford Economics'!$B$7:$B$1000,Settings!$B$15)+IF(Settings!$B$17="",0,SUMIFS(INDEX('Oxford Economics'!$A$7:$AZ$1000,0,IFERROR(MATCH(AM$5,'Oxford Economics'!$A$6:$AZ$6,0),MATCH(AM$5&amp;"",'Oxford Economics'!$A$6:$AZ$6,0))),'Oxford Economics'!$A$7:$A$1000,$C16,'Oxford Economics'!$B$7:$B$1000,Settings!$B$17)))),""))</f>
        <v>1305.33</v>
      </c>
    </row>
    <row r="17" customFormat="false" ht="15" hidden="false" customHeight="false" outlineLevel="0" collapsed="false">
      <c r="A17" s="36" t="str">
        <f aca="false">IF('Raw data'!$A17="","",'Raw data'!$A17)</f>
        <v>Norway</v>
      </c>
      <c r="B17" s="36" t="str">
        <f aca="false">IF($A17="","",'Raw data'!$C17)</f>
        <v>Commercial</v>
      </c>
      <c r="C17" s="36" t="str">
        <f aca="false">IF($A17="","",IF('Raw data'!$D17="",$A17,'Raw data'!$D17))</f>
        <v>Norway</v>
      </c>
      <c r="D17" s="37" t="n">
        <f aca="false">IF($A17="","",IF(AND(ISNUMBER(P17),ISNUMBER(AB17)),P17+AB17,""))</f>
        <v>12613.05</v>
      </c>
      <c r="E17" s="37" t="n">
        <f aca="false">IF($A17="","",IF(AND(ISNUMBER(Q17),ISNUMBER(AC17)),Q17+AC17,""))</f>
        <v>12948.06</v>
      </c>
      <c r="F17" s="37" t="n">
        <f aca="false">IF($A17="","",IF(AND(ISNUMBER(R17),ISNUMBER(AD17)),R17+AD17,""))</f>
        <v>13412.33</v>
      </c>
      <c r="G17" s="37" t="n">
        <f aca="false">IF($A17="","",IF(AND(ISNUMBER(S17),ISNUMBER(AE17)),S17+AE17,""))</f>
        <v>12979.57</v>
      </c>
      <c r="H17" s="37" t="n">
        <f aca="false">IF($A17="","",IF(AND(ISNUMBER(T17),ISNUMBER(AF17)),T17+AF17,""))</f>
        <v>12222.4</v>
      </c>
      <c r="I17" s="37" t="n">
        <f aca="false">IF($A17="","",IF(AND(ISNUMBER(U17),ISNUMBER(AG17)),U17+AG17,""))</f>
        <v>11770.8</v>
      </c>
      <c r="J17" s="37" t="n">
        <f aca="false">IF($A17="","",IF(AND(ISNUMBER(V17),ISNUMBER(AH17)),V17+AH17,""))</f>
        <v>12057.35</v>
      </c>
      <c r="K17" s="37" t="n">
        <f aca="false">IF($A17="","",IF(AND(ISNUMBER(W17),ISNUMBER(AI17)),W17+AI17,""))</f>
        <v>12012.11</v>
      </c>
      <c r="L17" s="37" t="n">
        <f aca="false">IF($A17="","",IF(AND(ISNUMBER(X17),ISNUMBER(AJ17)),X17+AJ17,""))</f>
        <v>12211.73</v>
      </c>
      <c r="M17" s="37" t="n">
        <f aca="false">IF($A17="","",IF(AND(ISNUMBER(Y17),ISNUMBER(AK17)),Y17+AK17,""))</f>
        <v>12656.74</v>
      </c>
      <c r="N17" s="37" t="n">
        <f aca="false">IF($A17="","",IF(AND(ISNUMBER(Z17),ISNUMBER(AL17)),Z17+AL17,""))</f>
        <v>13227.63</v>
      </c>
      <c r="O17" s="37" t="n">
        <f aca="false">IF($A17="","",IF(AND(ISNUMBER(AA17),ISNUMBER(AM17)),AA17+AM17,""))</f>
        <v>13465.99</v>
      </c>
      <c r="P17" s="37" t="n">
        <f aca="false">IF($A17="","",IFERROR(1/(1/IF($B17="Residential",SUMIFS(INDEX('Oxford Economics'!$A$7:$AZ$1000,0,IFERROR(MATCH(P$5,'Oxford Economics'!$A$6:$AZ$6,0),MATCH(P$5&amp;"",'Oxford Economics'!$A$6:$AZ$6,0))),'Oxford Economics'!$A$7:$A$1000,$C17,'Oxford Economics'!$B$7:$B$1000,Settings!$B$12)-SUMIFS(INDEX('Oxford Economics'!$A$7:$AZ$1000,0,IFERROR(MATCH(P$5,'Oxford Economics'!$A$6:$AZ$6,0),MATCH(P$5&amp;"",'Oxford Economics'!$A$6:$AZ$6,0))),'Oxford Economics'!$A$7:$A$1000,$C17,'Oxford Economics'!$B$7:$B$1000,Settings!$B$14),SUMIFS(INDEX('Oxford Economics'!$A$7:$AZ$1000,0,IFERROR(MATCH(P$5,'Oxford Economics'!$A$6:$AZ$6,0),MATCH(P$5&amp;"",'Oxford Economics'!$A$6:$AZ$6,0))),'Oxford Economics'!$A$7:$A$1000,$C17,'Oxford Economics'!$B$7:$B$1000,Settings!$B$14)+SUMIFS(INDEX('Oxford Economics'!$A$7:$AZ$1000,0,IFERROR(MATCH(P$5,'Oxford Economics'!$A$6:$AZ$6,0),MATCH(P$5&amp;"",'Oxford Economics'!$A$6:$AZ$6,0))),'Oxford Economics'!$A$7:$A$1000,$C17,'Oxford Economics'!$B$7:$B$1000,Settings!$B$16)+IF(Settings!$B$18="",0,SUMIFS(INDEX('Oxford Economics'!$A$7:$AZ$1000,0,IFERROR(MATCH(P$5,'Oxford Economics'!$A$6:$AZ$6,0),MATCH(P$5&amp;"",'Oxford Economics'!$A$6:$AZ$6,0))),'Oxford Economics'!$A$7:$A$1000,$C17,'Oxford Economics'!$B$7:$B$1000,Settings!$B$18)))),""))</f>
        <v>6454.16</v>
      </c>
      <c r="Q17" s="37" t="n">
        <f aca="false">IF($A17="","",IFERROR(1/(1/IF($B17="Residential",SUMIFS(INDEX('Oxford Economics'!$A$7:$AZ$1000,0,IFERROR(MATCH(Q$5,'Oxford Economics'!$A$6:$AZ$6,0),MATCH(Q$5&amp;"",'Oxford Economics'!$A$6:$AZ$6,0))),'Oxford Economics'!$A$7:$A$1000,$C17,'Oxford Economics'!$B$7:$B$1000,Settings!$B$12)-SUMIFS(INDEX('Oxford Economics'!$A$7:$AZ$1000,0,IFERROR(MATCH(Q$5,'Oxford Economics'!$A$6:$AZ$6,0),MATCH(Q$5&amp;"",'Oxford Economics'!$A$6:$AZ$6,0))),'Oxford Economics'!$A$7:$A$1000,$C17,'Oxford Economics'!$B$7:$B$1000,Settings!$B$14),SUMIFS(INDEX('Oxford Economics'!$A$7:$AZ$1000,0,IFERROR(MATCH(Q$5,'Oxford Economics'!$A$6:$AZ$6,0),MATCH(Q$5&amp;"",'Oxford Economics'!$A$6:$AZ$6,0))),'Oxford Economics'!$A$7:$A$1000,$C17,'Oxford Economics'!$B$7:$B$1000,Settings!$B$14)+SUMIFS(INDEX('Oxford Economics'!$A$7:$AZ$1000,0,IFERROR(MATCH(Q$5,'Oxford Economics'!$A$6:$AZ$6,0),MATCH(Q$5&amp;"",'Oxford Economics'!$A$6:$AZ$6,0))),'Oxford Economics'!$A$7:$A$1000,$C17,'Oxford Economics'!$B$7:$B$1000,Settings!$B$16)+IF(Settings!$B$18="",0,SUMIFS(INDEX('Oxford Economics'!$A$7:$AZ$1000,0,IFERROR(MATCH(Q$5,'Oxford Economics'!$A$6:$AZ$6,0),MATCH(Q$5&amp;"",'Oxford Economics'!$A$6:$AZ$6,0))),'Oxford Economics'!$A$7:$A$1000,$C17,'Oxford Economics'!$B$7:$B$1000,Settings!$B$18)))),""))</f>
        <v>6613.73</v>
      </c>
      <c r="R17" s="37" t="n">
        <f aca="false">IF($A17="","",IFERROR(1/(1/IF($B17="Residential",SUMIFS(INDEX('Oxford Economics'!$A$7:$AZ$1000,0,IFERROR(MATCH(R$5,'Oxford Economics'!$A$6:$AZ$6,0),MATCH(R$5&amp;"",'Oxford Economics'!$A$6:$AZ$6,0))),'Oxford Economics'!$A$7:$A$1000,$C17,'Oxford Economics'!$B$7:$B$1000,Settings!$B$12)-SUMIFS(INDEX('Oxford Economics'!$A$7:$AZ$1000,0,IFERROR(MATCH(R$5,'Oxford Economics'!$A$6:$AZ$6,0),MATCH(R$5&amp;"",'Oxford Economics'!$A$6:$AZ$6,0))),'Oxford Economics'!$A$7:$A$1000,$C17,'Oxford Economics'!$B$7:$B$1000,Settings!$B$14),SUMIFS(INDEX('Oxford Economics'!$A$7:$AZ$1000,0,IFERROR(MATCH(R$5,'Oxford Economics'!$A$6:$AZ$6,0),MATCH(R$5&amp;"",'Oxford Economics'!$A$6:$AZ$6,0))),'Oxford Economics'!$A$7:$A$1000,$C17,'Oxford Economics'!$B$7:$B$1000,Settings!$B$14)+SUMIFS(INDEX('Oxford Economics'!$A$7:$AZ$1000,0,IFERROR(MATCH(R$5,'Oxford Economics'!$A$6:$AZ$6,0),MATCH(R$5&amp;"",'Oxford Economics'!$A$6:$AZ$6,0))),'Oxford Economics'!$A$7:$A$1000,$C17,'Oxford Economics'!$B$7:$B$1000,Settings!$B$16)+IF(Settings!$B$18="",0,SUMIFS(INDEX('Oxford Economics'!$A$7:$AZ$1000,0,IFERROR(MATCH(R$5,'Oxford Economics'!$A$6:$AZ$6,0),MATCH(R$5&amp;"",'Oxford Economics'!$A$6:$AZ$6,0))),'Oxford Economics'!$A$7:$A$1000,$C17,'Oxford Economics'!$B$7:$B$1000,Settings!$B$18)))),""))</f>
        <v>6903.92</v>
      </c>
      <c r="S17" s="37" t="n">
        <f aca="false">IF($A17="","",IFERROR(1/(1/IF($B17="Residential",SUMIFS(INDEX('Oxford Economics'!$A$7:$AZ$1000,0,IFERROR(MATCH(S$5,'Oxford Economics'!$A$6:$AZ$6,0),MATCH(S$5&amp;"",'Oxford Economics'!$A$6:$AZ$6,0))),'Oxford Economics'!$A$7:$A$1000,$C17,'Oxford Economics'!$B$7:$B$1000,Settings!$B$12)-SUMIFS(INDEX('Oxford Economics'!$A$7:$AZ$1000,0,IFERROR(MATCH(S$5,'Oxford Economics'!$A$6:$AZ$6,0),MATCH(S$5&amp;"",'Oxford Economics'!$A$6:$AZ$6,0))),'Oxford Economics'!$A$7:$A$1000,$C17,'Oxford Economics'!$B$7:$B$1000,Settings!$B$14),SUMIFS(INDEX('Oxford Economics'!$A$7:$AZ$1000,0,IFERROR(MATCH(S$5,'Oxford Economics'!$A$6:$AZ$6,0),MATCH(S$5&amp;"",'Oxford Economics'!$A$6:$AZ$6,0))),'Oxford Economics'!$A$7:$A$1000,$C17,'Oxford Economics'!$B$7:$B$1000,Settings!$B$14)+SUMIFS(INDEX('Oxford Economics'!$A$7:$AZ$1000,0,IFERROR(MATCH(S$5,'Oxford Economics'!$A$6:$AZ$6,0),MATCH(S$5&amp;"",'Oxford Economics'!$A$6:$AZ$6,0))),'Oxford Economics'!$A$7:$A$1000,$C17,'Oxford Economics'!$B$7:$B$1000,Settings!$B$16)+IF(Settings!$B$18="",0,SUMIFS(INDEX('Oxford Economics'!$A$7:$AZ$1000,0,IFERROR(MATCH(S$5,'Oxford Economics'!$A$6:$AZ$6,0),MATCH(S$5&amp;"",'Oxford Economics'!$A$6:$AZ$6,0))),'Oxford Economics'!$A$7:$A$1000,$C17,'Oxford Economics'!$B$7:$B$1000,Settings!$B$18)))),""))</f>
        <v>7151.52</v>
      </c>
      <c r="T17" s="37" t="n">
        <f aca="false">IF($A17="","",IFERROR(1/(1/IF($B17="Residential",SUMIFS(INDEX('Oxford Economics'!$A$7:$AZ$1000,0,IFERROR(MATCH(T$5,'Oxford Economics'!$A$6:$AZ$6,0),MATCH(T$5&amp;"",'Oxford Economics'!$A$6:$AZ$6,0))),'Oxford Economics'!$A$7:$A$1000,$C17,'Oxford Economics'!$B$7:$B$1000,Settings!$B$12)-SUMIFS(INDEX('Oxford Economics'!$A$7:$AZ$1000,0,IFERROR(MATCH(T$5,'Oxford Economics'!$A$6:$AZ$6,0),MATCH(T$5&amp;"",'Oxford Economics'!$A$6:$AZ$6,0))),'Oxford Economics'!$A$7:$A$1000,$C17,'Oxford Economics'!$B$7:$B$1000,Settings!$B$14),SUMIFS(INDEX('Oxford Economics'!$A$7:$AZ$1000,0,IFERROR(MATCH(T$5,'Oxford Economics'!$A$6:$AZ$6,0),MATCH(T$5&amp;"",'Oxford Economics'!$A$6:$AZ$6,0))),'Oxford Economics'!$A$7:$A$1000,$C17,'Oxford Economics'!$B$7:$B$1000,Settings!$B$14)+SUMIFS(INDEX('Oxford Economics'!$A$7:$AZ$1000,0,IFERROR(MATCH(T$5,'Oxford Economics'!$A$6:$AZ$6,0),MATCH(T$5&amp;"",'Oxford Economics'!$A$6:$AZ$6,0))),'Oxford Economics'!$A$7:$A$1000,$C17,'Oxford Economics'!$B$7:$B$1000,Settings!$B$16)+IF(Settings!$B$18="",0,SUMIFS(INDEX('Oxford Economics'!$A$7:$AZ$1000,0,IFERROR(MATCH(T$5,'Oxford Economics'!$A$6:$AZ$6,0),MATCH(T$5&amp;"",'Oxford Economics'!$A$6:$AZ$6,0))),'Oxford Economics'!$A$7:$A$1000,$C17,'Oxford Economics'!$B$7:$B$1000,Settings!$B$18)))),""))</f>
        <v>7340.58</v>
      </c>
      <c r="U17" s="37" t="n">
        <f aca="false">IF($A17="","",IFERROR(1/(1/IF($B17="Residential",SUMIFS(INDEX('Oxford Economics'!$A$7:$AZ$1000,0,IFERROR(MATCH(U$5,'Oxford Economics'!$A$6:$AZ$6,0),MATCH(U$5&amp;"",'Oxford Economics'!$A$6:$AZ$6,0))),'Oxford Economics'!$A$7:$A$1000,$C17,'Oxford Economics'!$B$7:$B$1000,Settings!$B$12)-SUMIFS(INDEX('Oxford Economics'!$A$7:$AZ$1000,0,IFERROR(MATCH(U$5,'Oxford Economics'!$A$6:$AZ$6,0),MATCH(U$5&amp;"",'Oxford Economics'!$A$6:$AZ$6,0))),'Oxford Economics'!$A$7:$A$1000,$C17,'Oxford Economics'!$B$7:$B$1000,Settings!$B$14),SUMIFS(INDEX('Oxford Economics'!$A$7:$AZ$1000,0,IFERROR(MATCH(U$5,'Oxford Economics'!$A$6:$AZ$6,0),MATCH(U$5&amp;"",'Oxford Economics'!$A$6:$AZ$6,0))),'Oxford Economics'!$A$7:$A$1000,$C17,'Oxford Economics'!$B$7:$B$1000,Settings!$B$14)+SUMIFS(INDEX('Oxford Economics'!$A$7:$AZ$1000,0,IFERROR(MATCH(U$5,'Oxford Economics'!$A$6:$AZ$6,0),MATCH(U$5&amp;"",'Oxford Economics'!$A$6:$AZ$6,0))),'Oxford Economics'!$A$7:$A$1000,$C17,'Oxford Economics'!$B$7:$B$1000,Settings!$B$16)+IF(Settings!$B$18="",0,SUMIFS(INDEX('Oxford Economics'!$A$7:$AZ$1000,0,IFERROR(MATCH(U$5,'Oxford Economics'!$A$6:$AZ$6,0),MATCH(U$5&amp;"",'Oxford Economics'!$A$6:$AZ$6,0))),'Oxford Economics'!$A$7:$A$1000,$C17,'Oxford Economics'!$B$7:$B$1000,Settings!$B$18)))),""))</f>
        <v>6963.6</v>
      </c>
      <c r="V17" s="37" t="n">
        <f aca="false">IF($A17="","",IFERROR(1/(1/IF($B17="Residential",SUMIFS(INDEX('Oxford Economics'!$A$7:$AZ$1000,0,IFERROR(MATCH(V$5,'Oxford Economics'!$A$6:$AZ$6,0),MATCH(V$5&amp;"",'Oxford Economics'!$A$6:$AZ$6,0))),'Oxford Economics'!$A$7:$A$1000,$C17,'Oxford Economics'!$B$7:$B$1000,Settings!$B$12)-SUMIFS(INDEX('Oxford Economics'!$A$7:$AZ$1000,0,IFERROR(MATCH(V$5,'Oxford Economics'!$A$6:$AZ$6,0),MATCH(V$5&amp;"",'Oxford Economics'!$A$6:$AZ$6,0))),'Oxford Economics'!$A$7:$A$1000,$C17,'Oxford Economics'!$B$7:$B$1000,Settings!$B$14),SUMIFS(INDEX('Oxford Economics'!$A$7:$AZ$1000,0,IFERROR(MATCH(V$5,'Oxford Economics'!$A$6:$AZ$6,0),MATCH(V$5&amp;"",'Oxford Economics'!$A$6:$AZ$6,0))),'Oxford Economics'!$A$7:$A$1000,$C17,'Oxford Economics'!$B$7:$B$1000,Settings!$B$14)+SUMIFS(INDEX('Oxford Economics'!$A$7:$AZ$1000,0,IFERROR(MATCH(V$5,'Oxford Economics'!$A$6:$AZ$6,0),MATCH(V$5&amp;"",'Oxford Economics'!$A$6:$AZ$6,0))),'Oxford Economics'!$A$7:$A$1000,$C17,'Oxford Economics'!$B$7:$B$1000,Settings!$B$16)+IF(Settings!$B$18="",0,SUMIFS(INDEX('Oxford Economics'!$A$7:$AZ$1000,0,IFERROR(MATCH(V$5,'Oxford Economics'!$A$6:$AZ$6,0),MATCH(V$5&amp;"",'Oxford Economics'!$A$6:$AZ$6,0))),'Oxford Economics'!$A$7:$A$1000,$C17,'Oxford Economics'!$B$7:$B$1000,Settings!$B$18)))),""))</f>
        <v>6921.94</v>
      </c>
      <c r="W17" s="37" t="n">
        <f aca="false">IF($A17="","",IFERROR(1/(1/IF($B17="Residential",SUMIFS(INDEX('Oxford Economics'!$A$7:$AZ$1000,0,IFERROR(MATCH(W$5,'Oxford Economics'!$A$6:$AZ$6,0),MATCH(W$5&amp;"",'Oxford Economics'!$A$6:$AZ$6,0))),'Oxford Economics'!$A$7:$A$1000,$C17,'Oxford Economics'!$B$7:$B$1000,Settings!$B$12)-SUMIFS(INDEX('Oxford Economics'!$A$7:$AZ$1000,0,IFERROR(MATCH(W$5,'Oxford Economics'!$A$6:$AZ$6,0),MATCH(W$5&amp;"",'Oxford Economics'!$A$6:$AZ$6,0))),'Oxford Economics'!$A$7:$A$1000,$C17,'Oxford Economics'!$B$7:$B$1000,Settings!$B$14),SUMIFS(INDEX('Oxford Economics'!$A$7:$AZ$1000,0,IFERROR(MATCH(W$5,'Oxford Economics'!$A$6:$AZ$6,0),MATCH(W$5&amp;"",'Oxford Economics'!$A$6:$AZ$6,0))),'Oxford Economics'!$A$7:$A$1000,$C17,'Oxford Economics'!$B$7:$B$1000,Settings!$B$14)+SUMIFS(INDEX('Oxford Economics'!$A$7:$AZ$1000,0,IFERROR(MATCH(W$5,'Oxford Economics'!$A$6:$AZ$6,0),MATCH(W$5&amp;"",'Oxford Economics'!$A$6:$AZ$6,0))),'Oxford Economics'!$A$7:$A$1000,$C17,'Oxford Economics'!$B$7:$B$1000,Settings!$B$16)+IF(Settings!$B$18="",0,SUMIFS(INDEX('Oxford Economics'!$A$7:$AZ$1000,0,IFERROR(MATCH(W$5,'Oxford Economics'!$A$6:$AZ$6,0),MATCH(W$5&amp;"",'Oxford Economics'!$A$6:$AZ$6,0))),'Oxford Economics'!$A$7:$A$1000,$C17,'Oxford Economics'!$B$7:$B$1000,Settings!$B$18)))),""))</f>
        <v>6963.47</v>
      </c>
      <c r="X17" s="37" t="n">
        <f aca="false">IF($A17="","",IFERROR(1/(1/IF($B17="Residential",SUMIFS(INDEX('Oxford Economics'!$A$7:$AZ$1000,0,IFERROR(MATCH(X$5,'Oxford Economics'!$A$6:$AZ$6,0),MATCH(X$5&amp;"",'Oxford Economics'!$A$6:$AZ$6,0))),'Oxford Economics'!$A$7:$A$1000,$C17,'Oxford Economics'!$B$7:$B$1000,Settings!$B$12)-SUMIFS(INDEX('Oxford Economics'!$A$7:$AZ$1000,0,IFERROR(MATCH(X$5,'Oxford Economics'!$A$6:$AZ$6,0),MATCH(X$5&amp;"",'Oxford Economics'!$A$6:$AZ$6,0))),'Oxford Economics'!$A$7:$A$1000,$C17,'Oxford Economics'!$B$7:$B$1000,Settings!$B$14),SUMIFS(INDEX('Oxford Economics'!$A$7:$AZ$1000,0,IFERROR(MATCH(X$5,'Oxford Economics'!$A$6:$AZ$6,0),MATCH(X$5&amp;"",'Oxford Economics'!$A$6:$AZ$6,0))),'Oxford Economics'!$A$7:$A$1000,$C17,'Oxford Economics'!$B$7:$B$1000,Settings!$B$14)+SUMIFS(INDEX('Oxford Economics'!$A$7:$AZ$1000,0,IFERROR(MATCH(X$5,'Oxford Economics'!$A$6:$AZ$6,0),MATCH(X$5&amp;"",'Oxford Economics'!$A$6:$AZ$6,0))),'Oxford Economics'!$A$7:$A$1000,$C17,'Oxford Economics'!$B$7:$B$1000,Settings!$B$16)+IF(Settings!$B$18="",0,SUMIFS(INDEX('Oxford Economics'!$A$7:$AZ$1000,0,IFERROR(MATCH(X$5,'Oxford Economics'!$A$6:$AZ$6,0),MATCH(X$5&amp;"",'Oxford Economics'!$A$6:$AZ$6,0))),'Oxford Economics'!$A$7:$A$1000,$C17,'Oxford Economics'!$B$7:$B$1000,Settings!$B$18)))),""))</f>
        <v>7119.57</v>
      </c>
      <c r="Y17" s="37" t="n">
        <f aca="false">IF($A17="","",IFERROR(1/(1/IF($B17="Residential",SUMIFS(INDEX('Oxford Economics'!$A$7:$AZ$1000,0,IFERROR(MATCH(Y$5,'Oxford Economics'!$A$6:$AZ$6,0),MATCH(Y$5&amp;"",'Oxford Economics'!$A$6:$AZ$6,0))),'Oxford Economics'!$A$7:$A$1000,$C17,'Oxford Economics'!$B$7:$B$1000,Settings!$B$12)-SUMIFS(INDEX('Oxford Economics'!$A$7:$AZ$1000,0,IFERROR(MATCH(Y$5,'Oxford Economics'!$A$6:$AZ$6,0),MATCH(Y$5&amp;"",'Oxford Economics'!$A$6:$AZ$6,0))),'Oxford Economics'!$A$7:$A$1000,$C17,'Oxford Economics'!$B$7:$B$1000,Settings!$B$14),SUMIFS(INDEX('Oxford Economics'!$A$7:$AZ$1000,0,IFERROR(MATCH(Y$5,'Oxford Economics'!$A$6:$AZ$6,0),MATCH(Y$5&amp;"",'Oxford Economics'!$A$6:$AZ$6,0))),'Oxford Economics'!$A$7:$A$1000,$C17,'Oxford Economics'!$B$7:$B$1000,Settings!$B$14)+SUMIFS(INDEX('Oxford Economics'!$A$7:$AZ$1000,0,IFERROR(MATCH(Y$5,'Oxford Economics'!$A$6:$AZ$6,0),MATCH(Y$5&amp;"",'Oxford Economics'!$A$6:$AZ$6,0))),'Oxford Economics'!$A$7:$A$1000,$C17,'Oxford Economics'!$B$7:$B$1000,Settings!$B$16)+IF(Settings!$B$18="",0,SUMIFS(INDEX('Oxford Economics'!$A$7:$AZ$1000,0,IFERROR(MATCH(Y$5,'Oxford Economics'!$A$6:$AZ$6,0),MATCH(Y$5&amp;"",'Oxford Economics'!$A$6:$AZ$6,0))),'Oxford Economics'!$A$7:$A$1000,$C17,'Oxford Economics'!$B$7:$B$1000,Settings!$B$18)))),""))</f>
        <v>7450.86</v>
      </c>
      <c r="Z17" s="37" t="n">
        <f aca="false">IF($A17="","",IFERROR(1/(1/IF($B17="Residential",SUMIFS(INDEX('Oxford Economics'!$A$7:$AZ$1000,0,IFERROR(MATCH(Z$5,'Oxford Economics'!$A$6:$AZ$6,0),MATCH(Z$5&amp;"",'Oxford Economics'!$A$6:$AZ$6,0))),'Oxford Economics'!$A$7:$A$1000,$C17,'Oxford Economics'!$B$7:$B$1000,Settings!$B$12)-SUMIFS(INDEX('Oxford Economics'!$A$7:$AZ$1000,0,IFERROR(MATCH(Z$5,'Oxford Economics'!$A$6:$AZ$6,0),MATCH(Z$5&amp;"",'Oxford Economics'!$A$6:$AZ$6,0))),'Oxford Economics'!$A$7:$A$1000,$C17,'Oxford Economics'!$B$7:$B$1000,Settings!$B$14),SUMIFS(INDEX('Oxford Economics'!$A$7:$AZ$1000,0,IFERROR(MATCH(Z$5,'Oxford Economics'!$A$6:$AZ$6,0),MATCH(Z$5&amp;"",'Oxford Economics'!$A$6:$AZ$6,0))),'Oxford Economics'!$A$7:$A$1000,$C17,'Oxford Economics'!$B$7:$B$1000,Settings!$B$14)+SUMIFS(INDEX('Oxford Economics'!$A$7:$AZ$1000,0,IFERROR(MATCH(Z$5,'Oxford Economics'!$A$6:$AZ$6,0),MATCH(Z$5&amp;"",'Oxford Economics'!$A$6:$AZ$6,0))),'Oxford Economics'!$A$7:$A$1000,$C17,'Oxford Economics'!$B$7:$B$1000,Settings!$B$16)+IF(Settings!$B$18="",0,SUMIFS(INDEX('Oxford Economics'!$A$7:$AZ$1000,0,IFERROR(MATCH(Z$5,'Oxford Economics'!$A$6:$AZ$6,0),MATCH(Z$5&amp;"",'Oxford Economics'!$A$6:$AZ$6,0))),'Oxford Economics'!$A$7:$A$1000,$C17,'Oxford Economics'!$B$7:$B$1000,Settings!$B$18)))),""))</f>
        <v>7930.05</v>
      </c>
      <c r="AA17" s="37" t="n">
        <f aca="false">IF($A17="","",IFERROR(1/(1/IF($B17="Residential",SUMIFS(INDEX('Oxford Economics'!$A$7:$AZ$1000,0,IFERROR(MATCH(AA$5,'Oxford Economics'!$A$6:$AZ$6,0),MATCH(AA$5&amp;"",'Oxford Economics'!$A$6:$AZ$6,0))),'Oxford Economics'!$A$7:$A$1000,$C17,'Oxford Economics'!$B$7:$B$1000,Settings!$B$12)-SUMIFS(INDEX('Oxford Economics'!$A$7:$AZ$1000,0,IFERROR(MATCH(AA$5,'Oxford Economics'!$A$6:$AZ$6,0),MATCH(AA$5&amp;"",'Oxford Economics'!$A$6:$AZ$6,0))),'Oxford Economics'!$A$7:$A$1000,$C17,'Oxford Economics'!$B$7:$B$1000,Settings!$B$14),SUMIFS(INDEX('Oxford Economics'!$A$7:$AZ$1000,0,IFERROR(MATCH(AA$5,'Oxford Economics'!$A$6:$AZ$6,0),MATCH(AA$5&amp;"",'Oxford Economics'!$A$6:$AZ$6,0))),'Oxford Economics'!$A$7:$A$1000,$C17,'Oxford Economics'!$B$7:$B$1000,Settings!$B$14)+SUMIFS(INDEX('Oxford Economics'!$A$7:$AZ$1000,0,IFERROR(MATCH(AA$5,'Oxford Economics'!$A$6:$AZ$6,0),MATCH(AA$5&amp;"",'Oxford Economics'!$A$6:$AZ$6,0))),'Oxford Economics'!$A$7:$A$1000,$C17,'Oxford Economics'!$B$7:$B$1000,Settings!$B$16)+IF(Settings!$B$18="",0,SUMIFS(INDEX('Oxford Economics'!$A$7:$AZ$1000,0,IFERROR(MATCH(AA$5,'Oxford Economics'!$A$6:$AZ$6,0),MATCH(AA$5&amp;"",'Oxford Economics'!$A$6:$AZ$6,0))),'Oxford Economics'!$A$7:$A$1000,$C17,'Oxford Economics'!$B$7:$B$1000,Settings!$B$18)))),""))</f>
        <v>8078.6</v>
      </c>
      <c r="AB17" s="37" t="n">
        <f aca="false">IF($A17="","",IFERROR(1/(1/IF($B17="Residential",SUMIFS(INDEX('Oxford Economics'!$A$7:$AZ$1000,0,IFERROR(MATCH(AB$5,'Oxford Economics'!$A$6:$AZ$6,0),MATCH(AB$5&amp;"",'Oxford Economics'!$A$6:$AZ$6,0))),'Oxford Economics'!$A$7:$A$1000,$C17,'Oxford Economics'!$B$7:$B$1000,Settings!$B$11)-SUMIFS(INDEX('Oxford Economics'!$A$7:$AZ$1000,0,IFERROR(MATCH(AB$5,'Oxford Economics'!$A$6:$AZ$6,0),MATCH(AB$5&amp;"",'Oxford Economics'!$A$6:$AZ$6,0))),'Oxford Economics'!$A$7:$A$1000,$C17,'Oxford Economics'!$B$7:$B$1000,Settings!$B$13),SUMIFS(INDEX('Oxford Economics'!$A$7:$AZ$1000,0,IFERROR(MATCH(AB$5,'Oxford Economics'!$A$6:$AZ$6,0),MATCH(AB$5&amp;"",'Oxford Economics'!$A$6:$AZ$6,0))),'Oxford Economics'!$A$7:$A$1000,$C17,'Oxford Economics'!$B$7:$B$1000,Settings!$B$13)+SUMIFS(INDEX('Oxford Economics'!$A$7:$AZ$1000,0,IFERROR(MATCH(AB$5,'Oxford Economics'!$A$6:$AZ$6,0),MATCH(AB$5&amp;"",'Oxford Economics'!$A$6:$AZ$6,0))),'Oxford Economics'!$A$7:$A$1000,$C17,'Oxford Economics'!$B$7:$B$1000,Settings!$B$15)+IF(Settings!$B$17="",0,SUMIFS(INDEX('Oxford Economics'!$A$7:$AZ$1000,0,IFERROR(MATCH(AB$5,'Oxford Economics'!$A$6:$AZ$6,0),MATCH(AB$5&amp;"",'Oxford Economics'!$A$6:$AZ$6,0))),'Oxford Economics'!$A$7:$A$1000,$C17,'Oxford Economics'!$B$7:$B$1000,Settings!$B$17)))),""))</f>
        <v>6158.89</v>
      </c>
      <c r="AC17" s="37" t="n">
        <f aca="false">IF($A17="","",IFERROR(1/(1/IF($B17="Residential",SUMIFS(INDEX('Oxford Economics'!$A$7:$AZ$1000,0,IFERROR(MATCH(AC$5,'Oxford Economics'!$A$6:$AZ$6,0),MATCH(AC$5&amp;"",'Oxford Economics'!$A$6:$AZ$6,0))),'Oxford Economics'!$A$7:$A$1000,$C17,'Oxford Economics'!$B$7:$B$1000,Settings!$B$11)-SUMIFS(INDEX('Oxford Economics'!$A$7:$AZ$1000,0,IFERROR(MATCH(AC$5,'Oxford Economics'!$A$6:$AZ$6,0),MATCH(AC$5&amp;"",'Oxford Economics'!$A$6:$AZ$6,0))),'Oxford Economics'!$A$7:$A$1000,$C17,'Oxford Economics'!$B$7:$B$1000,Settings!$B$13),SUMIFS(INDEX('Oxford Economics'!$A$7:$AZ$1000,0,IFERROR(MATCH(AC$5,'Oxford Economics'!$A$6:$AZ$6,0),MATCH(AC$5&amp;"",'Oxford Economics'!$A$6:$AZ$6,0))),'Oxford Economics'!$A$7:$A$1000,$C17,'Oxford Economics'!$B$7:$B$1000,Settings!$B$13)+SUMIFS(INDEX('Oxford Economics'!$A$7:$AZ$1000,0,IFERROR(MATCH(AC$5,'Oxford Economics'!$A$6:$AZ$6,0),MATCH(AC$5&amp;"",'Oxford Economics'!$A$6:$AZ$6,0))),'Oxford Economics'!$A$7:$A$1000,$C17,'Oxford Economics'!$B$7:$B$1000,Settings!$B$15)+IF(Settings!$B$17="",0,SUMIFS(INDEX('Oxford Economics'!$A$7:$AZ$1000,0,IFERROR(MATCH(AC$5,'Oxford Economics'!$A$6:$AZ$6,0),MATCH(AC$5&amp;"",'Oxford Economics'!$A$6:$AZ$6,0))),'Oxford Economics'!$A$7:$A$1000,$C17,'Oxford Economics'!$B$7:$B$1000,Settings!$B$17)))),""))</f>
        <v>6334.33</v>
      </c>
      <c r="AD17" s="37" t="n">
        <f aca="false">IF($A17="","",IFERROR(1/(1/IF($B17="Residential",SUMIFS(INDEX('Oxford Economics'!$A$7:$AZ$1000,0,IFERROR(MATCH(AD$5,'Oxford Economics'!$A$6:$AZ$6,0),MATCH(AD$5&amp;"",'Oxford Economics'!$A$6:$AZ$6,0))),'Oxford Economics'!$A$7:$A$1000,$C17,'Oxford Economics'!$B$7:$B$1000,Settings!$B$11)-SUMIFS(INDEX('Oxford Economics'!$A$7:$AZ$1000,0,IFERROR(MATCH(AD$5,'Oxford Economics'!$A$6:$AZ$6,0),MATCH(AD$5&amp;"",'Oxford Economics'!$A$6:$AZ$6,0))),'Oxford Economics'!$A$7:$A$1000,$C17,'Oxford Economics'!$B$7:$B$1000,Settings!$B$13),SUMIFS(INDEX('Oxford Economics'!$A$7:$AZ$1000,0,IFERROR(MATCH(AD$5,'Oxford Economics'!$A$6:$AZ$6,0),MATCH(AD$5&amp;"",'Oxford Economics'!$A$6:$AZ$6,0))),'Oxford Economics'!$A$7:$A$1000,$C17,'Oxford Economics'!$B$7:$B$1000,Settings!$B$13)+SUMIFS(INDEX('Oxford Economics'!$A$7:$AZ$1000,0,IFERROR(MATCH(AD$5,'Oxford Economics'!$A$6:$AZ$6,0),MATCH(AD$5&amp;"",'Oxford Economics'!$A$6:$AZ$6,0))),'Oxford Economics'!$A$7:$A$1000,$C17,'Oxford Economics'!$B$7:$B$1000,Settings!$B$15)+IF(Settings!$B$17="",0,SUMIFS(INDEX('Oxford Economics'!$A$7:$AZ$1000,0,IFERROR(MATCH(AD$5,'Oxford Economics'!$A$6:$AZ$6,0),MATCH(AD$5&amp;"",'Oxford Economics'!$A$6:$AZ$6,0))),'Oxford Economics'!$A$7:$A$1000,$C17,'Oxford Economics'!$B$7:$B$1000,Settings!$B$17)))),""))</f>
        <v>6508.41</v>
      </c>
      <c r="AE17" s="37" t="n">
        <f aca="false">IF($A17="","",IFERROR(1/(1/IF($B17="Residential",SUMIFS(INDEX('Oxford Economics'!$A$7:$AZ$1000,0,IFERROR(MATCH(AE$5,'Oxford Economics'!$A$6:$AZ$6,0),MATCH(AE$5&amp;"",'Oxford Economics'!$A$6:$AZ$6,0))),'Oxford Economics'!$A$7:$A$1000,$C17,'Oxford Economics'!$B$7:$B$1000,Settings!$B$11)-SUMIFS(INDEX('Oxford Economics'!$A$7:$AZ$1000,0,IFERROR(MATCH(AE$5,'Oxford Economics'!$A$6:$AZ$6,0),MATCH(AE$5&amp;"",'Oxford Economics'!$A$6:$AZ$6,0))),'Oxford Economics'!$A$7:$A$1000,$C17,'Oxford Economics'!$B$7:$B$1000,Settings!$B$13),SUMIFS(INDEX('Oxford Economics'!$A$7:$AZ$1000,0,IFERROR(MATCH(AE$5,'Oxford Economics'!$A$6:$AZ$6,0),MATCH(AE$5&amp;"",'Oxford Economics'!$A$6:$AZ$6,0))),'Oxford Economics'!$A$7:$A$1000,$C17,'Oxford Economics'!$B$7:$B$1000,Settings!$B$13)+SUMIFS(INDEX('Oxford Economics'!$A$7:$AZ$1000,0,IFERROR(MATCH(AE$5,'Oxford Economics'!$A$6:$AZ$6,0),MATCH(AE$5&amp;"",'Oxford Economics'!$A$6:$AZ$6,0))),'Oxford Economics'!$A$7:$A$1000,$C17,'Oxford Economics'!$B$7:$B$1000,Settings!$B$15)+IF(Settings!$B$17="",0,SUMIFS(INDEX('Oxford Economics'!$A$7:$AZ$1000,0,IFERROR(MATCH(AE$5,'Oxford Economics'!$A$6:$AZ$6,0),MATCH(AE$5&amp;"",'Oxford Economics'!$A$6:$AZ$6,0))),'Oxford Economics'!$A$7:$A$1000,$C17,'Oxford Economics'!$B$7:$B$1000,Settings!$B$17)))),""))</f>
        <v>5828.05</v>
      </c>
      <c r="AF17" s="37" t="n">
        <f aca="false">IF($A17="","",IFERROR(1/(1/IF($B17="Residential",SUMIFS(INDEX('Oxford Economics'!$A$7:$AZ$1000,0,IFERROR(MATCH(AF$5,'Oxford Economics'!$A$6:$AZ$6,0),MATCH(AF$5&amp;"",'Oxford Economics'!$A$6:$AZ$6,0))),'Oxford Economics'!$A$7:$A$1000,$C17,'Oxford Economics'!$B$7:$B$1000,Settings!$B$11)-SUMIFS(INDEX('Oxford Economics'!$A$7:$AZ$1000,0,IFERROR(MATCH(AF$5,'Oxford Economics'!$A$6:$AZ$6,0),MATCH(AF$5&amp;"",'Oxford Economics'!$A$6:$AZ$6,0))),'Oxford Economics'!$A$7:$A$1000,$C17,'Oxford Economics'!$B$7:$B$1000,Settings!$B$13),SUMIFS(INDEX('Oxford Economics'!$A$7:$AZ$1000,0,IFERROR(MATCH(AF$5,'Oxford Economics'!$A$6:$AZ$6,0),MATCH(AF$5&amp;"",'Oxford Economics'!$A$6:$AZ$6,0))),'Oxford Economics'!$A$7:$A$1000,$C17,'Oxford Economics'!$B$7:$B$1000,Settings!$B$13)+SUMIFS(INDEX('Oxford Economics'!$A$7:$AZ$1000,0,IFERROR(MATCH(AF$5,'Oxford Economics'!$A$6:$AZ$6,0),MATCH(AF$5&amp;"",'Oxford Economics'!$A$6:$AZ$6,0))),'Oxford Economics'!$A$7:$A$1000,$C17,'Oxford Economics'!$B$7:$B$1000,Settings!$B$15)+IF(Settings!$B$17="",0,SUMIFS(INDEX('Oxford Economics'!$A$7:$AZ$1000,0,IFERROR(MATCH(AF$5,'Oxford Economics'!$A$6:$AZ$6,0),MATCH(AF$5&amp;"",'Oxford Economics'!$A$6:$AZ$6,0))),'Oxford Economics'!$A$7:$A$1000,$C17,'Oxford Economics'!$B$7:$B$1000,Settings!$B$17)))),""))</f>
        <v>4881.82</v>
      </c>
      <c r="AG17" s="37" t="n">
        <f aca="false">IF($A17="","",IFERROR(1/(1/IF($B17="Residential",SUMIFS(INDEX('Oxford Economics'!$A$7:$AZ$1000,0,IFERROR(MATCH(AG$5,'Oxford Economics'!$A$6:$AZ$6,0),MATCH(AG$5&amp;"",'Oxford Economics'!$A$6:$AZ$6,0))),'Oxford Economics'!$A$7:$A$1000,$C17,'Oxford Economics'!$B$7:$B$1000,Settings!$B$11)-SUMIFS(INDEX('Oxford Economics'!$A$7:$AZ$1000,0,IFERROR(MATCH(AG$5,'Oxford Economics'!$A$6:$AZ$6,0),MATCH(AG$5&amp;"",'Oxford Economics'!$A$6:$AZ$6,0))),'Oxford Economics'!$A$7:$A$1000,$C17,'Oxford Economics'!$B$7:$B$1000,Settings!$B$13),SUMIFS(INDEX('Oxford Economics'!$A$7:$AZ$1000,0,IFERROR(MATCH(AG$5,'Oxford Economics'!$A$6:$AZ$6,0),MATCH(AG$5&amp;"",'Oxford Economics'!$A$6:$AZ$6,0))),'Oxford Economics'!$A$7:$A$1000,$C17,'Oxford Economics'!$B$7:$B$1000,Settings!$B$13)+SUMIFS(INDEX('Oxford Economics'!$A$7:$AZ$1000,0,IFERROR(MATCH(AG$5,'Oxford Economics'!$A$6:$AZ$6,0),MATCH(AG$5&amp;"",'Oxford Economics'!$A$6:$AZ$6,0))),'Oxford Economics'!$A$7:$A$1000,$C17,'Oxford Economics'!$B$7:$B$1000,Settings!$B$15)+IF(Settings!$B$17="",0,SUMIFS(INDEX('Oxford Economics'!$A$7:$AZ$1000,0,IFERROR(MATCH(AG$5,'Oxford Economics'!$A$6:$AZ$6,0),MATCH(AG$5&amp;"",'Oxford Economics'!$A$6:$AZ$6,0))),'Oxford Economics'!$A$7:$A$1000,$C17,'Oxford Economics'!$B$7:$B$1000,Settings!$B$17)))),""))</f>
        <v>4807.2</v>
      </c>
      <c r="AH17" s="37" t="n">
        <f aca="false">IF($A17="","",IFERROR(1/(1/IF($B17="Residential",SUMIFS(INDEX('Oxford Economics'!$A$7:$AZ$1000,0,IFERROR(MATCH(AH$5,'Oxford Economics'!$A$6:$AZ$6,0),MATCH(AH$5&amp;"",'Oxford Economics'!$A$6:$AZ$6,0))),'Oxford Economics'!$A$7:$A$1000,$C17,'Oxford Economics'!$B$7:$B$1000,Settings!$B$11)-SUMIFS(INDEX('Oxford Economics'!$A$7:$AZ$1000,0,IFERROR(MATCH(AH$5,'Oxford Economics'!$A$6:$AZ$6,0),MATCH(AH$5&amp;"",'Oxford Economics'!$A$6:$AZ$6,0))),'Oxford Economics'!$A$7:$A$1000,$C17,'Oxford Economics'!$B$7:$B$1000,Settings!$B$13),SUMIFS(INDEX('Oxford Economics'!$A$7:$AZ$1000,0,IFERROR(MATCH(AH$5,'Oxford Economics'!$A$6:$AZ$6,0),MATCH(AH$5&amp;"",'Oxford Economics'!$A$6:$AZ$6,0))),'Oxford Economics'!$A$7:$A$1000,$C17,'Oxford Economics'!$B$7:$B$1000,Settings!$B$13)+SUMIFS(INDEX('Oxford Economics'!$A$7:$AZ$1000,0,IFERROR(MATCH(AH$5,'Oxford Economics'!$A$6:$AZ$6,0),MATCH(AH$5&amp;"",'Oxford Economics'!$A$6:$AZ$6,0))),'Oxford Economics'!$A$7:$A$1000,$C17,'Oxford Economics'!$B$7:$B$1000,Settings!$B$15)+IF(Settings!$B$17="",0,SUMIFS(INDEX('Oxford Economics'!$A$7:$AZ$1000,0,IFERROR(MATCH(AH$5,'Oxford Economics'!$A$6:$AZ$6,0),MATCH(AH$5&amp;"",'Oxford Economics'!$A$6:$AZ$6,0))),'Oxford Economics'!$A$7:$A$1000,$C17,'Oxford Economics'!$B$7:$B$1000,Settings!$B$17)))),""))</f>
        <v>5135.41</v>
      </c>
      <c r="AI17" s="37" t="n">
        <f aca="false">IF($A17="","",IFERROR(1/(1/IF($B17="Residential",SUMIFS(INDEX('Oxford Economics'!$A$7:$AZ$1000,0,IFERROR(MATCH(AI$5,'Oxford Economics'!$A$6:$AZ$6,0),MATCH(AI$5&amp;"",'Oxford Economics'!$A$6:$AZ$6,0))),'Oxford Economics'!$A$7:$A$1000,$C17,'Oxford Economics'!$B$7:$B$1000,Settings!$B$11)-SUMIFS(INDEX('Oxford Economics'!$A$7:$AZ$1000,0,IFERROR(MATCH(AI$5,'Oxford Economics'!$A$6:$AZ$6,0),MATCH(AI$5&amp;"",'Oxford Economics'!$A$6:$AZ$6,0))),'Oxford Economics'!$A$7:$A$1000,$C17,'Oxford Economics'!$B$7:$B$1000,Settings!$B$13),SUMIFS(INDEX('Oxford Economics'!$A$7:$AZ$1000,0,IFERROR(MATCH(AI$5,'Oxford Economics'!$A$6:$AZ$6,0),MATCH(AI$5&amp;"",'Oxford Economics'!$A$6:$AZ$6,0))),'Oxford Economics'!$A$7:$A$1000,$C17,'Oxford Economics'!$B$7:$B$1000,Settings!$B$13)+SUMIFS(INDEX('Oxford Economics'!$A$7:$AZ$1000,0,IFERROR(MATCH(AI$5,'Oxford Economics'!$A$6:$AZ$6,0),MATCH(AI$5&amp;"",'Oxford Economics'!$A$6:$AZ$6,0))),'Oxford Economics'!$A$7:$A$1000,$C17,'Oxford Economics'!$B$7:$B$1000,Settings!$B$15)+IF(Settings!$B$17="",0,SUMIFS(INDEX('Oxford Economics'!$A$7:$AZ$1000,0,IFERROR(MATCH(AI$5,'Oxford Economics'!$A$6:$AZ$6,0),MATCH(AI$5&amp;"",'Oxford Economics'!$A$6:$AZ$6,0))),'Oxford Economics'!$A$7:$A$1000,$C17,'Oxford Economics'!$B$7:$B$1000,Settings!$B$17)))),""))</f>
        <v>5048.64</v>
      </c>
      <c r="AJ17" s="37" t="n">
        <f aca="false">IF($A17="","",IFERROR(1/(1/IF($B17="Residential",SUMIFS(INDEX('Oxford Economics'!$A$7:$AZ$1000,0,IFERROR(MATCH(AJ$5,'Oxford Economics'!$A$6:$AZ$6,0),MATCH(AJ$5&amp;"",'Oxford Economics'!$A$6:$AZ$6,0))),'Oxford Economics'!$A$7:$A$1000,$C17,'Oxford Economics'!$B$7:$B$1000,Settings!$B$11)-SUMIFS(INDEX('Oxford Economics'!$A$7:$AZ$1000,0,IFERROR(MATCH(AJ$5,'Oxford Economics'!$A$6:$AZ$6,0),MATCH(AJ$5&amp;"",'Oxford Economics'!$A$6:$AZ$6,0))),'Oxford Economics'!$A$7:$A$1000,$C17,'Oxford Economics'!$B$7:$B$1000,Settings!$B$13),SUMIFS(INDEX('Oxford Economics'!$A$7:$AZ$1000,0,IFERROR(MATCH(AJ$5,'Oxford Economics'!$A$6:$AZ$6,0),MATCH(AJ$5&amp;"",'Oxford Economics'!$A$6:$AZ$6,0))),'Oxford Economics'!$A$7:$A$1000,$C17,'Oxford Economics'!$B$7:$B$1000,Settings!$B$13)+SUMIFS(INDEX('Oxford Economics'!$A$7:$AZ$1000,0,IFERROR(MATCH(AJ$5,'Oxford Economics'!$A$6:$AZ$6,0),MATCH(AJ$5&amp;"",'Oxford Economics'!$A$6:$AZ$6,0))),'Oxford Economics'!$A$7:$A$1000,$C17,'Oxford Economics'!$B$7:$B$1000,Settings!$B$15)+IF(Settings!$B$17="",0,SUMIFS(INDEX('Oxford Economics'!$A$7:$AZ$1000,0,IFERROR(MATCH(AJ$5,'Oxford Economics'!$A$6:$AZ$6,0),MATCH(AJ$5&amp;"",'Oxford Economics'!$A$6:$AZ$6,0))),'Oxford Economics'!$A$7:$A$1000,$C17,'Oxford Economics'!$B$7:$B$1000,Settings!$B$17)))),""))</f>
        <v>5092.16</v>
      </c>
      <c r="AK17" s="37" t="n">
        <f aca="false">IF($A17="","",IFERROR(1/(1/IF($B17="Residential",SUMIFS(INDEX('Oxford Economics'!$A$7:$AZ$1000,0,IFERROR(MATCH(AK$5,'Oxford Economics'!$A$6:$AZ$6,0),MATCH(AK$5&amp;"",'Oxford Economics'!$A$6:$AZ$6,0))),'Oxford Economics'!$A$7:$A$1000,$C17,'Oxford Economics'!$B$7:$B$1000,Settings!$B$11)-SUMIFS(INDEX('Oxford Economics'!$A$7:$AZ$1000,0,IFERROR(MATCH(AK$5,'Oxford Economics'!$A$6:$AZ$6,0),MATCH(AK$5&amp;"",'Oxford Economics'!$A$6:$AZ$6,0))),'Oxford Economics'!$A$7:$A$1000,$C17,'Oxford Economics'!$B$7:$B$1000,Settings!$B$13),SUMIFS(INDEX('Oxford Economics'!$A$7:$AZ$1000,0,IFERROR(MATCH(AK$5,'Oxford Economics'!$A$6:$AZ$6,0),MATCH(AK$5&amp;"",'Oxford Economics'!$A$6:$AZ$6,0))),'Oxford Economics'!$A$7:$A$1000,$C17,'Oxford Economics'!$B$7:$B$1000,Settings!$B$13)+SUMIFS(INDEX('Oxford Economics'!$A$7:$AZ$1000,0,IFERROR(MATCH(AK$5,'Oxford Economics'!$A$6:$AZ$6,0),MATCH(AK$5&amp;"",'Oxford Economics'!$A$6:$AZ$6,0))),'Oxford Economics'!$A$7:$A$1000,$C17,'Oxford Economics'!$B$7:$B$1000,Settings!$B$15)+IF(Settings!$B$17="",0,SUMIFS(INDEX('Oxford Economics'!$A$7:$AZ$1000,0,IFERROR(MATCH(AK$5,'Oxford Economics'!$A$6:$AZ$6,0),MATCH(AK$5&amp;"",'Oxford Economics'!$A$6:$AZ$6,0))),'Oxford Economics'!$A$7:$A$1000,$C17,'Oxford Economics'!$B$7:$B$1000,Settings!$B$17)))),""))</f>
        <v>5205.88</v>
      </c>
      <c r="AL17" s="37" t="n">
        <f aca="false">IF($A17="","",IFERROR(1/(1/IF($B17="Residential",SUMIFS(INDEX('Oxford Economics'!$A$7:$AZ$1000,0,IFERROR(MATCH(AL$5,'Oxford Economics'!$A$6:$AZ$6,0),MATCH(AL$5&amp;"",'Oxford Economics'!$A$6:$AZ$6,0))),'Oxford Economics'!$A$7:$A$1000,$C17,'Oxford Economics'!$B$7:$B$1000,Settings!$B$11)-SUMIFS(INDEX('Oxford Economics'!$A$7:$AZ$1000,0,IFERROR(MATCH(AL$5,'Oxford Economics'!$A$6:$AZ$6,0),MATCH(AL$5&amp;"",'Oxford Economics'!$A$6:$AZ$6,0))),'Oxford Economics'!$A$7:$A$1000,$C17,'Oxford Economics'!$B$7:$B$1000,Settings!$B$13),SUMIFS(INDEX('Oxford Economics'!$A$7:$AZ$1000,0,IFERROR(MATCH(AL$5,'Oxford Economics'!$A$6:$AZ$6,0),MATCH(AL$5&amp;"",'Oxford Economics'!$A$6:$AZ$6,0))),'Oxford Economics'!$A$7:$A$1000,$C17,'Oxford Economics'!$B$7:$B$1000,Settings!$B$13)+SUMIFS(INDEX('Oxford Economics'!$A$7:$AZ$1000,0,IFERROR(MATCH(AL$5,'Oxford Economics'!$A$6:$AZ$6,0),MATCH(AL$5&amp;"",'Oxford Economics'!$A$6:$AZ$6,0))),'Oxford Economics'!$A$7:$A$1000,$C17,'Oxford Economics'!$B$7:$B$1000,Settings!$B$15)+IF(Settings!$B$17="",0,SUMIFS(INDEX('Oxford Economics'!$A$7:$AZ$1000,0,IFERROR(MATCH(AL$5,'Oxford Economics'!$A$6:$AZ$6,0),MATCH(AL$5&amp;"",'Oxford Economics'!$A$6:$AZ$6,0))),'Oxford Economics'!$A$7:$A$1000,$C17,'Oxford Economics'!$B$7:$B$1000,Settings!$B$17)))),""))</f>
        <v>5297.58</v>
      </c>
      <c r="AM17" s="37" t="n">
        <f aca="false">IF($A17="","",IFERROR(1/(1/IF($B17="Residential",SUMIFS(INDEX('Oxford Economics'!$A$7:$AZ$1000,0,IFERROR(MATCH(AM$5,'Oxford Economics'!$A$6:$AZ$6,0),MATCH(AM$5&amp;"",'Oxford Economics'!$A$6:$AZ$6,0))),'Oxford Economics'!$A$7:$A$1000,$C17,'Oxford Economics'!$B$7:$B$1000,Settings!$B$11)-SUMIFS(INDEX('Oxford Economics'!$A$7:$AZ$1000,0,IFERROR(MATCH(AM$5,'Oxford Economics'!$A$6:$AZ$6,0),MATCH(AM$5&amp;"",'Oxford Economics'!$A$6:$AZ$6,0))),'Oxford Economics'!$A$7:$A$1000,$C17,'Oxford Economics'!$B$7:$B$1000,Settings!$B$13),SUMIFS(INDEX('Oxford Economics'!$A$7:$AZ$1000,0,IFERROR(MATCH(AM$5,'Oxford Economics'!$A$6:$AZ$6,0),MATCH(AM$5&amp;"",'Oxford Economics'!$A$6:$AZ$6,0))),'Oxford Economics'!$A$7:$A$1000,$C17,'Oxford Economics'!$B$7:$B$1000,Settings!$B$13)+SUMIFS(INDEX('Oxford Economics'!$A$7:$AZ$1000,0,IFERROR(MATCH(AM$5,'Oxford Economics'!$A$6:$AZ$6,0),MATCH(AM$5&amp;"",'Oxford Economics'!$A$6:$AZ$6,0))),'Oxford Economics'!$A$7:$A$1000,$C17,'Oxford Economics'!$B$7:$B$1000,Settings!$B$15)+IF(Settings!$B$17="",0,SUMIFS(INDEX('Oxford Economics'!$A$7:$AZ$1000,0,IFERROR(MATCH(AM$5,'Oxford Economics'!$A$6:$AZ$6,0),MATCH(AM$5&amp;"",'Oxford Economics'!$A$6:$AZ$6,0))),'Oxford Economics'!$A$7:$A$1000,$C17,'Oxford Economics'!$B$7:$B$1000,Settings!$B$17)))),""))</f>
        <v>5387.39</v>
      </c>
    </row>
    <row r="18" customFormat="false" ht="15" hidden="false" customHeight="false" outlineLevel="0" collapsed="false">
      <c r="A18" s="36" t="str">
        <f aca="false">IF('Raw data'!$A18="","",'Raw data'!$A18)</f>
        <v>Finland</v>
      </c>
      <c r="B18" s="36" t="str">
        <f aca="false">IF($A18="","",'Raw data'!$C18)</f>
        <v>Residential</v>
      </c>
      <c r="C18" s="36" t="str">
        <f aca="false">IF($A18="","",IF('Raw data'!$D18="",$A18,'Raw data'!$D18))</f>
        <v>Finland</v>
      </c>
      <c r="D18" s="37" t="n">
        <f aca="false">IF($A18="","",IF(AND(ISNUMBER(P18),ISNUMBER(AB18)),P18+AB18,""))</f>
        <v>2336.17</v>
      </c>
      <c r="E18" s="37" t="n">
        <f aca="false">IF($A18="","",IF(AND(ISNUMBER(Q18),ISNUMBER(AC18)),Q18+AC18,""))</f>
        <v>2387.37</v>
      </c>
      <c r="F18" s="37" t="n">
        <f aca="false">IF($A18="","",IF(AND(ISNUMBER(R18),ISNUMBER(AD18)),R18+AD18,""))</f>
        <v>2333.08</v>
      </c>
      <c r="G18" s="37" t="n">
        <f aca="false">IF($A18="","",IF(AND(ISNUMBER(S18),ISNUMBER(AE18)),S18+AE18,""))</f>
        <v>1976.85</v>
      </c>
      <c r="H18" s="37" t="n">
        <f aca="false">IF($A18="","",IF(AND(ISNUMBER(T18),ISNUMBER(AF18)),T18+AF18,""))</f>
        <v>1748.21</v>
      </c>
      <c r="I18" s="37" t="n">
        <f aca="false">IF($A18="","",IF(AND(ISNUMBER(U18),ISNUMBER(AG18)),U18+AG18,""))</f>
        <v>1692.48</v>
      </c>
      <c r="J18" s="37" t="n">
        <f aca="false">IF($A18="","",IF(AND(ISNUMBER(V18),ISNUMBER(AH18)),V18+AH18,""))</f>
        <v>1642.2</v>
      </c>
      <c r="K18" s="37" t="n">
        <f aca="false">IF($A18="","",IF(AND(ISNUMBER(W18),ISNUMBER(AI18)),W18+AI18,""))</f>
        <v>1735.21</v>
      </c>
      <c r="L18" s="37" t="n">
        <f aca="false">IF($A18="","",IF(AND(ISNUMBER(X18),ISNUMBER(AJ18)),X18+AJ18,""))</f>
        <v>1835.11</v>
      </c>
      <c r="M18" s="37" t="n">
        <f aca="false">IF($A18="","",IF(AND(ISNUMBER(Y18),ISNUMBER(AK18)),Y18+AK18,""))</f>
        <v>1896.58</v>
      </c>
      <c r="N18" s="37" t="n">
        <f aca="false">IF($A18="","",IF(AND(ISNUMBER(Z18),ISNUMBER(AL18)),Z18+AL18,""))</f>
        <v>1946.66</v>
      </c>
      <c r="O18" s="37" t="n">
        <f aca="false">IF($A18="","",IF(AND(ISNUMBER(AA18),ISNUMBER(AM18)),AA18+AM18,""))</f>
        <v>2008.13</v>
      </c>
      <c r="P18" s="37" t="n">
        <f aca="false">IF($A18="","",IFERROR(1/(1/IF($B18="Residential",SUMIFS(INDEX('Oxford Economics'!$A$7:$AZ$1000,0,IFERROR(MATCH(P$5,'Oxford Economics'!$A$6:$AZ$6,0),MATCH(P$5&amp;"",'Oxford Economics'!$A$6:$AZ$6,0))),'Oxford Economics'!$A$7:$A$1000,$C18,'Oxford Economics'!$B$7:$B$1000,Settings!$B$12)-SUMIFS(INDEX('Oxford Economics'!$A$7:$AZ$1000,0,IFERROR(MATCH(P$5,'Oxford Economics'!$A$6:$AZ$6,0),MATCH(P$5&amp;"",'Oxford Economics'!$A$6:$AZ$6,0))),'Oxford Economics'!$A$7:$A$1000,$C18,'Oxford Economics'!$B$7:$B$1000,Settings!$B$14),SUMIFS(INDEX('Oxford Economics'!$A$7:$AZ$1000,0,IFERROR(MATCH(P$5,'Oxford Economics'!$A$6:$AZ$6,0),MATCH(P$5&amp;"",'Oxford Economics'!$A$6:$AZ$6,0))),'Oxford Economics'!$A$7:$A$1000,$C18,'Oxford Economics'!$B$7:$B$1000,Settings!$B$14)+SUMIFS(INDEX('Oxford Economics'!$A$7:$AZ$1000,0,IFERROR(MATCH(P$5,'Oxford Economics'!$A$6:$AZ$6,0),MATCH(P$5&amp;"",'Oxford Economics'!$A$6:$AZ$6,0))),'Oxford Economics'!$A$7:$A$1000,$C18,'Oxford Economics'!$B$7:$B$1000,Settings!$B$16)+IF(Settings!$B$18="",0,SUMIFS(INDEX('Oxford Economics'!$A$7:$AZ$1000,0,IFERROR(MATCH(P$5,'Oxford Economics'!$A$6:$AZ$6,0),MATCH(P$5&amp;"",'Oxford Economics'!$A$6:$AZ$6,0))),'Oxford Economics'!$A$7:$A$1000,$C18,'Oxford Economics'!$B$7:$B$1000,Settings!$B$18)))),""))</f>
        <v>1662.45</v>
      </c>
      <c r="Q18" s="37" t="n">
        <f aca="false">IF($A18="","",IFERROR(1/(1/IF($B18="Residential",SUMIFS(INDEX('Oxford Economics'!$A$7:$AZ$1000,0,IFERROR(MATCH(Q$5,'Oxford Economics'!$A$6:$AZ$6,0),MATCH(Q$5&amp;"",'Oxford Economics'!$A$6:$AZ$6,0))),'Oxford Economics'!$A$7:$A$1000,$C18,'Oxford Economics'!$B$7:$B$1000,Settings!$B$12)-SUMIFS(INDEX('Oxford Economics'!$A$7:$AZ$1000,0,IFERROR(MATCH(Q$5,'Oxford Economics'!$A$6:$AZ$6,0),MATCH(Q$5&amp;"",'Oxford Economics'!$A$6:$AZ$6,0))),'Oxford Economics'!$A$7:$A$1000,$C18,'Oxford Economics'!$B$7:$B$1000,Settings!$B$14),SUMIFS(INDEX('Oxford Economics'!$A$7:$AZ$1000,0,IFERROR(MATCH(Q$5,'Oxford Economics'!$A$6:$AZ$6,0),MATCH(Q$5&amp;"",'Oxford Economics'!$A$6:$AZ$6,0))),'Oxford Economics'!$A$7:$A$1000,$C18,'Oxford Economics'!$B$7:$B$1000,Settings!$B$14)+SUMIFS(INDEX('Oxford Economics'!$A$7:$AZ$1000,0,IFERROR(MATCH(Q$5,'Oxford Economics'!$A$6:$AZ$6,0),MATCH(Q$5&amp;"",'Oxford Economics'!$A$6:$AZ$6,0))),'Oxford Economics'!$A$7:$A$1000,$C18,'Oxford Economics'!$B$7:$B$1000,Settings!$B$16)+IF(Settings!$B$18="",0,SUMIFS(INDEX('Oxford Economics'!$A$7:$AZ$1000,0,IFERROR(MATCH(Q$5,'Oxford Economics'!$A$6:$AZ$6,0),MATCH(Q$5&amp;"",'Oxford Economics'!$A$6:$AZ$6,0))),'Oxford Economics'!$A$7:$A$1000,$C18,'Oxford Economics'!$B$7:$B$1000,Settings!$B$18)))),""))</f>
        <v>1574.36</v>
      </c>
      <c r="R18" s="37" t="n">
        <f aca="false">IF($A18="","",IFERROR(1/(1/IF($B18="Residential",SUMIFS(INDEX('Oxford Economics'!$A$7:$AZ$1000,0,IFERROR(MATCH(R$5,'Oxford Economics'!$A$6:$AZ$6,0),MATCH(R$5&amp;"",'Oxford Economics'!$A$6:$AZ$6,0))),'Oxford Economics'!$A$7:$A$1000,$C18,'Oxford Economics'!$B$7:$B$1000,Settings!$B$12)-SUMIFS(INDEX('Oxford Economics'!$A$7:$AZ$1000,0,IFERROR(MATCH(R$5,'Oxford Economics'!$A$6:$AZ$6,0),MATCH(R$5&amp;"",'Oxford Economics'!$A$6:$AZ$6,0))),'Oxford Economics'!$A$7:$A$1000,$C18,'Oxford Economics'!$B$7:$B$1000,Settings!$B$14),SUMIFS(INDEX('Oxford Economics'!$A$7:$AZ$1000,0,IFERROR(MATCH(R$5,'Oxford Economics'!$A$6:$AZ$6,0),MATCH(R$5&amp;"",'Oxford Economics'!$A$6:$AZ$6,0))),'Oxford Economics'!$A$7:$A$1000,$C18,'Oxford Economics'!$B$7:$B$1000,Settings!$B$14)+SUMIFS(INDEX('Oxford Economics'!$A$7:$AZ$1000,0,IFERROR(MATCH(R$5,'Oxford Economics'!$A$6:$AZ$6,0),MATCH(R$5&amp;"",'Oxford Economics'!$A$6:$AZ$6,0))),'Oxford Economics'!$A$7:$A$1000,$C18,'Oxford Economics'!$B$7:$B$1000,Settings!$B$16)+IF(Settings!$B$18="",0,SUMIFS(INDEX('Oxford Economics'!$A$7:$AZ$1000,0,IFERROR(MATCH(R$5,'Oxford Economics'!$A$6:$AZ$6,0),MATCH(R$5&amp;"",'Oxford Economics'!$A$6:$AZ$6,0))),'Oxford Economics'!$A$7:$A$1000,$C18,'Oxford Economics'!$B$7:$B$1000,Settings!$B$18)))),""))</f>
        <v>1533.7</v>
      </c>
      <c r="S18" s="37" t="n">
        <f aca="false">IF($A18="","",IFERROR(1/(1/IF($B18="Residential",SUMIFS(INDEX('Oxford Economics'!$A$7:$AZ$1000,0,IFERROR(MATCH(S$5,'Oxford Economics'!$A$6:$AZ$6,0),MATCH(S$5&amp;"",'Oxford Economics'!$A$6:$AZ$6,0))),'Oxford Economics'!$A$7:$A$1000,$C18,'Oxford Economics'!$B$7:$B$1000,Settings!$B$12)-SUMIFS(INDEX('Oxford Economics'!$A$7:$AZ$1000,0,IFERROR(MATCH(S$5,'Oxford Economics'!$A$6:$AZ$6,0),MATCH(S$5&amp;"",'Oxford Economics'!$A$6:$AZ$6,0))),'Oxford Economics'!$A$7:$A$1000,$C18,'Oxford Economics'!$B$7:$B$1000,Settings!$B$14),SUMIFS(INDEX('Oxford Economics'!$A$7:$AZ$1000,0,IFERROR(MATCH(S$5,'Oxford Economics'!$A$6:$AZ$6,0),MATCH(S$5&amp;"",'Oxford Economics'!$A$6:$AZ$6,0))),'Oxford Economics'!$A$7:$A$1000,$C18,'Oxford Economics'!$B$7:$B$1000,Settings!$B$14)+SUMIFS(INDEX('Oxford Economics'!$A$7:$AZ$1000,0,IFERROR(MATCH(S$5,'Oxford Economics'!$A$6:$AZ$6,0),MATCH(S$5&amp;"",'Oxford Economics'!$A$6:$AZ$6,0))),'Oxford Economics'!$A$7:$A$1000,$C18,'Oxford Economics'!$B$7:$B$1000,Settings!$B$16)+IF(Settings!$B$18="",0,SUMIFS(INDEX('Oxford Economics'!$A$7:$AZ$1000,0,IFERROR(MATCH(S$5,'Oxford Economics'!$A$6:$AZ$6,0),MATCH(S$5&amp;"",'Oxford Economics'!$A$6:$AZ$6,0))),'Oxford Economics'!$A$7:$A$1000,$C18,'Oxford Economics'!$B$7:$B$1000,Settings!$B$18)))),""))</f>
        <v>1509.94</v>
      </c>
      <c r="T18" s="37" t="n">
        <f aca="false">IF($A18="","",IFERROR(1/(1/IF($B18="Residential",SUMIFS(INDEX('Oxford Economics'!$A$7:$AZ$1000,0,IFERROR(MATCH(T$5,'Oxford Economics'!$A$6:$AZ$6,0),MATCH(T$5&amp;"",'Oxford Economics'!$A$6:$AZ$6,0))),'Oxford Economics'!$A$7:$A$1000,$C18,'Oxford Economics'!$B$7:$B$1000,Settings!$B$12)-SUMIFS(INDEX('Oxford Economics'!$A$7:$AZ$1000,0,IFERROR(MATCH(T$5,'Oxford Economics'!$A$6:$AZ$6,0),MATCH(T$5&amp;"",'Oxford Economics'!$A$6:$AZ$6,0))),'Oxford Economics'!$A$7:$A$1000,$C18,'Oxford Economics'!$B$7:$B$1000,Settings!$B$14),SUMIFS(INDEX('Oxford Economics'!$A$7:$AZ$1000,0,IFERROR(MATCH(T$5,'Oxford Economics'!$A$6:$AZ$6,0),MATCH(T$5&amp;"",'Oxford Economics'!$A$6:$AZ$6,0))),'Oxford Economics'!$A$7:$A$1000,$C18,'Oxford Economics'!$B$7:$B$1000,Settings!$B$14)+SUMIFS(INDEX('Oxford Economics'!$A$7:$AZ$1000,0,IFERROR(MATCH(T$5,'Oxford Economics'!$A$6:$AZ$6,0),MATCH(T$5&amp;"",'Oxford Economics'!$A$6:$AZ$6,0))),'Oxford Economics'!$A$7:$A$1000,$C18,'Oxford Economics'!$B$7:$B$1000,Settings!$B$16)+IF(Settings!$B$18="",0,SUMIFS(INDEX('Oxford Economics'!$A$7:$AZ$1000,0,IFERROR(MATCH(T$5,'Oxford Economics'!$A$6:$AZ$6,0),MATCH(T$5&amp;"",'Oxford Economics'!$A$6:$AZ$6,0))),'Oxford Economics'!$A$7:$A$1000,$C18,'Oxford Economics'!$B$7:$B$1000,Settings!$B$18)))),""))</f>
        <v>1402.38</v>
      </c>
      <c r="U18" s="37" t="n">
        <f aca="false">IF($A18="","",IFERROR(1/(1/IF($B18="Residential",SUMIFS(INDEX('Oxford Economics'!$A$7:$AZ$1000,0,IFERROR(MATCH(U$5,'Oxford Economics'!$A$6:$AZ$6,0),MATCH(U$5&amp;"",'Oxford Economics'!$A$6:$AZ$6,0))),'Oxford Economics'!$A$7:$A$1000,$C18,'Oxford Economics'!$B$7:$B$1000,Settings!$B$12)-SUMIFS(INDEX('Oxford Economics'!$A$7:$AZ$1000,0,IFERROR(MATCH(U$5,'Oxford Economics'!$A$6:$AZ$6,0),MATCH(U$5&amp;"",'Oxford Economics'!$A$6:$AZ$6,0))),'Oxford Economics'!$A$7:$A$1000,$C18,'Oxford Economics'!$B$7:$B$1000,Settings!$B$14),SUMIFS(INDEX('Oxford Economics'!$A$7:$AZ$1000,0,IFERROR(MATCH(U$5,'Oxford Economics'!$A$6:$AZ$6,0),MATCH(U$5&amp;"",'Oxford Economics'!$A$6:$AZ$6,0))),'Oxford Economics'!$A$7:$A$1000,$C18,'Oxford Economics'!$B$7:$B$1000,Settings!$B$14)+SUMIFS(INDEX('Oxford Economics'!$A$7:$AZ$1000,0,IFERROR(MATCH(U$5,'Oxford Economics'!$A$6:$AZ$6,0),MATCH(U$5&amp;"",'Oxford Economics'!$A$6:$AZ$6,0))),'Oxford Economics'!$A$7:$A$1000,$C18,'Oxford Economics'!$B$7:$B$1000,Settings!$B$16)+IF(Settings!$B$18="",0,SUMIFS(INDEX('Oxford Economics'!$A$7:$AZ$1000,0,IFERROR(MATCH(U$5,'Oxford Economics'!$A$6:$AZ$6,0),MATCH(U$5&amp;"",'Oxford Economics'!$A$6:$AZ$6,0))),'Oxford Economics'!$A$7:$A$1000,$C18,'Oxford Economics'!$B$7:$B$1000,Settings!$B$18)))),""))</f>
        <v>1354.37</v>
      </c>
      <c r="V18" s="37" t="n">
        <f aca="false">IF($A18="","",IFERROR(1/(1/IF($B18="Residential",SUMIFS(INDEX('Oxford Economics'!$A$7:$AZ$1000,0,IFERROR(MATCH(V$5,'Oxford Economics'!$A$6:$AZ$6,0),MATCH(V$5&amp;"",'Oxford Economics'!$A$6:$AZ$6,0))),'Oxford Economics'!$A$7:$A$1000,$C18,'Oxford Economics'!$B$7:$B$1000,Settings!$B$12)-SUMIFS(INDEX('Oxford Economics'!$A$7:$AZ$1000,0,IFERROR(MATCH(V$5,'Oxford Economics'!$A$6:$AZ$6,0),MATCH(V$5&amp;"",'Oxford Economics'!$A$6:$AZ$6,0))),'Oxford Economics'!$A$7:$A$1000,$C18,'Oxford Economics'!$B$7:$B$1000,Settings!$B$14),SUMIFS(INDEX('Oxford Economics'!$A$7:$AZ$1000,0,IFERROR(MATCH(V$5,'Oxford Economics'!$A$6:$AZ$6,0),MATCH(V$5&amp;"",'Oxford Economics'!$A$6:$AZ$6,0))),'Oxford Economics'!$A$7:$A$1000,$C18,'Oxford Economics'!$B$7:$B$1000,Settings!$B$14)+SUMIFS(INDEX('Oxford Economics'!$A$7:$AZ$1000,0,IFERROR(MATCH(V$5,'Oxford Economics'!$A$6:$AZ$6,0),MATCH(V$5&amp;"",'Oxford Economics'!$A$6:$AZ$6,0))),'Oxford Economics'!$A$7:$A$1000,$C18,'Oxford Economics'!$B$7:$B$1000,Settings!$B$16)+IF(Settings!$B$18="",0,SUMIFS(INDEX('Oxford Economics'!$A$7:$AZ$1000,0,IFERROR(MATCH(V$5,'Oxford Economics'!$A$6:$AZ$6,0),MATCH(V$5&amp;"",'Oxford Economics'!$A$6:$AZ$6,0))),'Oxford Economics'!$A$7:$A$1000,$C18,'Oxford Economics'!$B$7:$B$1000,Settings!$B$18)))),""))</f>
        <v>1332.24</v>
      </c>
      <c r="W18" s="37" t="n">
        <f aca="false">IF($A18="","",IFERROR(1/(1/IF($B18="Residential",SUMIFS(INDEX('Oxford Economics'!$A$7:$AZ$1000,0,IFERROR(MATCH(W$5,'Oxford Economics'!$A$6:$AZ$6,0),MATCH(W$5&amp;"",'Oxford Economics'!$A$6:$AZ$6,0))),'Oxford Economics'!$A$7:$A$1000,$C18,'Oxford Economics'!$B$7:$B$1000,Settings!$B$12)-SUMIFS(INDEX('Oxford Economics'!$A$7:$AZ$1000,0,IFERROR(MATCH(W$5,'Oxford Economics'!$A$6:$AZ$6,0),MATCH(W$5&amp;"",'Oxford Economics'!$A$6:$AZ$6,0))),'Oxford Economics'!$A$7:$A$1000,$C18,'Oxford Economics'!$B$7:$B$1000,Settings!$B$14),SUMIFS(INDEX('Oxford Economics'!$A$7:$AZ$1000,0,IFERROR(MATCH(W$5,'Oxford Economics'!$A$6:$AZ$6,0),MATCH(W$5&amp;"",'Oxford Economics'!$A$6:$AZ$6,0))),'Oxford Economics'!$A$7:$A$1000,$C18,'Oxford Economics'!$B$7:$B$1000,Settings!$B$14)+SUMIFS(INDEX('Oxford Economics'!$A$7:$AZ$1000,0,IFERROR(MATCH(W$5,'Oxford Economics'!$A$6:$AZ$6,0),MATCH(W$5&amp;"",'Oxford Economics'!$A$6:$AZ$6,0))),'Oxford Economics'!$A$7:$A$1000,$C18,'Oxford Economics'!$B$7:$B$1000,Settings!$B$16)+IF(Settings!$B$18="",0,SUMIFS(INDEX('Oxford Economics'!$A$7:$AZ$1000,0,IFERROR(MATCH(W$5,'Oxford Economics'!$A$6:$AZ$6,0),MATCH(W$5&amp;"",'Oxford Economics'!$A$6:$AZ$6,0))),'Oxford Economics'!$A$7:$A$1000,$C18,'Oxford Economics'!$B$7:$B$1000,Settings!$B$18)))),""))</f>
        <v>1429.49</v>
      </c>
      <c r="X18" s="37" t="n">
        <f aca="false">IF($A18="","",IFERROR(1/(1/IF($B18="Residential",SUMIFS(INDEX('Oxford Economics'!$A$7:$AZ$1000,0,IFERROR(MATCH(X$5,'Oxford Economics'!$A$6:$AZ$6,0),MATCH(X$5&amp;"",'Oxford Economics'!$A$6:$AZ$6,0))),'Oxford Economics'!$A$7:$A$1000,$C18,'Oxford Economics'!$B$7:$B$1000,Settings!$B$12)-SUMIFS(INDEX('Oxford Economics'!$A$7:$AZ$1000,0,IFERROR(MATCH(X$5,'Oxford Economics'!$A$6:$AZ$6,0),MATCH(X$5&amp;"",'Oxford Economics'!$A$6:$AZ$6,0))),'Oxford Economics'!$A$7:$A$1000,$C18,'Oxford Economics'!$B$7:$B$1000,Settings!$B$14),SUMIFS(INDEX('Oxford Economics'!$A$7:$AZ$1000,0,IFERROR(MATCH(X$5,'Oxford Economics'!$A$6:$AZ$6,0),MATCH(X$5&amp;"",'Oxford Economics'!$A$6:$AZ$6,0))),'Oxford Economics'!$A$7:$A$1000,$C18,'Oxford Economics'!$B$7:$B$1000,Settings!$B$14)+SUMIFS(INDEX('Oxford Economics'!$A$7:$AZ$1000,0,IFERROR(MATCH(X$5,'Oxford Economics'!$A$6:$AZ$6,0),MATCH(X$5&amp;"",'Oxford Economics'!$A$6:$AZ$6,0))),'Oxford Economics'!$A$7:$A$1000,$C18,'Oxford Economics'!$B$7:$B$1000,Settings!$B$16)+IF(Settings!$B$18="",0,SUMIFS(INDEX('Oxford Economics'!$A$7:$AZ$1000,0,IFERROR(MATCH(X$5,'Oxford Economics'!$A$6:$AZ$6,0),MATCH(X$5&amp;"",'Oxford Economics'!$A$6:$AZ$6,0))),'Oxford Economics'!$A$7:$A$1000,$C18,'Oxford Economics'!$B$7:$B$1000,Settings!$B$18)))),""))</f>
        <v>1508.13</v>
      </c>
      <c r="Y18" s="37" t="n">
        <f aca="false">IF($A18="","",IFERROR(1/(1/IF($B18="Residential",SUMIFS(INDEX('Oxford Economics'!$A$7:$AZ$1000,0,IFERROR(MATCH(Y$5,'Oxford Economics'!$A$6:$AZ$6,0),MATCH(Y$5&amp;"",'Oxford Economics'!$A$6:$AZ$6,0))),'Oxford Economics'!$A$7:$A$1000,$C18,'Oxford Economics'!$B$7:$B$1000,Settings!$B$12)-SUMIFS(INDEX('Oxford Economics'!$A$7:$AZ$1000,0,IFERROR(MATCH(Y$5,'Oxford Economics'!$A$6:$AZ$6,0),MATCH(Y$5&amp;"",'Oxford Economics'!$A$6:$AZ$6,0))),'Oxford Economics'!$A$7:$A$1000,$C18,'Oxford Economics'!$B$7:$B$1000,Settings!$B$14),SUMIFS(INDEX('Oxford Economics'!$A$7:$AZ$1000,0,IFERROR(MATCH(Y$5,'Oxford Economics'!$A$6:$AZ$6,0),MATCH(Y$5&amp;"",'Oxford Economics'!$A$6:$AZ$6,0))),'Oxford Economics'!$A$7:$A$1000,$C18,'Oxford Economics'!$B$7:$B$1000,Settings!$B$14)+SUMIFS(INDEX('Oxford Economics'!$A$7:$AZ$1000,0,IFERROR(MATCH(Y$5,'Oxford Economics'!$A$6:$AZ$6,0),MATCH(Y$5&amp;"",'Oxford Economics'!$A$6:$AZ$6,0))),'Oxford Economics'!$A$7:$A$1000,$C18,'Oxford Economics'!$B$7:$B$1000,Settings!$B$16)+IF(Settings!$B$18="",0,SUMIFS(INDEX('Oxford Economics'!$A$7:$AZ$1000,0,IFERROR(MATCH(Y$5,'Oxford Economics'!$A$6:$AZ$6,0),MATCH(Y$5&amp;"",'Oxford Economics'!$A$6:$AZ$6,0))),'Oxford Economics'!$A$7:$A$1000,$C18,'Oxford Economics'!$B$7:$B$1000,Settings!$B$18)))),""))</f>
        <v>1547.79</v>
      </c>
      <c r="Z18" s="37" t="n">
        <f aca="false">IF($A18="","",IFERROR(1/(1/IF($B18="Residential",SUMIFS(INDEX('Oxford Economics'!$A$7:$AZ$1000,0,IFERROR(MATCH(Z$5,'Oxford Economics'!$A$6:$AZ$6,0),MATCH(Z$5&amp;"",'Oxford Economics'!$A$6:$AZ$6,0))),'Oxford Economics'!$A$7:$A$1000,$C18,'Oxford Economics'!$B$7:$B$1000,Settings!$B$12)-SUMIFS(INDEX('Oxford Economics'!$A$7:$AZ$1000,0,IFERROR(MATCH(Z$5,'Oxford Economics'!$A$6:$AZ$6,0),MATCH(Z$5&amp;"",'Oxford Economics'!$A$6:$AZ$6,0))),'Oxford Economics'!$A$7:$A$1000,$C18,'Oxford Economics'!$B$7:$B$1000,Settings!$B$14),SUMIFS(INDEX('Oxford Economics'!$A$7:$AZ$1000,0,IFERROR(MATCH(Z$5,'Oxford Economics'!$A$6:$AZ$6,0),MATCH(Z$5&amp;"",'Oxford Economics'!$A$6:$AZ$6,0))),'Oxford Economics'!$A$7:$A$1000,$C18,'Oxford Economics'!$B$7:$B$1000,Settings!$B$14)+SUMIFS(INDEX('Oxford Economics'!$A$7:$AZ$1000,0,IFERROR(MATCH(Z$5,'Oxford Economics'!$A$6:$AZ$6,0),MATCH(Z$5&amp;"",'Oxford Economics'!$A$6:$AZ$6,0))),'Oxford Economics'!$A$7:$A$1000,$C18,'Oxford Economics'!$B$7:$B$1000,Settings!$B$16)+IF(Settings!$B$18="",0,SUMIFS(INDEX('Oxford Economics'!$A$7:$AZ$1000,0,IFERROR(MATCH(Z$5,'Oxford Economics'!$A$6:$AZ$6,0),MATCH(Z$5&amp;"",'Oxford Economics'!$A$6:$AZ$6,0))),'Oxford Economics'!$A$7:$A$1000,$C18,'Oxford Economics'!$B$7:$B$1000,Settings!$B$18)))),""))</f>
        <v>1570.63</v>
      </c>
      <c r="AA18" s="37" t="n">
        <f aca="false">IF($A18="","",IFERROR(1/(1/IF($B18="Residential",SUMIFS(INDEX('Oxford Economics'!$A$7:$AZ$1000,0,IFERROR(MATCH(AA$5,'Oxford Economics'!$A$6:$AZ$6,0),MATCH(AA$5&amp;"",'Oxford Economics'!$A$6:$AZ$6,0))),'Oxford Economics'!$A$7:$A$1000,$C18,'Oxford Economics'!$B$7:$B$1000,Settings!$B$12)-SUMIFS(INDEX('Oxford Economics'!$A$7:$AZ$1000,0,IFERROR(MATCH(AA$5,'Oxford Economics'!$A$6:$AZ$6,0),MATCH(AA$5&amp;"",'Oxford Economics'!$A$6:$AZ$6,0))),'Oxford Economics'!$A$7:$A$1000,$C18,'Oxford Economics'!$B$7:$B$1000,Settings!$B$14),SUMIFS(INDEX('Oxford Economics'!$A$7:$AZ$1000,0,IFERROR(MATCH(AA$5,'Oxford Economics'!$A$6:$AZ$6,0),MATCH(AA$5&amp;"",'Oxford Economics'!$A$6:$AZ$6,0))),'Oxford Economics'!$A$7:$A$1000,$C18,'Oxford Economics'!$B$7:$B$1000,Settings!$B$14)+SUMIFS(INDEX('Oxford Economics'!$A$7:$AZ$1000,0,IFERROR(MATCH(AA$5,'Oxford Economics'!$A$6:$AZ$6,0),MATCH(AA$5&amp;"",'Oxford Economics'!$A$6:$AZ$6,0))),'Oxford Economics'!$A$7:$A$1000,$C18,'Oxford Economics'!$B$7:$B$1000,Settings!$B$16)+IF(Settings!$B$18="",0,SUMIFS(INDEX('Oxford Economics'!$A$7:$AZ$1000,0,IFERROR(MATCH(AA$5,'Oxford Economics'!$A$6:$AZ$6,0),MATCH(AA$5&amp;"",'Oxford Economics'!$A$6:$AZ$6,0))),'Oxford Economics'!$A$7:$A$1000,$C18,'Oxford Economics'!$B$7:$B$1000,Settings!$B$18)))),""))</f>
        <v>1604.81</v>
      </c>
      <c r="AB18" s="37" t="n">
        <f aca="false">IF($A18="","",IFERROR(1/(1/IF($B18="Residential",SUMIFS(INDEX('Oxford Economics'!$A$7:$AZ$1000,0,IFERROR(MATCH(AB$5,'Oxford Economics'!$A$6:$AZ$6,0),MATCH(AB$5&amp;"",'Oxford Economics'!$A$6:$AZ$6,0))),'Oxford Economics'!$A$7:$A$1000,$C18,'Oxford Economics'!$B$7:$B$1000,Settings!$B$11)-SUMIFS(INDEX('Oxford Economics'!$A$7:$AZ$1000,0,IFERROR(MATCH(AB$5,'Oxford Economics'!$A$6:$AZ$6,0),MATCH(AB$5&amp;"",'Oxford Economics'!$A$6:$AZ$6,0))),'Oxford Economics'!$A$7:$A$1000,$C18,'Oxford Economics'!$B$7:$B$1000,Settings!$B$13),SUMIFS(INDEX('Oxford Economics'!$A$7:$AZ$1000,0,IFERROR(MATCH(AB$5,'Oxford Economics'!$A$6:$AZ$6,0),MATCH(AB$5&amp;"",'Oxford Economics'!$A$6:$AZ$6,0))),'Oxford Economics'!$A$7:$A$1000,$C18,'Oxford Economics'!$B$7:$B$1000,Settings!$B$13)+SUMIFS(INDEX('Oxford Economics'!$A$7:$AZ$1000,0,IFERROR(MATCH(AB$5,'Oxford Economics'!$A$6:$AZ$6,0),MATCH(AB$5&amp;"",'Oxford Economics'!$A$6:$AZ$6,0))),'Oxford Economics'!$A$7:$A$1000,$C18,'Oxford Economics'!$B$7:$B$1000,Settings!$B$15)+IF(Settings!$B$17="",0,SUMIFS(INDEX('Oxford Economics'!$A$7:$AZ$1000,0,IFERROR(MATCH(AB$5,'Oxford Economics'!$A$6:$AZ$6,0),MATCH(AB$5&amp;"",'Oxford Economics'!$A$6:$AZ$6,0))),'Oxford Economics'!$A$7:$A$1000,$C18,'Oxford Economics'!$B$7:$B$1000,Settings!$B$17)))),""))</f>
        <v>673.72</v>
      </c>
      <c r="AC18" s="37" t="n">
        <f aca="false">IF($A18="","",IFERROR(1/(1/IF($B18="Residential",SUMIFS(INDEX('Oxford Economics'!$A$7:$AZ$1000,0,IFERROR(MATCH(AC$5,'Oxford Economics'!$A$6:$AZ$6,0),MATCH(AC$5&amp;"",'Oxford Economics'!$A$6:$AZ$6,0))),'Oxford Economics'!$A$7:$A$1000,$C18,'Oxford Economics'!$B$7:$B$1000,Settings!$B$11)-SUMIFS(INDEX('Oxford Economics'!$A$7:$AZ$1000,0,IFERROR(MATCH(AC$5,'Oxford Economics'!$A$6:$AZ$6,0),MATCH(AC$5&amp;"",'Oxford Economics'!$A$6:$AZ$6,0))),'Oxford Economics'!$A$7:$A$1000,$C18,'Oxford Economics'!$B$7:$B$1000,Settings!$B$13),SUMIFS(INDEX('Oxford Economics'!$A$7:$AZ$1000,0,IFERROR(MATCH(AC$5,'Oxford Economics'!$A$6:$AZ$6,0),MATCH(AC$5&amp;"",'Oxford Economics'!$A$6:$AZ$6,0))),'Oxford Economics'!$A$7:$A$1000,$C18,'Oxford Economics'!$B$7:$B$1000,Settings!$B$13)+SUMIFS(INDEX('Oxford Economics'!$A$7:$AZ$1000,0,IFERROR(MATCH(AC$5,'Oxford Economics'!$A$6:$AZ$6,0),MATCH(AC$5&amp;"",'Oxford Economics'!$A$6:$AZ$6,0))),'Oxford Economics'!$A$7:$A$1000,$C18,'Oxford Economics'!$B$7:$B$1000,Settings!$B$15)+IF(Settings!$B$17="",0,SUMIFS(INDEX('Oxford Economics'!$A$7:$AZ$1000,0,IFERROR(MATCH(AC$5,'Oxford Economics'!$A$6:$AZ$6,0),MATCH(AC$5&amp;"",'Oxford Economics'!$A$6:$AZ$6,0))),'Oxford Economics'!$A$7:$A$1000,$C18,'Oxford Economics'!$B$7:$B$1000,Settings!$B$17)))),""))</f>
        <v>813.01</v>
      </c>
      <c r="AD18" s="37" t="n">
        <f aca="false">IF($A18="","",IFERROR(1/(1/IF($B18="Residential",SUMIFS(INDEX('Oxford Economics'!$A$7:$AZ$1000,0,IFERROR(MATCH(AD$5,'Oxford Economics'!$A$6:$AZ$6,0),MATCH(AD$5&amp;"",'Oxford Economics'!$A$6:$AZ$6,0))),'Oxford Economics'!$A$7:$A$1000,$C18,'Oxford Economics'!$B$7:$B$1000,Settings!$B$11)-SUMIFS(INDEX('Oxford Economics'!$A$7:$AZ$1000,0,IFERROR(MATCH(AD$5,'Oxford Economics'!$A$6:$AZ$6,0),MATCH(AD$5&amp;"",'Oxford Economics'!$A$6:$AZ$6,0))),'Oxford Economics'!$A$7:$A$1000,$C18,'Oxford Economics'!$B$7:$B$1000,Settings!$B$13),SUMIFS(INDEX('Oxford Economics'!$A$7:$AZ$1000,0,IFERROR(MATCH(AD$5,'Oxford Economics'!$A$6:$AZ$6,0),MATCH(AD$5&amp;"",'Oxford Economics'!$A$6:$AZ$6,0))),'Oxford Economics'!$A$7:$A$1000,$C18,'Oxford Economics'!$B$7:$B$1000,Settings!$B$13)+SUMIFS(INDEX('Oxford Economics'!$A$7:$AZ$1000,0,IFERROR(MATCH(AD$5,'Oxford Economics'!$A$6:$AZ$6,0),MATCH(AD$5&amp;"",'Oxford Economics'!$A$6:$AZ$6,0))),'Oxford Economics'!$A$7:$A$1000,$C18,'Oxford Economics'!$B$7:$B$1000,Settings!$B$15)+IF(Settings!$B$17="",0,SUMIFS(INDEX('Oxford Economics'!$A$7:$AZ$1000,0,IFERROR(MATCH(AD$5,'Oxford Economics'!$A$6:$AZ$6,0),MATCH(AD$5&amp;"",'Oxford Economics'!$A$6:$AZ$6,0))),'Oxford Economics'!$A$7:$A$1000,$C18,'Oxford Economics'!$B$7:$B$1000,Settings!$B$17)))),""))</f>
        <v>799.38</v>
      </c>
      <c r="AE18" s="37" t="n">
        <f aca="false">IF($A18="","",IFERROR(1/(1/IF($B18="Residential",SUMIFS(INDEX('Oxford Economics'!$A$7:$AZ$1000,0,IFERROR(MATCH(AE$5,'Oxford Economics'!$A$6:$AZ$6,0),MATCH(AE$5&amp;"",'Oxford Economics'!$A$6:$AZ$6,0))),'Oxford Economics'!$A$7:$A$1000,$C18,'Oxford Economics'!$B$7:$B$1000,Settings!$B$11)-SUMIFS(INDEX('Oxford Economics'!$A$7:$AZ$1000,0,IFERROR(MATCH(AE$5,'Oxford Economics'!$A$6:$AZ$6,0),MATCH(AE$5&amp;"",'Oxford Economics'!$A$6:$AZ$6,0))),'Oxford Economics'!$A$7:$A$1000,$C18,'Oxford Economics'!$B$7:$B$1000,Settings!$B$13),SUMIFS(INDEX('Oxford Economics'!$A$7:$AZ$1000,0,IFERROR(MATCH(AE$5,'Oxford Economics'!$A$6:$AZ$6,0),MATCH(AE$5&amp;"",'Oxford Economics'!$A$6:$AZ$6,0))),'Oxford Economics'!$A$7:$A$1000,$C18,'Oxford Economics'!$B$7:$B$1000,Settings!$B$13)+SUMIFS(INDEX('Oxford Economics'!$A$7:$AZ$1000,0,IFERROR(MATCH(AE$5,'Oxford Economics'!$A$6:$AZ$6,0),MATCH(AE$5&amp;"",'Oxford Economics'!$A$6:$AZ$6,0))),'Oxford Economics'!$A$7:$A$1000,$C18,'Oxford Economics'!$B$7:$B$1000,Settings!$B$15)+IF(Settings!$B$17="",0,SUMIFS(INDEX('Oxford Economics'!$A$7:$AZ$1000,0,IFERROR(MATCH(AE$5,'Oxford Economics'!$A$6:$AZ$6,0),MATCH(AE$5&amp;"",'Oxford Economics'!$A$6:$AZ$6,0))),'Oxford Economics'!$A$7:$A$1000,$C18,'Oxford Economics'!$B$7:$B$1000,Settings!$B$17)))),""))</f>
        <v>466.91</v>
      </c>
      <c r="AF18" s="37" t="n">
        <f aca="false">IF($A18="","",IFERROR(1/(1/IF($B18="Residential",SUMIFS(INDEX('Oxford Economics'!$A$7:$AZ$1000,0,IFERROR(MATCH(AF$5,'Oxford Economics'!$A$6:$AZ$6,0),MATCH(AF$5&amp;"",'Oxford Economics'!$A$6:$AZ$6,0))),'Oxford Economics'!$A$7:$A$1000,$C18,'Oxford Economics'!$B$7:$B$1000,Settings!$B$11)-SUMIFS(INDEX('Oxford Economics'!$A$7:$AZ$1000,0,IFERROR(MATCH(AF$5,'Oxford Economics'!$A$6:$AZ$6,0),MATCH(AF$5&amp;"",'Oxford Economics'!$A$6:$AZ$6,0))),'Oxford Economics'!$A$7:$A$1000,$C18,'Oxford Economics'!$B$7:$B$1000,Settings!$B$13),SUMIFS(INDEX('Oxford Economics'!$A$7:$AZ$1000,0,IFERROR(MATCH(AF$5,'Oxford Economics'!$A$6:$AZ$6,0),MATCH(AF$5&amp;"",'Oxford Economics'!$A$6:$AZ$6,0))),'Oxford Economics'!$A$7:$A$1000,$C18,'Oxford Economics'!$B$7:$B$1000,Settings!$B$13)+SUMIFS(INDEX('Oxford Economics'!$A$7:$AZ$1000,0,IFERROR(MATCH(AF$5,'Oxford Economics'!$A$6:$AZ$6,0),MATCH(AF$5&amp;"",'Oxford Economics'!$A$6:$AZ$6,0))),'Oxford Economics'!$A$7:$A$1000,$C18,'Oxford Economics'!$B$7:$B$1000,Settings!$B$15)+IF(Settings!$B$17="",0,SUMIFS(INDEX('Oxford Economics'!$A$7:$AZ$1000,0,IFERROR(MATCH(AF$5,'Oxford Economics'!$A$6:$AZ$6,0),MATCH(AF$5&amp;"",'Oxford Economics'!$A$6:$AZ$6,0))),'Oxford Economics'!$A$7:$A$1000,$C18,'Oxford Economics'!$B$7:$B$1000,Settings!$B$17)))),""))</f>
        <v>345.83</v>
      </c>
      <c r="AG18" s="37" t="n">
        <f aca="false">IF($A18="","",IFERROR(1/(1/IF($B18="Residential",SUMIFS(INDEX('Oxford Economics'!$A$7:$AZ$1000,0,IFERROR(MATCH(AG$5,'Oxford Economics'!$A$6:$AZ$6,0),MATCH(AG$5&amp;"",'Oxford Economics'!$A$6:$AZ$6,0))),'Oxford Economics'!$A$7:$A$1000,$C18,'Oxford Economics'!$B$7:$B$1000,Settings!$B$11)-SUMIFS(INDEX('Oxford Economics'!$A$7:$AZ$1000,0,IFERROR(MATCH(AG$5,'Oxford Economics'!$A$6:$AZ$6,0),MATCH(AG$5&amp;"",'Oxford Economics'!$A$6:$AZ$6,0))),'Oxford Economics'!$A$7:$A$1000,$C18,'Oxford Economics'!$B$7:$B$1000,Settings!$B$13),SUMIFS(INDEX('Oxford Economics'!$A$7:$AZ$1000,0,IFERROR(MATCH(AG$5,'Oxford Economics'!$A$6:$AZ$6,0),MATCH(AG$5&amp;"",'Oxford Economics'!$A$6:$AZ$6,0))),'Oxford Economics'!$A$7:$A$1000,$C18,'Oxford Economics'!$B$7:$B$1000,Settings!$B$13)+SUMIFS(INDEX('Oxford Economics'!$A$7:$AZ$1000,0,IFERROR(MATCH(AG$5,'Oxford Economics'!$A$6:$AZ$6,0),MATCH(AG$5&amp;"",'Oxford Economics'!$A$6:$AZ$6,0))),'Oxford Economics'!$A$7:$A$1000,$C18,'Oxford Economics'!$B$7:$B$1000,Settings!$B$15)+IF(Settings!$B$17="",0,SUMIFS(INDEX('Oxford Economics'!$A$7:$AZ$1000,0,IFERROR(MATCH(AG$5,'Oxford Economics'!$A$6:$AZ$6,0),MATCH(AG$5&amp;"",'Oxford Economics'!$A$6:$AZ$6,0))),'Oxford Economics'!$A$7:$A$1000,$C18,'Oxford Economics'!$B$7:$B$1000,Settings!$B$17)))),""))</f>
        <v>338.11</v>
      </c>
      <c r="AH18" s="37" t="n">
        <f aca="false">IF($A18="","",IFERROR(1/(1/IF($B18="Residential",SUMIFS(INDEX('Oxford Economics'!$A$7:$AZ$1000,0,IFERROR(MATCH(AH$5,'Oxford Economics'!$A$6:$AZ$6,0),MATCH(AH$5&amp;"",'Oxford Economics'!$A$6:$AZ$6,0))),'Oxford Economics'!$A$7:$A$1000,$C18,'Oxford Economics'!$B$7:$B$1000,Settings!$B$11)-SUMIFS(INDEX('Oxford Economics'!$A$7:$AZ$1000,0,IFERROR(MATCH(AH$5,'Oxford Economics'!$A$6:$AZ$6,0),MATCH(AH$5&amp;"",'Oxford Economics'!$A$6:$AZ$6,0))),'Oxford Economics'!$A$7:$A$1000,$C18,'Oxford Economics'!$B$7:$B$1000,Settings!$B$13),SUMIFS(INDEX('Oxford Economics'!$A$7:$AZ$1000,0,IFERROR(MATCH(AH$5,'Oxford Economics'!$A$6:$AZ$6,0),MATCH(AH$5&amp;"",'Oxford Economics'!$A$6:$AZ$6,0))),'Oxford Economics'!$A$7:$A$1000,$C18,'Oxford Economics'!$B$7:$B$1000,Settings!$B$13)+SUMIFS(INDEX('Oxford Economics'!$A$7:$AZ$1000,0,IFERROR(MATCH(AH$5,'Oxford Economics'!$A$6:$AZ$6,0),MATCH(AH$5&amp;"",'Oxford Economics'!$A$6:$AZ$6,0))),'Oxford Economics'!$A$7:$A$1000,$C18,'Oxford Economics'!$B$7:$B$1000,Settings!$B$15)+IF(Settings!$B$17="",0,SUMIFS(INDEX('Oxford Economics'!$A$7:$AZ$1000,0,IFERROR(MATCH(AH$5,'Oxford Economics'!$A$6:$AZ$6,0),MATCH(AH$5&amp;"",'Oxford Economics'!$A$6:$AZ$6,0))),'Oxford Economics'!$A$7:$A$1000,$C18,'Oxford Economics'!$B$7:$B$1000,Settings!$B$17)))),""))</f>
        <v>309.96</v>
      </c>
      <c r="AI18" s="37" t="n">
        <f aca="false">IF($A18="","",IFERROR(1/(1/IF($B18="Residential",SUMIFS(INDEX('Oxford Economics'!$A$7:$AZ$1000,0,IFERROR(MATCH(AI$5,'Oxford Economics'!$A$6:$AZ$6,0),MATCH(AI$5&amp;"",'Oxford Economics'!$A$6:$AZ$6,0))),'Oxford Economics'!$A$7:$A$1000,$C18,'Oxford Economics'!$B$7:$B$1000,Settings!$B$11)-SUMIFS(INDEX('Oxford Economics'!$A$7:$AZ$1000,0,IFERROR(MATCH(AI$5,'Oxford Economics'!$A$6:$AZ$6,0),MATCH(AI$5&amp;"",'Oxford Economics'!$A$6:$AZ$6,0))),'Oxford Economics'!$A$7:$A$1000,$C18,'Oxford Economics'!$B$7:$B$1000,Settings!$B$13),SUMIFS(INDEX('Oxford Economics'!$A$7:$AZ$1000,0,IFERROR(MATCH(AI$5,'Oxford Economics'!$A$6:$AZ$6,0),MATCH(AI$5&amp;"",'Oxford Economics'!$A$6:$AZ$6,0))),'Oxford Economics'!$A$7:$A$1000,$C18,'Oxford Economics'!$B$7:$B$1000,Settings!$B$13)+SUMIFS(INDEX('Oxford Economics'!$A$7:$AZ$1000,0,IFERROR(MATCH(AI$5,'Oxford Economics'!$A$6:$AZ$6,0),MATCH(AI$5&amp;"",'Oxford Economics'!$A$6:$AZ$6,0))),'Oxford Economics'!$A$7:$A$1000,$C18,'Oxford Economics'!$B$7:$B$1000,Settings!$B$15)+IF(Settings!$B$17="",0,SUMIFS(INDEX('Oxford Economics'!$A$7:$AZ$1000,0,IFERROR(MATCH(AI$5,'Oxford Economics'!$A$6:$AZ$6,0),MATCH(AI$5&amp;"",'Oxford Economics'!$A$6:$AZ$6,0))),'Oxford Economics'!$A$7:$A$1000,$C18,'Oxford Economics'!$B$7:$B$1000,Settings!$B$17)))),""))</f>
        <v>305.72</v>
      </c>
      <c r="AJ18" s="37" t="n">
        <f aca="false">IF($A18="","",IFERROR(1/(1/IF($B18="Residential",SUMIFS(INDEX('Oxford Economics'!$A$7:$AZ$1000,0,IFERROR(MATCH(AJ$5,'Oxford Economics'!$A$6:$AZ$6,0),MATCH(AJ$5&amp;"",'Oxford Economics'!$A$6:$AZ$6,0))),'Oxford Economics'!$A$7:$A$1000,$C18,'Oxford Economics'!$B$7:$B$1000,Settings!$B$11)-SUMIFS(INDEX('Oxford Economics'!$A$7:$AZ$1000,0,IFERROR(MATCH(AJ$5,'Oxford Economics'!$A$6:$AZ$6,0),MATCH(AJ$5&amp;"",'Oxford Economics'!$A$6:$AZ$6,0))),'Oxford Economics'!$A$7:$A$1000,$C18,'Oxford Economics'!$B$7:$B$1000,Settings!$B$13),SUMIFS(INDEX('Oxford Economics'!$A$7:$AZ$1000,0,IFERROR(MATCH(AJ$5,'Oxford Economics'!$A$6:$AZ$6,0),MATCH(AJ$5&amp;"",'Oxford Economics'!$A$6:$AZ$6,0))),'Oxford Economics'!$A$7:$A$1000,$C18,'Oxford Economics'!$B$7:$B$1000,Settings!$B$13)+SUMIFS(INDEX('Oxford Economics'!$A$7:$AZ$1000,0,IFERROR(MATCH(AJ$5,'Oxford Economics'!$A$6:$AZ$6,0),MATCH(AJ$5&amp;"",'Oxford Economics'!$A$6:$AZ$6,0))),'Oxford Economics'!$A$7:$A$1000,$C18,'Oxford Economics'!$B$7:$B$1000,Settings!$B$15)+IF(Settings!$B$17="",0,SUMIFS(INDEX('Oxford Economics'!$A$7:$AZ$1000,0,IFERROR(MATCH(AJ$5,'Oxford Economics'!$A$6:$AZ$6,0),MATCH(AJ$5&amp;"",'Oxford Economics'!$A$6:$AZ$6,0))),'Oxford Economics'!$A$7:$A$1000,$C18,'Oxford Economics'!$B$7:$B$1000,Settings!$B$17)))),""))</f>
        <v>326.98</v>
      </c>
      <c r="AK18" s="37" t="n">
        <f aca="false">IF($A18="","",IFERROR(1/(1/IF($B18="Residential",SUMIFS(INDEX('Oxford Economics'!$A$7:$AZ$1000,0,IFERROR(MATCH(AK$5,'Oxford Economics'!$A$6:$AZ$6,0),MATCH(AK$5&amp;"",'Oxford Economics'!$A$6:$AZ$6,0))),'Oxford Economics'!$A$7:$A$1000,$C18,'Oxford Economics'!$B$7:$B$1000,Settings!$B$11)-SUMIFS(INDEX('Oxford Economics'!$A$7:$AZ$1000,0,IFERROR(MATCH(AK$5,'Oxford Economics'!$A$6:$AZ$6,0),MATCH(AK$5&amp;"",'Oxford Economics'!$A$6:$AZ$6,0))),'Oxford Economics'!$A$7:$A$1000,$C18,'Oxford Economics'!$B$7:$B$1000,Settings!$B$13),SUMIFS(INDEX('Oxford Economics'!$A$7:$AZ$1000,0,IFERROR(MATCH(AK$5,'Oxford Economics'!$A$6:$AZ$6,0),MATCH(AK$5&amp;"",'Oxford Economics'!$A$6:$AZ$6,0))),'Oxford Economics'!$A$7:$A$1000,$C18,'Oxford Economics'!$B$7:$B$1000,Settings!$B$13)+SUMIFS(INDEX('Oxford Economics'!$A$7:$AZ$1000,0,IFERROR(MATCH(AK$5,'Oxford Economics'!$A$6:$AZ$6,0),MATCH(AK$5&amp;"",'Oxford Economics'!$A$6:$AZ$6,0))),'Oxford Economics'!$A$7:$A$1000,$C18,'Oxford Economics'!$B$7:$B$1000,Settings!$B$15)+IF(Settings!$B$17="",0,SUMIFS(INDEX('Oxford Economics'!$A$7:$AZ$1000,0,IFERROR(MATCH(AK$5,'Oxford Economics'!$A$6:$AZ$6,0),MATCH(AK$5&amp;"",'Oxford Economics'!$A$6:$AZ$6,0))),'Oxford Economics'!$A$7:$A$1000,$C18,'Oxford Economics'!$B$7:$B$1000,Settings!$B$17)))),""))</f>
        <v>348.79</v>
      </c>
      <c r="AL18" s="37" t="n">
        <f aca="false">IF($A18="","",IFERROR(1/(1/IF($B18="Residential",SUMIFS(INDEX('Oxford Economics'!$A$7:$AZ$1000,0,IFERROR(MATCH(AL$5,'Oxford Economics'!$A$6:$AZ$6,0),MATCH(AL$5&amp;"",'Oxford Economics'!$A$6:$AZ$6,0))),'Oxford Economics'!$A$7:$A$1000,$C18,'Oxford Economics'!$B$7:$B$1000,Settings!$B$11)-SUMIFS(INDEX('Oxford Economics'!$A$7:$AZ$1000,0,IFERROR(MATCH(AL$5,'Oxford Economics'!$A$6:$AZ$6,0),MATCH(AL$5&amp;"",'Oxford Economics'!$A$6:$AZ$6,0))),'Oxford Economics'!$A$7:$A$1000,$C18,'Oxford Economics'!$B$7:$B$1000,Settings!$B$13),SUMIFS(INDEX('Oxford Economics'!$A$7:$AZ$1000,0,IFERROR(MATCH(AL$5,'Oxford Economics'!$A$6:$AZ$6,0),MATCH(AL$5&amp;"",'Oxford Economics'!$A$6:$AZ$6,0))),'Oxford Economics'!$A$7:$A$1000,$C18,'Oxford Economics'!$B$7:$B$1000,Settings!$B$13)+SUMIFS(INDEX('Oxford Economics'!$A$7:$AZ$1000,0,IFERROR(MATCH(AL$5,'Oxford Economics'!$A$6:$AZ$6,0),MATCH(AL$5&amp;"",'Oxford Economics'!$A$6:$AZ$6,0))),'Oxford Economics'!$A$7:$A$1000,$C18,'Oxford Economics'!$B$7:$B$1000,Settings!$B$15)+IF(Settings!$B$17="",0,SUMIFS(INDEX('Oxford Economics'!$A$7:$AZ$1000,0,IFERROR(MATCH(AL$5,'Oxford Economics'!$A$6:$AZ$6,0),MATCH(AL$5&amp;"",'Oxford Economics'!$A$6:$AZ$6,0))),'Oxford Economics'!$A$7:$A$1000,$C18,'Oxford Economics'!$B$7:$B$1000,Settings!$B$17)))),""))</f>
        <v>376.03</v>
      </c>
      <c r="AM18" s="37" t="n">
        <f aca="false">IF($A18="","",IFERROR(1/(1/IF($B18="Residential",SUMIFS(INDEX('Oxford Economics'!$A$7:$AZ$1000,0,IFERROR(MATCH(AM$5,'Oxford Economics'!$A$6:$AZ$6,0),MATCH(AM$5&amp;"",'Oxford Economics'!$A$6:$AZ$6,0))),'Oxford Economics'!$A$7:$A$1000,$C18,'Oxford Economics'!$B$7:$B$1000,Settings!$B$11)-SUMIFS(INDEX('Oxford Economics'!$A$7:$AZ$1000,0,IFERROR(MATCH(AM$5,'Oxford Economics'!$A$6:$AZ$6,0),MATCH(AM$5&amp;"",'Oxford Economics'!$A$6:$AZ$6,0))),'Oxford Economics'!$A$7:$A$1000,$C18,'Oxford Economics'!$B$7:$B$1000,Settings!$B$13),SUMIFS(INDEX('Oxford Economics'!$A$7:$AZ$1000,0,IFERROR(MATCH(AM$5,'Oxford Economics'!$A$6:$AZ$6,0),MATCH(AM$5&amp;"",'Oxford Economics'!$A$6:$AZ$6,0))),'Oxford Economics'!$A$7:$A$1000,$C18,'Oxford Economics'!$B$7:$B$1000,Settings!$B$13)+SUMIFS(INDEX('Oxford Economics'!$A$7:$AZ$1000,0,IFERROR(MATCH(AM$5,'Oxford Economics'!$A$6:$AZ$6,0),MATCH(AM$5&amp;"",'Oxford Economics'!$A$6:$AZ$6,0))),'Oxford Economics'!$A$7:$A$1000,$C18,'Oxford Economics'!$B$7:$B$1000,Settings!$B$15)+IF(Settings!$B$17="",0,SUMIFS(INDEX('Oxford Economics'!$A$7:$AZ$1000,0,IFERROR(MATCH(AM$5,'Oxford Economics'!$A$6:$AZ$6,0),MATCH(AM$5&amp;"",'Oxford Economics'!$A$6:$AZ$6,0))),'Oxford Economics'!$A$7:$A$1000,$C18,'Oxford Economics'!$B$7:$B$1000,Settings!$B$17)))),""))</f>
        <v>403.32</v>
      </c>
    </row>
    <row r="19" customFormat="false" ht="15" hidden="false" customHeight="false" outlineLevel="0" collapsed="false">
      <c r="A19" s="36" t="str">
        <f aca="false">IF('Raw data'!$A19="","",'Raw data'!$A19)</f>
        <v>Finland</v>
      </c>
      <c r="B19" s="36" t="str">
        <f aca="false">IF($A19="","",'Raw data'!$C19)</f>
        <v>Commercial</v>
      </c>
      <c r="C19" s="36" t="str">
        <f aca="false">IF($A19="","",IF('Raw data'!$D19="",$A19,'Raw data'!$D19))</f>
        <v>Finland</v>
      </c>
      <c r="D19" s="37" t="n">
        <f aca="false">IF($A19="","",IF(AND(ISNUMBER(P19),ISNUMBER(AB19)),P19+AB19,""))</f>
        <v>6490.63</v>
      </c>
      <c r="E19" s="37" t="n">
        <f aca="false">IF($A19="","",IF(AND(ISNUMBER(Q19),ISNUMBER(AC19)),Q19+AC19,""))</f>
        <v>6679.43</v>
      </c>
      <c r="F19" s="37" t="n">
        <f aca="false">IF($A19="","",IF(AND(ISNUMBER(R19),ISNUMBER(AD19)),R19+AD19,""))</f>
        <v>6635.91</v>
      </c>
      <c r="G19" s="37" t="n">
        <f aca="false">IF($A19="","",IF(AND(ISNUMBER(S19),ISNUMBER(AE19)),S19+AE19,""))</f>
        <v>5645.57</v>
      </c>
      <c r="H19" s="37" t="n">
        <f aca="false">IF($A19="","",IF(AND(ISNUMBER(T19),ISNUMBER(AF19)),T19+AF19,""))</f>
        <v>4821.81</v>
      </c>
      <c r="I19" s="37" t="n">
        <f aca="false">IF($A19="","",IF(AND(ISNUMBER(U19),ISNUMBER(AG19)),U19+AG19,""))</f>
        <v>4695.02</v>
      </c>
      <c r="J19" s="37" t="n">
        <f aca="false">IF($A19="","",IF(AND(ISNUMBER(V19),ISNUMBER(AH19)),V19+AH19,""))</f>
        <v>4654.98</v>
      </c>
      <c r="K19" s="37" t="n">
        <f aca="false">IF($A19="","",IF(AND(ISNUMBER(W19),ISNUMBER(AI19)),W19+AI19,""))</f>
        <v>4861.81</v>
      </c>
      <c r="L19" s="37" t="n">
        <f aca="false">IF($A19="","",IF(AND(ISNUMBER(X19),ISNUMBER(AJ19)),X19+AJ19,""))</f>
        <v>5071.37</v>
      </c>
      <c r="M19" s="37" t="n">
        <f aca="false">IF($A19="","",IF(AND(ISNUMBER(Y19),ISNUMBER(AK19)),Y19+AK19,""))</f>
        <v>5215.28</v>
      </c>
      <c r="N19" s="37" t="n">
        <f aca="false">IF($A19="","",IF(AND(ISNUMBER(Z19),ISNUMBER(AL19)),Z19+AL19,""))</f>
        <v>5342.87</v>
      </c>
      <c r="O19" s="37" t="n">
        <f aca="false">IF($A19="","",IF(AND(ISNUMBER(AA19),ISNUMBER(AM19)),AA19+AM19,""))</f>
        <v>5476.87</v>
      </c>
      <c r="P19" s="37" t="n">
        <f aca="false">IF($A19="","",IFERROR(1/(1/IF($B19="Residential",SUMIFS(INDEX('Oxford Economics'!$A$7:$AZ$1000,0,IFERROR(MATCH(P$5,'Oxford Economics'!$A$6:$AZ$6,0),MATCH(P$5&amp;"",'Oxford Economics'!$A$6:$AZ$6,0))),'Oxford Economics'!$A$7:$A$1000,$C19,'Oxford Economics'!$B$7:$B$1000,Settings!$B$12)-SUMIFS(INDEX('Oxford Economics'!$A$7:$AZ$1000,0,IFERROR(MATCH(P$5,'Oxford Economics'!$A$6:$AZ$6,0),MATCH(P$5&amp;"",'Oxford Economics'!$A$6:$AZ$6,0))),'Oxford Economics'!$A$7:$A$1000,$C19,'Oxford Economics'!$B$7:$B$1000,Settings!$B$14),SUMIFS(INDEX('Oxford Economics'!$A$7:$AZ$1000,0,IFERROR(MATCH(P$5,'Oxford Economics'!$A$6:$AZ$6,0),MATCH(P$5&amp;"",'Oxford Economics'!$A$6:$AZ$6,0))),'Oxford Economics'!$A$7:$A$1000,$C19,'Oxford Economics'!$B$7:$B$1000,Settings!$B$14)+SUMIFS(INDEX('Oxford Economics'!$A$7:$AZ$1000,0,IFERROR(MATCH(P$5,'Oxford Economics'!$A$6:$AZ$6,0),MATCH(P$5&amp;"",'Oxford Economics'!$A$6:$AZ$6,0))),'Oxford Economics'!$A$7:$A$1000,$C19,'Oxford Economics'!$B$7:$B$1000,Settings!$B$16)+IF(Settings!$B$18="",0,SUMIFS(INDEX('Oxford Economics'!$A$7:$AZ$1000,0,IFERROR(MATCH(P$5,'Oxford Economics'!$A$6:$AZ$6,0),MATCH(P$5&amp;"",'Oxford Economics'!$A$6:$AZ$6,0))),'Oxford Economics'!$A$7:$A$1000,$C19,'Oxford Economics'!$B$7:$B$1000,Settings!$B$18)))),""))</f>
        <v>3240.38</v>
      </c>
      <c r="Q19" s="37" t="n">
        <f aca="false">IF($A19="","",IFERROR(1/(1/IF($B19="Residential",SUMIFS(INDEX('Oxford Economics'!$A$7:$AZ$1000,0,IFERROR(MATCH(Q$5,'Oxford Economics'!$A$6:$AZ$6,0),MATCH(Q$5&amp;"",'Oxford Economics'!$A$6:$AZ$6,0))),'Oxford Economics'!$A$7:$A$1000,$C19,'Oxford Economics'!$B$7:$B$1000,Settings!$B$12)-SUMIFS(INDEX('Oxford Economics'!$A$7:$AZ$1000,0,IFERROR(MATCH(Q$5,'Oxford Economics'!$A$6:$AZ$6,0),MATCH(Q$5&amp;"",'Oxford Economics'!$A$6:$AZ$6,0))),'Oxford Economics'!$A$7:$A$1000,$C19,'Oxford Economics'!$B$7:$B$1000,Settings!$B$14),SUMIFS(INDEX('Oxford Economics'!$A$7:$AZ$1000,0,IFERROR(MATCH(Q$5,'Oxford Economics'!$A$6:$AZ$6,0),MATCH(Q$5&amp;"",'Oxford Economics'!$A$6:$AZ$6,0))),'Oxford Economics'!$A$7:$A$1000,$C19,'Oxford Economics'!$B$7:$B$1000,Settings!$B$14)+SUMIFS(INDEX('Oxford Economics'!$A$7:$AZ$1000,0,IFERROR(MATCH(Q$5,'Oxford Economics'!$A$6:$AZ$6,0),MATCH(Q$5&amp;"",'Oxford Economics'!$A$6:$AZ$6,0))),'Oxford Economics'!$A$7:$A$1000,$C19,'Oxford Economics'!$B$7:$B$1000,Settings!$B$16)+IF(Settings!$B$18="",0,SUMIFS(INDEX('Oxford Economics'!$A$7:$AZ$1000,0,IFERROR(MATCH(Q$5,'Oxford Economics'!$A$6:$AZ$6,0),MATCH(Q$5&amp;"",'Oxford Economics'!$A$6:$AZ$6,0))),'Oxford Economics'!$A$7:$A$1000,$C19,'Oxford Economics'!$B$7:$B$1000,Settings!$B$18)))),""))</f>
        <v>3212.13</v>
      </c>
      <c r="R19" s="37" t="n">
        <f aca="false">IF($A19="","",IFERROR(1/(1/IF($B19="Residential",SUMIFS(INDEX('Oxford Economics'!$A$7:$AZ$1000,0,IFERROR(MATCH(R$5,'Oxford Economics'!$A$6:$AZ$6,0),MATCH(R$5&amp;"",'Oxford Economics'!$A$6:$AZ$6,0))),'Oxford Economics'!$A$7:$A$1000,$C19,'Oxford Economics'!$B$7:$B$1000,Settings!$B$12)-SUMIFS(INDEX('Oxford Economics'!$A$7:$AZ$1000,0,IFERROR(MATCH(R$5,'Oxford Economics'!$A$6:$AZ$6,0),MATCH(R$5&amp;"",'Oxford Economics'!$A$6:$AZ$6,0))),'Oxford Economics'!$A$7:$A$1000,$C19,'Oxford Economics'!$B$7:$B$1000,Settings!$B$14),SUMIFS(INDEX('Oxford Economics'!$A$7:$AZ$1000,0,IFERROR(MATCH(R$5,'Oxford Economics'!$A$6:$AZ$6,0),MATCH(R$5&amp;"",'Oxford Economics'!$A$6:$AZ$6,0))),'Oxford Economics'!$A$7:$A$1000,$C19,'Oxford Economics'!$B$7:$B$1000,Settings!$B$14)+SUMIFS(INDEX('Oxford Economics'!$A$7:$AZ$1000,0,IFERROR(MATCH(R$5,'Oxford Economics'!$A$6:$AZ$6,0),MATCH(R$5&amp;"",'Oxford Economics'!$A$6:$AZ$6,0))),'Oxford Economics'!$A$7:$A$1000,$C19,'Oxford Economics'!$B$7:$B$1000,Settings!$B$16)+IF(Settings!$B$18="",0,SUMIFS(INDEX('Oxford Economics'!$A$7:$AZ$1000,0,IFERROR(MATCH(R$5,'Oxford Economics'!$A$6:$AZ$6,0),MATCH(R$5&amp;"",'Oxford Economics'!$A$6:$AZ$6,0))),'Oxford Economics'!$A$7:$A$1000,$C19,'Oxford Economics'!$B$7:$B$1000,Settings!$B$18)))),""))</f>
        <v>3147.47</v>
      </c>
      <c r="S19" s="37" t="n">
        <f aca="false">IF($A19="","",IFERROR(1/(1/IF($B19="Residential",SUMIFS(INDEX('Oxford Economics'!$A$7:$AZ$1000,0,IFERROR(MATCH(S$5,'Oxford Economics'!$A$6:$AZ$6,0),MATCH(S$5&amp;"",'Oxford Economics'!$A$6:$AZ$6,0))),'Oxford Economics'!$A$7:$A$1000,$C19,'Oxford Economics'!$B$7:$B$1000,Settings!$B$12)-SUMIFS(INDEX('Oxford Economics'!$A$7:$AZ$1000,0,IFERROR(MATCH(S$5,'Oxford Economics'!$A$6:$AZ$6,0),MATCH(S$5&amp;"",'Oxford Economics'!$A$6:$AZ$6,0))),'Oxford Economics'!$A$7:$A$1000,$C19,'Oxford Economics'!$B$7:$B$1000,Settings!$B$14),SUMIFS(INDEX('Oxford Economics'!$A$7:$AZ$1000,0,IFERROR(MATCH(S$5,'Oxford Economics'!$A$6:$AZ$6,0),MATCH(S$5&amp;"",'Oxford Economics'!$A$6:$AZ$6,0))),'Oxford Economics'!$A$7:$A$1000,$C19,'Oxford Economics'!$B$7:$B$1000,Settings!$B$14)+SUMIFS(INDEX('Oxford Economics'!$A$7:$AZ$1000,0,IFERROR(MATCH(S$5,'Oxford Economics'!$A$6:$AZ$6,0),MATCH(S$5&amp;"",'Oxford Economics'!$A$6:$AZ$6,0))),'Oxford Economics'!$A$7:$A$1000,$C19,'Oxford Economics'!$B$7:$B$1000,Settings!$B$16)+IF(Settings!$B$18="",0,SUMIFS(INDEX('Oxford Economics'!$A$7:$AZ$1000,0,IFERROR(MATCH(S$5,'Oxford Economics'!$A$6:$AZ$6,0),MATCH(S$5&amp;"",'Oxford Economics'!$A$6:$AZ$6,0))),'Oxford Economics'!$A$7:$A$1000,$C19,'Oxford Economics'!$B$7:$B$1000,Settings!$B$18)))),""))</f>
        <v>3131.19</v>
      </c>
      <c r="T19" s="37" t="n">
        <f aca="false">IF($A19="","",IFERROR(1/(1/IF($B19="Residential",SUMIFS(INDEX('Oxford Economics'!$A$7:$AZ$1000,0,IFERROR(MATCH(T$5,'Oxford Economics'!$A$6:$AZ$6,0),MATCH(T$5&amp;"",'Oxford Economics'!$A$6:$AZ$6,0))),'Oxford Economics'!$A$7:$A$1000,$C19,'Oxford Economics'!$B$7:$B$1000,Settings!$B$12)-SUMIFS(INDEX('Oxford Economics'!$A$7:$AZ$1000,0,IFERROR(MATCH(T$5,'Oxford Economics'!$A$6:$AZ$6,0),MATCH(T$5&amp;"",'Oxford Economics'!$A$6:$AZ$6,0))),'Oxford Economics'!$A$7:$A$1000,$C19,'Oxford Economics'!$B$7:$B$1000,Settings!$B$14),SUMIFS(INDEX('Oxford Economics'!$A$7:$AZ$1000,0,IFERROR(MATCH(T$5,'Oxford Economics'!$A$6:$AZ$6,0),MATCH(T$5&amp;"",'Oxford Economics'!$A$6:$AZ$6,0))),'Oxford Economics'!$A$7:$A$1000,$C19,'Oxford Economics'!$B$7:$B$1000,Settings!$B$14)+SUMIFS(INDEX('Oxford Economics'!$A$7:$AZ$1000,0,IFERROR(MATCH(T$5,'Oxford Economics'!$A$6:$AZ$6,0),MATCH(T$5&amp;"",'Oxford Economics'!$A$6:$AZ$6,0))),'Oxford Economics'!$A$7:$A$1000,$C19,'Oxford Economics'!$B$7:$B$1000,Settings!$B$16)+IF(Settings!$B$18="",0,SUMIFS(INDEX('Oxford Economics'!$A$7:$AZ$1000,0,IFERROR(MATCH(T$5,'Oxford Economics'!$A$6:$AZ$6,0),MATCH(T$5&amp;"",'Oxford Economics'!$A$6:$AZ$6,0))),'Oxford Economics'!$A$7:$A$1000,$C19,'Oxford Economics'!$B$7:$B$1000,Settings!$B$18)))),""))</f>
        <v>3000.91</v>
      </c>
      <c r="U19" s="37" t="n">
        <f aca="false">IF($A19="","",IFERROR(1/(1/IF($B19="Residential",SUMIFS(INDEX('Oxford Economics'!$A$7:$AZ$1000,0,IFERROR(MATCH(U$5,'Oxford Economics'!$A$6:$AZ$6,0),MATCH(U$5&amp;"",'Oxford Economics'!$A$6:$AZ$6,0))),'Oxford Economics'!$A$7:$A$1000,$C19,'Oxford Economics'!$B$7:$B$1000,Settings!$B$12)-SUMIFS(INDEX('Oxford Economics'!$A$7:$AZ$1000,0,IFERROR(MATCH(U$5,'Oxford Economics'!$A$6:$AZ$6,0),MATCH(U$5&amp;"",'Oxford Economics'!$A$6:$AZ$6,0))),'Oxford Economics'!$A$7:$A$1000,$C19,'Oxford Economics'!$B$7:$B$1000,Settings!$B$14),SUMIFS(INDEX('Oxford Economics'!$A$7:$AZ$1000,0,IFERROR(MATCH(U$5,'Oxford Economics'!$A$6:$AZ$6,0),MATCH(U$5&amp;"",'Oxford Economics'!$A$6:$AZ$6,0))),'Oxford Economics'!$A$7:$A$1000,$C19,'Oxford Economics'!$B$7:$B$1000,Settings!$B$14)+SUMIFS(INDEX('Oxford Economics'!$A$7:$AZ$1000,0,IFERROR(MATCH(U$5,'Oxford Economics'!$A$6:$AZ$6,0),MATCH(U$5&amp;"",'Oxford Economics'!$A$6:$AZ$6,0))),'Oxford Economics'!$A$7:$A$1000,$C19,'Oxford Economics'!$B$7:$B$1000,Settings!$B$16)+IF(Settings!$B$18="",0,SUMIFS(INDEX('Oxford Economics'!$A$7:$AZ$1000,0,IFERROR(MATCH(U$5,'Oxford Economics'!$A$6:$AZ$6,0),MATCH(U$5&amp;"",'Oxford Economics'!$A$6:$AZ$6,0))),'Oxford Economics'!$A$7:$A$1000,$C19,'Oxford Economics'!$B$7:$B$1000,Settings!$B$18)))),""))</f>
        <v>2938.33</v>
      </c>
      <c r="V19" s="37" t="n">
        <f aca="false">IF($A19="","",IFERROR(1/(1/IF($B19="Residential",SUMIFS(INDEX('Oxford Economics'!$A$7:$AZ$1000,0,IFERROR(MATCH(V$5,'Oxford Economics'!$A$6:$AZ$6,0),MATCH(V$5&amp;"",'Oxford Economics'!$A$6:$AZ$6,0))),'Oxford Economics'!$A$7:$A$1000,$C19,'Oxford Economics'!$B$7:$B$1000,Settings!$B$12)-SUMIFS(INDEX('Oxford Economics'!$A$7:$AZ$1000,0,IFERROR(MATCH(V$5,'Oxford Economics'!$A$6:$AZ$6,0),MATCH(V$5&amp;"",'Oxford Economics'!$A$6:$AZ$6,0))),'Oxford Economics'!$A$7:$A$1000,$C19,'Oxford Economics'!$B$7:$B$1000,Settings!$B$14),SUMIFS(INDEX('Oxford Economics'!$A$7:$AZ$1000,0,IFERROR(MATCH(V$5,'Oxford Economics'!$A$6:$AZ$6,0),MATCH(V$5&amp;"",'Oxford Economics'!$A$6:$AZ$6,0))),'Oxford Economics'!$A$7:$A$1000,$C19,'Oxford Economics'!$B$7:$B$1000,Settings!$B$14)+SUMIFS(INDEX('Oxford Economics'!$A$7:$AZ$1000,0,IFERROR(MATCH(V$5,'Oxford Economics'!$A$6:$AZ$6,0),MATCH(V$5&amp;"",'Oxford Economics'!$A$6:$AZ$6,0))),'Oxford Economics'!$A$7:$A$1000,$C19,'Oxford Economics'!$B$7:$B$1000,Settings!$B$16)+IF(Settings!$B$18="",0,SUMIFS(INDEX('Oxford Economics'!$A$7:$AZ$1000,0,IFERROR(MATCH(V$5,'Oxford Economics'!$A$6:$AZ$6,0),MATCH(V$5&amp;"",'Oxford Economics'!$A$6:$AZ$6,0))),'Oxford Economics'!$A$7:$A$1000,$C19,'Oxford Economics'!$B$7:$B$1000,Settings!$B$18)))),""))</f>
        <v>3025.49</v>
      </c>
      <c r="W19" s="37" t="n">
        <f aca="false">IF($A19="","",IFERROR(1/(1/IF($B19="Residential",SUMIFS(INDEX('Oxford Economics'!$A$7:$AZ$1000,0,IFERROR(MATCH(W$5,'Oxford Economics'!$A$6:$AZ$6,0),MATCH(W$5&amp;"",'Oxford Economics'!$A$6:$AZ$6,0))),'Oxford Economics'!$A$7:$A$1000,$C19,'Oxford Economics'!$B$7:$B$1000,Settings!$B$12)-SUMIFS(INDEX('Oxford Economics'!$A$7:$AZ$1000,0,IFERROR(MATCH(W$5,'Oxford Economics'!$A$6:$AZ$6,0),MATCH(W$5&amp;"",'Oxford Economics'!$A$6:$AZ$6,0))),'Oxford Economics'!$A$7:$A$1000,$C19,'Oxford Economics'!$B$7:$B$1000,Settings!$B$14),SUMIFS(INDEX('Oxford Economics'!$A$7:$AZ$1000,0,IFERROR(MATCH(W$5,'Oxford Economics'!$A$6:$AZ$6,0),MATCH(W$5&amp;"",'Oxford Economics'!$A$6:$AZ$6,0))),'Oxford Economics'!$A$7:$A$1000,$C19,'Oxford Economics'!$B$7:$B$1000,Settings!$B$14)+SUMIFS(INDEX('Oxford Economics'!$A$7:$AZ$1000,0,IFERROR(MATCH(W$5,'Oxford Economics'!$A$6:$AZ$6,0),MATCH(W$5&amp;"",'Oxford Economics'!$A$6:$AZ$6,0))),'Oxford Economics'!$A$7:$A$1000,$C19,'Oxford Economics'!$B$7:$B$1000,Settings!$B$16)+IF(Settings!$B$18="",0,SUMIFS(INDEX('Oxford Economics'!$A$7:$AZ$1000,0,IFERROR(MATCH(W$5,'Oxford Economics'!$A$6:$AZ$6,0),MATCH(W$5&amp;"",'Oxford Economics'!$A$6:$AZ$6,0))),'Oxford Economics'!$A$7:$A$1000,$C19,'Oxford Economics'!$B$7:$B$1000,Settings!$B$18)))),""))</f>
        <v>3301.31</v>
      </c>
      <c r="X19" s="37" t="n">
        <f aca="false">IF($A19="","",IFERROR(1/(1/IF($B19="Residential",SUMIFS(INDEX('Oxford Economics'!$A$7:$AZ$1000,0,IFERROR(MATCH(X$5,'Oxford Economics'!$A$6:$AZ$6,0),MATCH(X$5&amp;"",'Oxford Economics'!$A$6:$AZ$6,0))),'Oxford Economics'!$A$7:$A$1000,$C19,'Oxford Economics'!$B$7:$B$1000,Settings!$B$12)-SUMIFS(INDEX('Oxford Economics'!$A$7:$AZ$1000,0,IFERROR(MATCH(X$5,'Oxford Economics'!$A$6:$AZ$6,0),MATCH(X$5&amp;"",'Oxford Economics'!$A$6:$AZ$6,0))),'Oxford Economics'!$A$7:$A$1000,$C19,'Oxford Economics'!$B$7:$B$1000,Settings!$B$14),SUMIFS(INDEX('Oxford Economics'!$A$7:$AZ$1000,0,IFERROR(MATCH(X$5,'Oxford Economics'!$A$6:$AZ$6,0),MATCH(X$5&amp;"",'Oxford Economics'!$A$6:$AZ$6,0))),'Oxford Economics'!$A$7:$A$1000,$C19,'Oxford Economics'!$B$7:$B$1000,Settings!$B$14)+SUMIFS(INDEX('Oxford Economics'!$A$7:$AZ$1000,0,IFERROR(MATCH(X$5,'Oxford Economics'!$A$6:$AZ$6,0),MATCH(X$5&amp;"",'Oxford Economics'!$A$6:$AZ$6,0))),'Oxford Economics'!$A$7:$A$1000,$C19,'Oxford Economics'!$B$7:$B$1000,Settings!$B$16)+IF(Settings!$B$18="",0,SUMIFS(INDEX('Oxford Economics'!$A$7:$AZ$1000,0,IFERROR(MATCH(X$5,'Oxford Economics'!$A$6:$AZ$6,0),MATCH(X$5&amp;"",'Oxford Economics'!$A$6:$AZ$6,0))),'Oxford Economics'!$A$7:$A$1000,$C19,'Oxford Economics'!$B$7:$B$1000,Settings!$B$18)))),""))</f>
        <v>3437.98</v>
      </c>
      <c r="Y19" s="37" t="n">
        <f aca="false">IF($A19="","",IFERROR(1/(1/IF($B19="Residential",SUMIFS(INDEX('Oxford Economics'!$A$7:$AZ$1000,0,IFERROR(MATCH(Y$5,'Oxford Economics'!$A$6:$AZ$6,0),MATCH(Y$5&amp;"",'Oxford Economics'!$A$6:$AZ$6,0))),'Oxford Economics'!$A$7:$A$1000,$C19,'Oxford Economics'!$B$7:$B$1000,Settings!$B$12)-SUMIFS(INDEX('Oxford Economics'!$A$7:$AZ$1000,0,IFERROR(MATCH(Y$5,'Oxford Economics'!$A$6:$AZ$6,0),MATCH(Y$5&amp;"",'Oxford Economics'!$A$6:$AZ$6,0))),'Oxford Economics'!$A$7:$A$1000,$C19,'Oxford Economics'!$B$7:$B$1000,Settings!$B$14),SUMIFS(INDEX('Oxford Economics'!$A$7:$AZ$1000,0,IFERROR(MATCH(Y$5,'Oxford Economics'!$A$6:$AZ$6,0),MATCH(Y$5&amp;"",'Oxford Economics'!$A$6:$AZ$6,0))),'Oxford Economics'!$A$7:$A$1000,$C19,'Oxford Economics'!$B$7:$B$1000,Settings!$B$14)+SUMIFS(INDEX('Oxford Economics'!$A$7:$AZ$1000,0,IFERROR(MATCH(Y$5,'Oxford Economics'!$A$6:$AZ$6,0),MATCH(Y$5&amp;"",'Oxford Economics'!$A$6:$AZ$6,0))),'Oxford Economics'!$A$7:$A$1000,$C19,'Oxford Economics'!$B$7:$B$1000,Settings!$B$16)+IF(Settings!$B$18="",0,SUMIFS(INDEX('Oxford Economics'!$A$7:$AZ$1000,0,IFERROR(MATCH(Y$5,'Oxford Economics'!$A$6:$AZ$6,0),MATCH(Y$5&amp;"",'Oxford Economics'!$A$6:$AZ$6,0))),'Oxford Economics'!$A$7:$A$1000,$C19,'Oxford Economics'!$B$7:$B$1000,Settings!$B$18)))),""))</f>
        <v>3473.29</v>
      </c>
      <c r="Z19" s="37" t="n">
        <f aca="false">IF($A19="","",IFERROR(1/(1/IF($B19="Residential",SUMIFS(INDEX('Oxford Economics'!$A$7:$AZ$1000,0,IFERROR(MATCH(Z$5,'Oxford Economics'!$A$6:$AZ$6,0),MATCH(Z$5&amp;"",'Oxford Economics'!$A$6:$AZ$6,0))),'Oxford Economics'!$A$7:$A$1000,$C19,'Oxford Economics'!$B$7:$B$1000,Settings!$B$12)-SUMIFS(INDEX('Oxford Economics'!$A$7:$AZ$1000,0,IFERROR(MATCH(Z$5,'Oxford Economics'!$A$6:$AZ$6,0),MATCH(Z$5&amp;"",'Oxford Economics'!$A$6:$AZ$6,0))),'Oxford Economics'!$A$7:$A$1000,$C19,'Oxford Economics'!$B$7:$B$1000,Settings!$B$14),SUMIFS(INDEX('Oxford Economics'!$A$7:$AZ$1000,0,IFERROR(MATCH(Z$5,'Oxford Economics'!$A$6:$AZ$6,0),MATCH(Z$5&amp;"",'Oxford Economics'!$A$6:$AZ$6,0))),'Oxford Economics'!$A$7:$A$1000,$C19,'Oxford Economics'!$B$7:$B$1000,Settings!$B$14)+SUMIFS(INDEX('Oxford Economics'!$A$7:$AZ$1000,0,IFERROR(MATCH(Z$5,'Oxford Economics'!$A$6:$AZ$6,0),MATCH(Z$5&amp;"",'Oxford Economics'!$A$6:$AZ$6,0))),'Oxford Economics'!$A$7:$A$1000,$C19,'Oxford Economics'!$B$7:$B$1000,Settings!$B$16)+IF(Settings!$B$18="",0,SUMIFS(INDEX('Oxford Economics'!$A$7:$AZ$1000,0,IFERROR(MATCH(Z$5,'Oxford Economics'!$A$6:$AZ$6,0),MATCH(Z$5&amp;"",'Oxford Economics'!$A$6:$AZ$6,0))),'Oxford Economics'!$A$7:$A$1000,$C19,'Oxford Economics'!$B$7:$B$1000,Settings!$B$18)))),""))</f>
        <v>3484.06</v>
      </c>
      <c r="AA19" s="37" t="n">
        <f aca="false">IF($A19="","",IFERROR(1/(1/IF($B19="Residential",SUMIFS(INDEX('Oxford Economics'!$A$7:$AZ$1000,0,IFERROR(MATCH(AA$5,'Oxford Economics'!$A$6:$AZ$6,0),MATCH(AA$5&amp;"",'Oxford Economics'!$A$6:$AZ$6,0))),'Oxford Economics'!$A$7:$A$1000,$C19,'Oxford Economics'!$B$7:$B$1000,Settings!$B$12)-SUMIFS(INDEX('Oxford Economics'!$A$7:$AZ$1000,0,IFERROR(MATCH(AA$5,'Oxford Economics'!$A$6:$AZ$6,0),MATCH(AA$5&amp;"",'Oxford Economics'!$A$6:$AZ$6,0))),'Oxford Economics'!$A$7:$A$1000,$C19,'Oxford Economics'!$B$7:$B$1000,Settings!$B$14),SUMIFS(INDEX('Oxford Economics'!$A$7:$AZ$1000,0,IFERROR(MATCH(AA$5,'Oxford Economics'!$A$6:$AZ$6,0),MATCH(AA$5&amp;"",'Oxford Economics'!$A$6:$AZ$6,0))),'Oxford Economics'!$A$7:$A$1000,$C19,'Oxford Economics'!$B$7:$B$1000,Settings!$B$14)+SUMIFS(INDEX('Oxford Economics'!$A$7:$AZ$1000,0,IFERROR(MATCH(AA$5,'Oxford Economics'!$A$6:$AZ$6,0),MATCH(AA$5&amp;"",'Oxford Economics'!$A$6:$AZ$6,0))),'Oxford Economics'!$A$7:$A$1000,$C19,'Oxford Economics'!$B$7:$B$1000,Settings!$B$16)+IF(Settings!$B$18="",0,SUMIFS(INDEX('Oxford Economics'!$A$7:$AZ$1000,0,IFERROR(MATCH(AA$5,'Oxford Economics'!$A$6:$AZ$6,0),MATCH(AA$5&amp;"",'Oxford Economics'!$A$6:$AZ$6,0))),'Oxford Economics'!$A$7:$A$1000,$C19,'Oxford Economics'!$B$7:$B$1000,Settings!$B$18)))),""))</f>
        <v>3501.42</v>
      </c>
      <c r="AB19" s="37" t="n">
        <f aca="false">IF($A19="","",IFERROR(1/(1/IF($B19="Residential",SUMIFS(INDEX('Oxford Economics'!$A$7:$AZ$1000,0,IFERROR(MATCH(AB$5,'Oxford Economics'!$A$6:$AZ$6,0),MATCH(AB$5&amp;"",'Oxford Economics'!$A$6:$AZ$6,0))),'Oxford Economics'!$A$7:$A$1000,$C19,'Oxford Economics'!$B$7:$B$1000,Settings!$B$11)-SUMIFS(INDEX('Oxford Economics'!$A$7:$AZ$1000,0,IFERROR(MATCH(AB$5,'Oxford Economics'!$A$6:$AZ$6,0),MATCH(AB$5&amp;"",'Oxford Economics'!$A$6:$AZ$6,0))),'Oxford Economics'!$A$7:$A$1000,$C19,'Oxford Economics'!$B$7:$B$1000,Settings!$B$13),SUMIFS(INDEX('Oxford Economics'!$A$7:$AZ$1000,0,IFERROR(MATCH(AB$5,'Oxford Economics'!$A$6:$AZ$6,0),MATCH(AB$5&amp;"",'Oxford Economics'!$A$6:$AZ$6,0))),'Oxford Economics'!$A$7:$A$1000,$C19,'Oxford Economics'!$B$7:$B$1000,Settings!$B$13)+SUMIFS(INDEX('Oxford Economics'!$A$7:$AZ$1000,0,IFERROR(MATCH(AB$5,'Oxford Economics'!$A$6:$AZ$6,0),MATCH(AB$5&amp;"",'Oxford Economics'!$A$6:$AZ$6,0))),'Oxford Economics'!$A$7:$A$1000,$C19,'Oxford Economics'!$B$7:$B$1000,Settings!$B$15)+IF(Settings!$B$17="",0,SUMIFS(INDEX('Oxford Economics'!$A$7:$AZ$1000,0,IFERROR(MATCH(AB$5,'Oxford Economics'!$A$6:$AZ$6,0),MATCH(AB$5&amp;"",'Oxford Economics'!$A$6:$AZ$6,0))),'Oxford Economics'!$A$7:$A$1000,$C19,'Oxford Economics'!$B$7:$B$1000,Settings!$B$17)))),""))</f>
        <v>3250.25</v>
      </c>
      <c r="AC19" s="37" t="n">
        <f aca="false">IF($A19="","",IFERROR(1/(1/IF($B19="Residential",SUMIFS(INDEX('Oxford Economics'!$A$7:$AZ$1000,0,IFERROR(MATCH(AC$5,'Oxford Economics'!$A$6:$AZ$6,0),MATCH(AC$5&amp;"",'Oxford Economics'!$A$6:$AZ$6,0))),'Oxford Economics'!$A$7:$A$1000,$C19,'Oxford Economics'!$B$7:$B$1000,Settings!$B$11)-SUMIFS(INDEX('Oxford Economics'!$A$7:$AZ$1000,0,IFERROR(MATCH(AC$5,'Oxford Economics'!$A$6:$AZ$6,0),MATCH(AC$5&amp;"",'Oxford Economics'!$A$6:$AZ$6,0))),'Oxford Economics'!$A$7:$A$1000,$C19,'Oxford Economics'!$B$7:$B$1000,Settings!$B$13),SUMIFS(INDEX('Oxford Economics'!$A$7:$AZ$1000,0,IFERROR(MATCH(AC$5,'Oxford Economics'!$A$6:$AZ$6,0),MATCH(AC$5&amp;"",'Oxford Economics'!$A$6:$AZ$6,0))),'Oxford Economics'!$A$7:$A$1000,$C19,'Oxford Economics'!$B$7:$B$1000,Settings!$B$13)+SUMIFS(INDEX('Oxford Economics'!$A$7:$AZ$1000,0,IFERROR(MATCH(AC$5,'Oxford Economics'!$A$6:$AZ$6,0),MATCH(AC$5&amp;"",'Oxford Economics'!$A$6:$AZ$6,0))),'Oxford Economics'!$A$7:$A$1000,$C19,'Oxford Economics'!$B$7:$B$1000,Settings!$B$15)+IF(Settings!$B$17="",0,SUMIFS(INDEX('Oxford Economics'!$A$7:$AZ$1000,0,IFERROR(MATCH(AC$5,'Oxford Economics'!$A$6:$AZ$6,0),MATCH(AC$5&amp;"",'Oxford Economics'!$A$6:$AZ$6,0))),'Oxford Economics'!$A$7:$A$1000,$C19,'Oxford Economics'!$B$7:$B$1000,Settings!$B$17)))),""))</f>
        <v>3467.3</v>
      </c>
      <c r="AD19" s="37" t="n">
        <f aca="false">IF($A19="","",IFERROR(1/(1/IF($B19="Residential",SUMIFS(INDEX('Oxford Economics'!$A$7:$AZ$1000,0,IFERROR(MATCH(AD$5,'Oxford Economics'!$A$6:$AZ$6,0),MATCH(AD$5&amp;"",'Oxford Economics'!$A$6:$AZ$6,0))),'Oxford Economics'!$A$7:$A$1000,$C19,'Oxford Economics'!$B$7:$B$1000,Settings!$B$11)-SUMIFS(INDEX('Oxford Economics'!$A$7:$AZ$1000,0,IFERROR(MATCH(AD$5,'Oxford Economics'!$A$6:$AZ$6,0),MATCH(AD$5&amp;"",'Oxford Economics'!$A$6:$AZ$6,0))),'Oxford Economics'!$A$7:$A$1000,$C19,'Oxford Economics'!$B$7:$B$1000,Settings!$B$13),SUMIFS(INDEX('Oxford Economics'!$A$7:$AZ$1000,0,IFERROR(MATCH(AD$5,'Oxford Economics'!$A$6:$AZ$6,0),MATCH(AD$5&amp;"",'Oxford Economics'!$A$6:$AZ$6,0))),'Oxford Economics'!$A$7:$A$1000,$C19,'Oxford Economics'!$B$7:$B$1000,Settings!$B$13)+SUMIFS(INDEX('Oxford Economics'!$A$7:$AZ$1000,0,IFERROR(MATCH(AD$5,'Oxford Economics'!$A$6:$AZ$6,0),MATCH(AD$5&amp;"",'Oxford Economics'!$A$6:$AZ$6,0))),'Oxford Economics'!$A$7:$A$1000,$C19,'Oxford Economics'!$B$7:$B$1000,Settings!$B$15)+IF(Settings!$B$17="",0,SUMIFS(INDEX('Oxford Economics'!$A$7:$AZ$1000,0,IFERROR(MATCH(AD$5,'Oxford Economics'!$A$6:$AZ$6,0),MATCH(AD$5&amp;"",'Oxford Economics'!$A$6:$AZ$6,0))),'Oxford Economics'!$A$7:$A$1000,$C19,'Oxford Economics'!$B$7:$B$1000,Settings!$B$17)))),""))</f>
        <v>3488.44</v>
      </c>
      <c r="AE19" s="37" t="n">
        <f aca="false">IF($A19="","",IFERROR(1/(1/IF($B19="Residential",SUMIFS(INDEX('Oxford Economics'!$A$7:$AZ$1000,0,IFERROR(MATCH(AE$5,'Oxford Economics'!$A$6:$AZ$6,0),MATCH(AE$5&amp;"",'Oxford Economics'!$A$6:$AZ$6,0))),'Oxford Economics'!$A$7:$A$1000,$C19,'Oxford Economics'!$B$7:$B$1000,Settings!$B$11)-SUMIFS(INDEX('Oxford Economics'!$A$7:$AZ$1000,0,IFERROR(MATCH(AE$5,'Oxford Economics'!$A$6:$AZ$6,0),MATCH(AE$5&amp;"",'Oxford Economics'!$A$6:$AZ$6,0))),'Oxford Economics'!$A$7:$A$1000,$C19,'Oxford Economics'!$B$7:$B$1000,Settings!$B$13),SUMIFS(INDEX('Oxford Economics'!$A$7:$AZ$1000,0,IFERROR(MATCH(AE$5,'Oxford Economics'!$A$6:$AZ$6,0),MATCH(AE$5&amp;"",'Oxford Economics'!$A$6:$AZ$6,0))),'Oxford Economics'!$A$7:$A$1000,$C19,'Oxford Economics'!$B$7:$B$1000,Settings!$B$13)+SUMIFS(INDEX('Oxford Economics'!$A$7:$AZ$1000,0,IFERROR(MATCH(AE$5,'Oxford Economics'!$A$6:$AZ$6,0),MATCH(AE$5&amp;"",'Oxford Economics'!$A$6:$AZ$6,0))),'Oxford Economics'!$A$7:$A$1000,$C19,'Oxford Economics'!$B$7:$B$1000,Settings!$B$15)+IF(Settings!$B$17="",0,SUMIFS(INDEX('Oxford Economics'!$A$7:$AZ$1000,0,IFERROR(MATCH(AE$5,'Oxford Economics'!$A$6:$AZ$6,0),MATCH(AE$5&amp;"",'Oxford Economics'!$A$6:$AZ$6,0))),'Oxford Economics'!$A$7:$A$1000,$C19,'Oxford Economics'!$B$7:$B$1000,Settings!$B$17)))),""))</f>
        <v>2514.38</v>
      </c>
      <c r="AF19" s="37" t="n">
        <f aca="false">IF($A19="","",IFERROR(1/(1/IF($B19="Residential",SUMIFS(INDEX('Oxford Economics'!$A$7:$AZ$1000,0,IFERROR(MATCH(AF$5,'Oxford Economics'!$A$6:$AZ$6,0),MATCH(AF$5&amp;"",'Oxford Economics'!$A$6:$AZ$6,0))),'Oxford Economics'!$A$7:$A$1000,$C19,'Oxford Economics'!$B$7:$B$1000,Settings!$B$11)-SUMIFS(INDEX('Oxford Economics'!$A$7:$AZ$1000,0,IFERROR(MATCH(AF$5,'Oxford Economics'!$A$6:$AZ$6,0),MATCH(AF$5&amp;"",'Oxford Economics'!$A$6:$AZ$6,0))),'Oxford Economics'!$A$7:$A$1000,$C19,'Oxford Economics'!$B$7:$B$1000,Settings!$B$13),SUMIFS(INDEX('Oxford Economics'!$A$7:$AZ$1000,0,IFERROR(MATCH(AF$5,'Oxford Economics'!$A$6:$AZ$6,0),MATCH(AF$5&amp;"",'Oxford Economics'!$A$6:$AZ$6,0))),'Oxford Economics'!$A$7:$A$1000,$C19,'Oxford Economics'!$B$7:$B$1000,Settings!$B$13)+SUMIFS(INDEX('Oxford Economics'!$A$7:$AZ$1000,0,IFERROR(MATCH(AF$5,'Oxford Economics'!$A$6:$AZ$6,0),MATCH(AF$5&amp;"",'Oxford Economics'!$A$6:$AZ$6,0))),'Oxford Economics'!$A$7:$A$1000,$C19,'Oxford Economics'!$B$7:$B$1000,Settings!$B$15)+IF(Settings!$B$17="",0,SUMIFS(INDEX('Oxford Economics'!$A$7:$AZ$1000,0,IFERROR(MATCH(AF$5,'Oxford Economics'!$A$6:$AZ$6,0),MATCH(AF$5&amp;"",'Oxford Economics'!$A$6:$AZ$6,0))),'Oxford Economics'!$A$7:$A$1000,$C19,'Oxford Economics'!$B$7:$B$1000,Settings!$B$17)))),""))</f>
        <v>1820.9</v>
      </c>
      <c r="AG19" s="37" t="n">
        <f aca="false">IF($A19="","",IFERROR(1/(1/IF($B19="Residential",SUMIFS(INDEX('Oxford Economics'!$A$7:$AZ$1000,0,IFERROR(MATCH(AG$5,'Oxford Economics'!$A$6:$AZ$6,0),MATCH(AG$5&amp;"",'Oxford Economics'!$A$6:$AZ$6,0))),'Oxford Economics'!$A$7:$A$1000,$C19,'Oxford Economics'!$B$7:$B$1000,Settings!$B$11)-SUMIFS(INDEX('Oxford Economics'!$A$7:$AZ$1000,0,IFERROR(MATCH(AG$5,'Oxford Economics'!$A$6:$AZ$6,0),MATCH(AG$5&amp;"",'Oxford Economics'!$A$6:$AZ$6,0))),'Oxford Economics'!$A$7:$A$1000,$C19,'Oxford Economics'!$B$7:$B$1000,Settings!$B$13),SUMIFS(INDEX('Oxford Economics'!$A$7:$AZ$1000,0,IFERROR(MATCH(AG$5,'Oxford Economics'!$A$6:$AZ$6,0),MATCH(AG$5&amp;"",'Oxford Economics'!$A$6:$AZ$6,0))),'Oxford Economics'!$A$7:$A$1000,$C19,'Oxford Economics'!$B$7:$B$1000,Settings!$B$13)+SUMIFS(INDEX('Oxford Economics'!$A$7:$AZ$1000,0,IFERROR(MATCH(AG$5,'Oxford Economics'!$A$6:$AZ$6,0),MATCH(AG$5&amp;"",'Oxford Economics'!$A$6:$AZ$6,0))),'Oxford Economics'!$A$7:$A$1000,$C19,'Oxford Economics'!$B$7:$B$1000,Settings!$B$15)+IF(Settings!$B$17="",0,SUMIFS(INDEX('Oxford Economics'!$A$7:$AZ$1000,0,IFERROR(MATCH(AG$5,'Oxford Economics'!$A$6:$AZ$6,0),MATCH(AG$5&amp;"",'Oxford Economics'!$A$6:$AZ$6,0))),'Oxford Economics'!$A$7:$A$1000,$C19,'Oxford Economics'!$B$7:$B$1000,Settings!$B$17)))),""))</f>
        <v>1756.69</v>
      </c>
      <c r="AH19" s="37" t="n">
        <f aca="false">IF($A19="","",IFERROR(1/(1/IF($B19="Residential",SUMIFS(INDEX('Oxford Economics'!$A$7:$AZ$1000,0,IFERROR(MATCH(AH$5,'Oxford Economics'!$A$6:$AZ$6,0),MATCH(AH$5&amp;"",'Oxford Economics'!$A$6:$AZ$6,0))),'Oxford Economics'!$A$7:$A$1000,$C19,'Oxford Economics'!$B$7:$B$1000,Settings!$B$11)-SUMIFS(INDEX('Oxford Economics'!$A$7:$AZ$1000,0,IFERROR(MATCH(AH$5,'Oxford Economics'!$A$6:$AZ$6,0),MATCH(AH$5&amp;"",'Oxford Economics'!$A$6:$AZ$6,0))),'Oxford Economics'!$A$7:$A$1000,$C19,'Oxford Economics'!$B$7:$B$1000,Settings!$B$13),SUMIFS(INDEX('Oxford Economics'!$A$7:$AZ$1000,0,IFERROR(MATCH(AH$5,'Oxford Economics'!$A$6:$AZ$6,0),MATCH(AH$5&amp;"",'Oxford Economics'!$A$6:$AZ$6,0))),'Oxford Economics'!$A$7:$A$1000,$C19,'Oxford Economics'!$B$7:$B$1000,Settings!$B$13)+SUMIFS(INDEX('Oxford Economics'!$A$7:$AZ$1000,0,IFERROR(MATCH(AH$5,'Oxford Economics'!$A$6:$AZ$6,0),MATCH(AH$5&amp;"",'Oxford Economics'!$A$6:$AZ$6,0))),'Oxford Economics'!$A$7:$A$1000,$C19,'Oxford Economics'!$B$7:$B$1000,Settings!$B$15)+IF(Settings!$B$17="",0,SUMIFS(INDEX('Oxford Economics'!$A$7:$AZ$1000,0,IFERROR(MATCH(AH$5,'Oxford Economics'!$A$6:$AZ$6,0),MATCH(AH$5&amp;"",'Oxford Economics'!$A$6:$AZ$6,0))),'Oxford Economics'!$A$7:$A$1000,$C19,'Oxford Economics'!$B$7:$B$1000,Settings!$B$17)))),""))</f>
        <v>1629.49</v>
      </c>
      <c r="AI19" s="37" t="n">
        <f aca="false">IF($A19="","",IFERROR(1/(1/IF($B19="Residential",SUMIFS(INDEX('Oxford Economics'!$A$7:$AZ$1000,0,IFERROR(MATCH(AI$5,'Oxford Economics'!$A$6:$AZ$6,0),MATCH(AI$5&amp;"",'Oxford Economics'!$A$6:$AZ$6,0))),'Oxford Economics'!$A$7:$A$1000,$C19,'Oxford Economics'!$B$7:$B$1000,Settings!$B$11)-SUMIFS(INDEX('Oxford Economics'!$A$7:$AZ$1000,0,IFERROR(MATCH(AI$5,'Oxford Economics'!$A$6:$AZ$6,0),MATCH(AI$5&amp;"",'Oxford Economics'!$A$6:$AZ$6,0))),'Oxford Economics'!$A$7:$A$1000,$C19,'Oxford Economics'!$B$7:$B$1000,Settings!$B$13),SUMIFS(INDEX('Oxford Economics'!$A$7:$AZ$1000,0,IFERROR(MATCH(AI$5,'Oxford Economics'!$A$6:$AZ$6,0),MATCH(AI$5&amp;"",'Oxford Economics'!$A$6:$AZ$6,0))),'Oxford Economics'!$A$7:$A$1000,$C19,'Oxford Economics'!$B$7:$B$1000,Settings!$B$13)+SUMIFS(INDEX('Oxford Economics'!$A$7:$AZ$1000,0,IFERROR(MATCH(AI$5,'Oxford Economics'!$A$6:$AZ$6,0),MATCH(AI$5&amp;"",'Oxford Economics'!$A$6:$AZ$6,0))),'Oxford Economics'!$A$7:$A$1000,$C19,'Oxford Economics'!$B$7:$B$1000,Settings!$B$15)+IF(Settings!$B$17="",0,SUMIFS(INDEX('Oxford Economics'!$A$7:$AZ$1000,0,IFERROR(MATCH(AI$5,'Oxford Economics'!$A$6:$AZ$6,0),MATCH(AI$5&amp;"",'Oxford Economics'!$A$6:$AZ$6,0))),'Oxford Economics'!$A$7:$A$1000,$C19,'Oxford Economics'!$B$7:$B$1000,Settings!$B$17)))),""))</f>
        <v>1560.5</v>
      </c>
      <c r="AJ19" s="37" t="n">
        <f aca="false">IF($A19="","",IFERROR(1/(1/IF($B19="Residential",SUMIFS(INDEX('Oxford Economics'!$A$7:$AZ$1000,0,IFERROR(MATCH(AJ$5,'Oxford Economics'!$A$6:$AZ$6,0),MATCH(AJ$5&amp;"",'Oxford Economics'!$A$6:$AZ$6,0))),'Oxford Economics'!$A$7:$A$1000,$C19,'Oxford Economics'!$B$7:$B$1000,Settings!$B$11)-SUMIFS(INDEX('Oxford Economics'!$A$7:$AZ$1000,0,IFERROR(MATCH(AJ$5,'Oxford Economics'!$A$6:$AZ$6,0),MATCH(AJ$5&amp;"",'Oxford Economics'!$A$6:$AZ$6,0))),'Oxford Economics'!$A$7:$A$1000,$C19,'Oxford Economics'!$B$7:$B$1000,Settings!$B$13),SUMIFS(INDEX('Oxford Economics'!$A$7:$AZ$1000,0,IFERROR(MATCH(AJ$5,'Oxford Economics'!$A$6:$AZ$6,0),MATCH(AJ$5&amp;"",'Oxford Economics'!$A$6:$AZ$6,0))),'Oxford Economics'!$A$7:$A$1000,$C19,'Oxford Economics'!$B$7:$B$1000,Settings!$B$13)+SUMIFS(INDEX('Oxford Economics'!$A$7:$AZ$1000,0,IFERROR(MATCH(AJ$5,'Oxford Economics'!$A$6:$AZ$6,0),MATCH(AJ$5&amp;"",'Oxford Economics'!$A$6:$AZ$6,0))),'Oxford Economics'!$A$7:$A$1000,$C19,'Oxford Economics'!$B$7:$B$1000,Settings!$B$15)+IF(Settings!$B$17="",0,SUMIFS(INDEX('Oxford Economics'!$A$7:$AZ$1000,0,IFERROR(MATCH(AJ$5,'Oxford Economics'!$A$6:$AZ$6,0),MATCH(AJ$5&amp;"",'Oxford Economics'!$A$6:$AZ$6,0))),'Oxford Economics'!$A$7:$A$1000,$C19,'Oxford Economics'!$B$7:$B$1000,Settings!$B$17)))),""))</f>
        <v>1633.39</v>
      </c>
      <c r="AK19" s="37" t="n">
        <f aca="false">IF($A19="","",IFERROR(1/(1/IF($B19="Residential",SUMIFS(INDEX('Oxford Economics'!$A$7:$AZ$1000,0,IFERROR(MATCH(AK$5,'Oxford Economics'!$A$6:$AZ$6,0),MATCH(AK$5&amp;"",'Oxford Economics'!$A$6:$AZ$6,0))),'Oxford Economics'!$A$7:$A$1000,$C19,'Oxford Economics'!$B$7:$B$1000,Settings!$B$11)-SUMIFS(INDEX('Oxford Economics'!$A$7:$AZ$1000,0,IFERROR(MATCH(AK$5,'Oxford Economics'!$A$6:$AZ$6,0),MATCH(AK$5&amp;"",'Oxford Economics'!$A$6:$AZ$6,0))),'Oxford Economics'!$A$7:$A$1000,$C19,'Oxford Economics'!$B$7:$B$1000,Settings!$B$13),SUMIFS(INDEX('Oxford Economics'!$A$7:$AZ$1000,0,IFERROR(MATCH(AK$5,'Oxford Economics'!$A$6:$AZ$6,0),MATCH(AK$5&amp;"",'Oxford Economics'!$A$6:$AZ$6,0))),'Oxford Economics'!$A$7:$A$1000,$C19,'Oxford Economics'!$B$7:$B$1000,Settings!$B$13)+SUMIFS(INDEX('Oxford Economics'!$A$7:$AZ$1000,0,IFERROR(MATCH(AK$5,'Oxford Economics'!$A$6:$AZ$6,0),MATCH(AK$5&amp;"",'Oxford Economics'!$A$6:$AZ$6,0))),'Oxford Economics'!$A$7:$A$1000,$C19,'Oxford Economics'!$B$7:$B$1000,Settings!$B$15)+IF(Settings!$B$17="",0,SUMIFS(INDEX('Oxford Economics'!$A$7:$AZ$1000,0,IFERROR(MATCH(AK$5,'Oxford Economics'!$A$6:$AZ$6,0),MATCH(AK$5&amp;"",'Oxford Economics'!$A$6:$AZ$6,0))),'Oxford Economics'!$A$7:$A$1000,$C19,'Oxford Economics'!$B$7:$B$1000,Settings!$B$17)))),""))</f>
        <v>1741.99</v>
      </c>
      <c r="AL19" s="37" t="n">
        <f aca="false">IF($A19="","",IFERROR(1/(1/IF($B19="Residential",SUMIFS(INDEX('Oxford Economics'!$A$7:$AZ$1000,0,IFERROR(MATCH(AL$5,'Oxford Economics'!$A$6:$AZ$6,0),MATCH(AL$5&amp;"",'Oxford Economics'!$A$6:$AZ$6,0))),'Oxford Economics'!$A$7:$A$1000,$C19,'Oxford Economics'!$B$7:$B$1000,Settings!$B$11)-SUMIFS(INDEX('Oxford Economics'!$A$7:$AZ$1000,0,IFERROR(MATCH(AL$5,'Oxford Economics'!$A$6:$AZ$6,0),MATCH(AL$5&amp;"",'Oxford Economics'!$A$6:$AZ$6,0))),'Oxford Economics'!$A$7:$A$1000,$C19,'Oxford Economics'!$B$7:$B$1000,Settings!$B$13),SUMIFS(INDEX('Oxford Economics'!$A$7:$AZ$1000,0,IFERROR(MATCH(AL$5,'Oxford Economics'!$A$6:$AZ$6,0),MATCH(AL$5&amp;"",'Oxford Economics'!$A$6:$AZ$6,0))),'Oxford Economics'!$A$7:$A$1000,$C19,'Oxford Economics'!$B$7:$B$1000,Settings!$B$13)+SUMIFS(INDEX('Oxford Economics'!$A$7:$AZ$1000,0,IFERROR(MATCH(AL$5,'Oxford Economics'!$A$6:$AZ$6,0),MATCH(AL$5&amp;"",'Oxford Economics'!$A$6:$AZ$6,0))),'Oxford Economics'!$A$7:$A$1000,$C19,'Oxford Economics'!$B$7:$B$1000,Settings!$B$15)+IF(Settings!$B$17="",0,SUMIFS(INDEX('Oxford Economics'!$A$7:$AZ$1000,0,IFERROR(MATCH(AL$5,'Oxford Economics'!$A$6:$AZ$6,0),MATCH(AL$5&amp;"",'Oxford Economics'!$A$6:$AZ$6,0))),'Oxford Economics'!$A$7:$A$1000,$C19,'Oxford Economics'!$B$7:$B$1000,Settings!$B$17)))),""))</f>
        <v>1858.81</v>
      </c>
      <c r="AM19" s="37" t="n">
        <f aca="false">IF($A19="","",IFERROR(1/(1/IF($B19="Residential",SUMIFS(INDEX('Oxford Economics'!$A$7:$AZ$1000,0,IFERROR(MATCH(AM$5,'Oxford Economics'!$A$6:$AZ$6,0),MATCH(AM$5&amp;"",'Oxford Economics'!$A$6:$AZ$6,0))),'Oxford Economics'!$A$7:$A$1000,$C19,'Oxford Economics'!$B$7:$B$1000,Settings!$B$11)-SUMIFS(INDEX('Oxford Economics'!$A$7:$AZ$1000,0,IFERROR(MATCH(AM$5,'Oxford Economics'!$A$6:$AZ$6,0),MATCH(AM$5&amp;"",'Oxford Economics'!$A$6:$AZ$6,0))),'Oxford Economics'!$A$7:$A$1000,$C19,'Oxford Economics'!$B$7:$B$1000,Settings!$B$13),SUMIFS(INDEX('Oxford Economics'!$A$7:$AZ$1000,0,IFERROR(MATCH(AM$5,'Oxford Economics'!$A$6:$AZ$6,0),MATCH(AM$5&amp;"",'Oxford Economics'!$A$6:$AZ$6,0))),'Oxford Economics'!$A$7:$A$1000,$C19,'Oxford Economics'!$B$7:$B$1000,Settings!$B$13)+SUMIFS(INDEX('Oxford Economics'!$A$7:$AZ$1000,0,IFERROR(MATCH(AM$5,'Oxford Economics'!$A$6:$AZ$6,0),MATCH(AM$5&amp;"",'Oxford Economics'!$A$6:$AZ$6,0))),'Oxford Economics'!$A$7:$A$1000,$C19,'Oxford Economics'!$B$7:$B$1000,Settings!$B$15)+IF(Settings!$B$17="",0,SUMIFS(INDEX('Oxford Economics'!$A$7:$AZ$1000,0,IFERROR(MATCH(AM$5,'Oxford Economics'!$A$6:$AZ$6,0),MATCH(AM$5&amp;"",'Oxford Economics'!$A$6:$AZ$6,0))),'Oxford Economics'!$A$7:$A$1000,$C19,'Oxford Economics'!$B$7:$B$1000,Settings!$B$17)))),""))</f>
        <v>1975.45</v>
      </c>
    </row>
    <row r="20" customFormat="false" ht="15" hidden="false" customHeight="false" outlineLevel="0" collapsed="false">
      <c r="A20" s="36" t="str">
        <f aca="false">IF('Raw data'!$A20="","",'Raw data'!$A20)</f>
        <v>Denmark</v>
      </c>
      <c r="B20" s="36" t="str">
        <f aca="false">IF($A20="","",'Raw data'!$C20)</f>
        <v>Residential</v>
      </c>
      <c r="C20" s="36" t="str">
        <f aca="false">IF($A20="","",IF('Raw data'!$D20="",$A20,'Raw data'!$D20))</f>
        <v>Denmark</v>
      </c>
      <c r="D20" s="37" t="n">
        <f aca="false">IF($A20="","",IF(AND(ISNUMBER(P20),ISNUMBER(AB20)),P20+AB20,""))</f>
        <v>10258.15</v>
      </c>
      <c r="E20" s="37" t="n">
        <f aca="false">IF($A20="","",IF(AND(ISNUMBER(Q20),ISNUMBER(AC20)),Q20+AC20,""))</f>
        <v>11393.66</v>
      </c>
      <c r="F20" s="37" t="n">
        <f aca="false">IF($A20="","",IF(AND(ISNUMBER(R20),ISNUMBER(AD20)),R20+AD20,""))</f>
        <v>11091.08</v>
      </c>
      <c r="G20" s="37" t="n">
        <f aca="false">IF($A20="","",IF(AND(ISNUMBER(S20),ISNUMBER(AE20)),S20+AE20,""))</f>
        <v>10945.12</v>
      </c>
      <c r="H20" s="37" t="n">
        <f aca="false">IF($A20="","",IF(AND(ISNUMBER(T20),ISNUMBER(AF20)),T20+AF20,""))</f>
        <v>12310.5</v>
      </c>
      <c r="I20" s="37" t="n">
        <f aca="false">IF($A20="","",IF(AND(ISNUMBER(U20),ISNUMBER(AG20)),U20+AG20,""))</f>
        <v>12045.18</v>
      </c>
      <c r="J20" s="37" t="n">
        <f aca="false">IF($A20="","",IF(AND(ISNUMBER(V20),ISNUMBER(AH20)),V20+AH20,""))</f>
        <v>11406.58</v>
      </c>
      <c r="K20" s="37" t="n">
        <f aca="false">IF($A20="","",IF(AND(ISNUMBER(W20),ISNUMBER(AI20)),W20+AI20,""))</f>
        <v>11757.35</v>
      </c>
      <c r="L20" s="37" t="n">
        <f aca="false">IF($A20="","",IF(AND(ISNUMBER(X20),ISNUMBER(AJ20)),X20+AJ20,""))</f>
        <v>12016.43</v>
      </c>
      <c r="M20" s="37" t="n">
        <f aca="false">IF($A20="","",IF(AND(ISNUMBER(Y20),ISNUMBER(AK20)),Y20+AK20,""))</f>
        <v>12239.31</v>
      </c>
      <c r="N20" s="37" t="n">
        <f aca="false">IF($A20="","",IF(AND(ISNUMBER(Z20),ISNUMBER(AL20)),Z20+AL20,""))</f>
        <v>12388.16</v>
      </c>
      <c r="O20" s="37" t="n">
        <f aca="false">IF($A20="","",IF(AND(ISNUMBER(AA20),ISNUMBER(AM20)),AA20+AM20,""))</f>
        <v>12480.02</v>
      </c>
      <c r="P20" s="37" t="n">
        <f aca="false">IF($A20="","",IFERROR(1/(1/IF($B20="Residential",SUMIFS(INDEX('Oxford Economics'!$A$7:$AZ$1000,0,IFERROR(MATCH(P$5,'Oxford Economics'!$A$6:$AZ$6,0),MATCH(P$5&amp;"",'Oxford Economics'!$A$6:$AZ$6,0))),'Oxford Economics'!$A$7:$A$1000,$C20,'Oxford Economics'!$B$7:$B$1000,Settings!$B$12)-SUMIFS(INDEX('Oxford Economics'!$A$7:$AZ$1000,0,IFERROR(MATCH(P$5,'Oxford Economics'!$A$6:$AZ$6,0),MATCH(P$5&amp;"",'Oxford Economics'!$A$6:$AZ$6,0))),'Oxford Economics'!$A$7:$A$1000,$C20,'Oxford Economics'!$B$7:$B$1000,Settings!$B$14),SUMIFS(INDEX('Oxford Economics'!$A$7:$AZ$1000,0,IFERROR(MATCH(P$5,'Oxford Economics'!$A$6:$AZ$6,0),MATCH(P$5&amp;"",'Oxford Economics'!$A$6:$AZ$6,0))),'Oxford Economics'!$A$7:$A$1000,$C20,'Oxford Economics'!$B$7:$B$1000,Settings!$B$14)+SUMIFS(INDEX('Oxford Economics'!$A$7:$AZ$1000,0,IFERROR(MATCH(P$5,'Oxford Economics'!$A$6:$AZ$6,0),MATCH(P$5&amp;"",'Oxford Economics'!$A$6:$AZ$6,0))),'Oxford Economics'!$A$7:$A$1000,$C20,'Oxford Economics'!$B$7:$B$1000,Settings!$B$16)+IF(Settings!$B$18="",0,SUMIFS(INDEX('Oxford Economics'!$A$7:$AZ$1000,0,IFERROR(MATCH(P$5,'Oxford Economics'!$A$6:$AZ$6,0),MATCH(P$5&amp;"",'Oxford Economics'!$A$6:$AZ$6,0))),'Oxford Economics'!$A$7:$A$1000,$C20,'Oxford Economics'!$B$7:$B$1000,Settings!$B$18)))),""))</f>
        <v>7413.64</v>
      </c>
      <c r="Q20" s="37" t="n">
        <f aca="false">IF($A20="","",IFERROR(1/(1/IF($B20="Residential",SUMIFS(INDEX('Oxford Economics'!$A$7:$AZ$1000,0,IFERROR(MATCH(Q$5,'Oxford Economics'!$A$6:$AZ$6,0),MATCH(Q$5&amp;"",'Oxford Economics'!$A$6:$AZ$6,0))),'Oxford Economics'!$A$7:$A$1000,$C20,'Oxford Economics'!$B$7:$B$1000,Settings!$B$12)-SUMIFS(INDEX('Oxford Economics'!$A$7:$AZ$1000,0,IFERROR(MATCH(Q$5,'Oxford Economics'!$A$6:$AZ$6,0),MATCH(Q$5&amp;"",'Oxford Economics'!$A$6:$AZ$6,0))),'Oxford Economics'!$A$7:$A$1000,$C20,'Oxford Economics'!$B$7:$B$1000,Settings!$B$14),SUMIFS(INDEX('Oxford Economics'!$A$7:$AZ$1000,0,IFERROR(MATCH(Q$5,'Oxford Economics'!$A$6:$AZ$6,0),MATCH(Q$5&amp;"",'Oxford Economics'!$A$6:$AZ$6,0))),'Oxford Economics'!$A$7:$A$1000,$C20,'Oxford Economics'!$B$7:$B$1000,Settings!$B$14)+SUMIFS(INDEX('Oxford Economics'!$A$7:$AZ$1000,0,IFERROR(MATCH(Q$5,'Oxford Economics'!$A$6:$AZ$6,0),MATCH(Q$5&amp;"",'Oxford Economics'!$A$6:$AZ$6,0))),'Oxford Economics'!$A$7:$A$1000,$C20,'Oxford Economics'!$B$7:$B$1000,Settings!$B$16)+IF(Settings!$B$18="",0,SUMIFS(INDEX('Oxford Economics'!$A$7:$AZ$1000,0,IFERROR(MATCH(Q$5,'Oxford Economics'!$A$6:$AZ$6,0),MATCH(Q$5&amp;"",'Oxford Economics'!$A$6:$AZ$6,0))),'Oxford Economics'!$A$7:$A$1000,$C20,'Oxford Economics'!$B$7:$B$1000,Settings!$B$18)))),""))</f>
        <v>8287.25</v>
      </c>
      <c r="R20" s="37" t="n">
        <f aca="false">IF($A20="","",IFERROR(1/(1/IF($B20="Residential",SUMIFS(INDEX('Oxford Economics'!$A$7:$AZ$1000,0,IFERROR(MATCH(R$5,'Oxford Economics'!$A$6:$AZ$6,0),MATCH(R$5&amp;"",'Oxford Economics'!$A$6:$AZ$6,0))),'Oxford Economics'!$A$7:$A$1000,$C20,'Oxford Economics'!$B$7:$B$1000,Settings!$B$12)-SUMIFS(INDEX('Oxford Economics'!$A$7:$AZ$1000,0,IFERROR(MATCH(R$5,'Oxford Economics'!$A$6:$AZ$6,0),MATCH(R$5&amp;"",'Oxford Economics'!$A$6:$AZ$6,0))),'Oxford Economics'!$A$7:$A$1000,$C20,'Oxford Economics'!$B$7:$B$1000,Settings!$B$14),SUMIFS(INDEX('Oxford Economics'!$A$7:$AZ$1000,0,IFERROR(MATCH(R$5,'Oxford Economics'!$A$6:$AZ$6,0),MATCH(R$5&amp;"",'Oxford Economics'!$A$6:$AZ$6,0))),'Oxford Economics'!$A$7:$A$1000,$C20,'Oxford Economics'!$B$7:$B$1000,Settings!$B$14)+SUMIFS(INDEX('Oxford Economics'!$A$7:$AZ$1000,0,IFERROR(MATCH(R$5,'Oxford Economics'!$A$6:$AZ$6,0),MATCH(R$5&amp;"",'Oxford Economics'!$A$6:$AZ$6,0))),'Oxford Economics'!$A$7:$A$1000,$C20,'Oxford Economics'!$B$7:$B$1000,Settings!$B$16)+IF(Settings!$B$18="",0,SUMIFS(INDEX('Oxford Economics'!$A$7:$AZ$1000,0,IFERROR(MATCH(R$5,'Oxford Economics'!$A$6:$AZ$6,0),MATCH(R$5&amp;"",'Oxford Economics'!$A$6:$AZ$6,0))),'Oxford Economics'!$A$7:$A$1000,$C20,'Oxford Economics'!$B$7:$B$1000,Settings!$B$18)))),""))</f>
        <v>8191.36</v>
      </c>
      <c r="S20" s="37" t="n">
        <f aca="false">IF($A20="","",IFERROR(1/(1/IF($B20="Residential",SUMIFS(INDEX('Oxford Economics'!$A$7:$AZ$1000,0,IFERROR(MATCH(S$5,'Oxford Economics'!$A$6:$AZ$6,0),MATCH(S$5&amp;"",'Oxford Economics'!$A$6:$AZ$6,0))),'Oxford Economics'!$A$7:$A$1000,$C20,'Oxford Economics'!$B$7:$B$1000,Settings!$B$12)-SUMIFS(INDEX('Oxford Economics'!$A$7:$AZ$1000,0,IFERROR(MATCH(S$5,'Oxford Economics'!$A$6:$AZ$6,0),MATCH(S$5&amp;"",'Oxford Economics'!$A$6:$AZ$6,0))),'Oxford Economics'!$A$7:$A$1000,$C20,'Oxford Economics'!$B$7:$B$1000,Settings!$B$14),SUMIFS(INDEX('Oxford Economics'!$A$7:$AZ$1000,0,IFERROR(MATCH(S$5,'Oxford Economics'!$A$6:$AZ$6,0),MATCH(S$5&amp;"",'Oxford Economics'!$A$6:$AZ$6,0))),'Oxford Economics'!$A$7:$A$1000,$C20,'Oxford Economics'!$B$7:$B$1000,Settings!$B$14)+SUMIFS(INDEX('Oxford Economics'!$A$7:$AZ$1000,0,IFERROR(MATCH(S$5,'Oxford Economics'!$A$6:$AZ$6,0),MATCH(S$5&amp;"",'Oxford Economics'!$A$6:$AZ$6,0))),'Oxford Economics'!$A$7:$A$1000,$C20,'Oxford Economics'!$B$7:$B$1000,Settings!$B$16)+IF(Settings!$B$18="",0,SUMIFS(INDEX('Oxford Economics'!$A$7:$AZ$1000,0,IFERROR(MATCH(S$5,'Oxford Economics'!$A$6:$AZ$6,0),MATCH(S$5&amp;"",'Oxford Economics'!$A$6:$AZ$6,0))),'Oxford Economics'!$A$7:$A$1000,$C20,'Oxford Economics'!$B$7:$B$1000,Settings!$B$18)))),""))</f>
        <v>8845.66</v>
      </c>
      <c r="T20" s="37" t="n">
        <f aca="false">IF($A20="","",IFERROR(1/(1/IF($B20="Residential",SUMIFS(INDEX('Oxford Economics'!$A$7:$AZ$1000,0,IFERROR(MATCH(T$5,'Oxford Economics'!$A$6:$AZ$6,0),MATCH(T$5&amp;"",'Oxford Economics'!$A$6:$AZ$6,0))),'Oxford Economics'!$A$7:$A$1000,$C20,'Oxford Economics'!$B$7:$B$1000,Settings!$B$12)-SUMIFS(INDEX('Oxford Economics'!$A$7:$AZ$1000,0,IFERROR(MATCH(T$5,'Oxford Economics'!$A$6:$AZ$6,0),MATCH(T$5&amp;"",'Oxford Economics'!$A$6:$AZ$6,0))),'Oxford Economics'!$A$7:$A$1000,$C20,'Oxford Economics'!$B$7:$B$1000,Settings!$B$14),SUMIFS(INDEX('Oxford Economics'!$A$7:$AZ$1000,0,IFERROR(MATCH(T$5,'Oxford Economics'!$A$6:$AZ$6,0),MATCH(T$5&amp;"",'Oxford Economics'!$A$6:$AZ$6,0))),'Oxford Economics'!$A$7:$A$1000,$C20,'Oxford Economics'!$B$7:$B$1000,Settings!$B$14)+SUMIFS(INDEX('Oxford Economics'!$A$7:$AZ$1000,0,IFERROR(MATCH(T$5,'Oxford Economics'!$A$6:$AZ$6,0),MATCH(T$5&amp;"",'Oxford Economics'!$A$6:$AZ$6,0))),'Oxford Economics'!$A$7:$A$1000,$C20,'Oxford Economics'!$B$7:$B$1000,Settings!$B$16)+IF(Settings!$B$18="",0,SUMIFS(INDEX('Oxford Economics'!$A$7:$AZ$1000,0,IFERROR(MATCH(T$5,'Oxford Economics'!$A$6:$AZ$6,0),MATCH(T$5&amp;"",'Oxford Economics'!$A$6:$AZ$6,0))),'Oxford Economics'!$A$7:$A$1000,$C20,'Oxford Economics'!$B$7:$B$1000,Settings!$B$18)))),""))</f>
        <v>10156.21</v>
      </c>
      <c r="U20" s="37" t="n">
        <f aca="false">IF($A20="","",IFERROR(1/(1/IF($B20="Residential",SUMIFS(INDEX('Oxford Economics'!$A$7:$AZ$1000,0,IFERROR(MATCH(U$5,'Oxford Economics'!$A$6:$AZ$6,0),MATCH(U$5&amp;"",'Oxford Economics'!$A$6:$AZ$6,0))),'Oxford Economics'!$A$7:$A$1000,$C20,'Oxford Economics'!$B$7:$B$1000,Settings!$B$12)-SUMIFS(INDEX('Oxford Economics'!$A$7:$AZ$1000,0,IFERROR(MATCH(U$5,'Oxford Economics'!$A$6:$AZ$6,0),MATCH(U$5&amp;"",'Oxford Economics'!$A$6:$AZ$6,0))),'Oxford Economics'!$A$7:$A$1000,$C20,'Oxford Economics'!$B$7:$B$1000,Settings!$B$14),SUMIFS(INDEX('Oxford Economics'!$A$7:$AZ$1000,0,IFERROR(MATCH(U$5,'Oxford Economics'!$A$6:$AZ$6,0),MATCH(U$5&amp;"",'Oxford Economics'!$A$6:$AZ$6,0))),'Oxford Economics'!$A$7:$A$1000,$C20,'Oxford Economics'!$B$7:$B$1000,Settings!$B$14)+SUMIFS(INDEX('Oxford Economics'!$A$7:$AZ$1000,0,IFERROR(MATCH(U$5,'Oxford Economics'!$A$6:$AZ$6,0),MATCH(U$5&amp;"",'Oxford Economics'!$A$6:$AZ$6,0))),'Oxford Economics'!$A$7:$A$1000,$C20,'Oxford Economics'!$B$7:$B$1000,Settings!$B$16)+IF(Settings!$B$18="",0,SUMIFS(INDEX('Oxford Economics'!$A$7:$AZ$1000,0,IFERROR(MATCH(U$5,'Oxford Economics'!$A$6:$AZ$6,0),MATCH(U$5&amp;"",'Oxford Economics'!$A$6:$AZ$6,0))),'Oxford Economics'!$A$7:$A$1000,$C20,'Oxford Economics'!$B$7:$B$1000,Settings!$B$18)))),""))</f>
        <v>9839.11</v>
      </c>
      <c r="V20" s="37" t="n">
        <f aca="false">IF($A20="","",IFERROR(1/(1/IF($B20="Residential",SUMIFS(INDEX('Oxford Economics'!$A$7:$AZ$1000,0,IFERROR(MATCH(V$5,'Oxford Economics'!$A$6:$AZ$6,0),MATCH(V$5&amp;"",'Oxford Economics'!$A$6:$AZ$6,0))),'Oxford Economics'!$A$7:$A$1000,$C20,'Oxford Economics'!$B$7:$B$1000,Settings!$B$12)-SUMIFS(INDEX('Oxford Economics'!$A$7:$AZ$1000,0,IFERROR(MATCH(V$5,'Oxford Economics'!$A$6:$AZ$6,0),MATCH(V$5&amp;"",'Oxford Economics'!$A$6:$AZ$6,0))),'Oxford Economics'!$A$7:$A$1000,$C20,'Oxford Economics'!$B$7:$B$1000,Settings!$B$14),SUMIFS(INDEX('Oxford Economics'!$A$7:$AZ$1000,0,IFERROR(MATCH(V$5,'Oxford Economics'!$A$6:$AZ$6,0),MATCH(V$5&amp;"",'Oxford Economics'!$A$6:$AZ$6,0))),'Oxford Economics'!$A$7:$A$1000,$C20,'Oxford Economics'!$B$7:$B$1000,Settings!$B$14)+SUMIFS(INDEX('Oxford Economics'!$A$7:$AZ$1000,0,IFERROR(MATCH(V$5,'Oxford Economics'!$A$6:$AZ$6,0),MATCH(V$5&amp;"",'Oxford Economics'!$A$6:$AZ$6,0))),'Oxford Economics'!$A$7:$A$1000,$C20,'Oxford Economics'!$B$7:$B$1000,Settings!$B$16)+IF(Settings!$B$18="",0,SUMIFS(INDEX('Oxford Economics'!$A$7:$AZ$1000,0,IFERROR(MATCH(V$5,'Oxford Economics'!$A$6:$AZ$6,0),MATCH(V$5&amp;"",'Oxford Economics'!$A$6:$AZ$6,0))),'Oxford Economics'!$A$7:$A$1000,$C20,'Oxford Economics'!$B$7:$B$1000,Settings!$B$18)))),""))</f>
        <v>9341.1</v>
      </c>
      <c r="W20" s="37" t="n">
        <f aca="false">IF($A20="","",IFERROR(1/(1/IF($B20="Residential",SUMIFS(INDEX('Oxford Economics'!$A$7:$AZ$1000,0,IFERROR(MATCH(W$5,'Oxford Economics'!$A$6:$AZ$6,0),MATCH(W$5&amp;"",'Oxford Economics'!$A$6:$AZ$6,0))),'Oxford Economics'!$A$7:$A$1000,$C20,'Oxford Economics'!$B$7:$B$1000,Settings!$B$12)-SUMIFS(INDEX('Oxford Economics'!$A$7:$AZ$1000,0,IFERROR(MATCH(W$5,'Oxford Economics'!$A$6:$AZ$6,0),MATCH(W$5&amp;"",'Oxford Economics'!$A$6:$AZ$6,0))),'Oxford Economics'!$A$7:$A$1000,$C20,'Oxford Economics'!$B$7:$B$1000,Settings!$B$14),SUMIFS(INDEX('Oxford Economics'!$A$7:$AZ$1000,0,IFERROR(MATCH(W$5,'Oxford Economics'!$A$6:$AZ$6,0),MATCH(W$5&amp;"",'Oxford Economics'!$A$6:$AZ$6,0))),'Oxford Economics'!$A$7:$A$1000,$C20,'Oxford Economics'!$B$7:$B$1000,Settings!$B$14)+SUMIFS(INDEX('Oxford Economics'!$A$7:$AZ$1000,0,IFERROR(MATCH(W$5,'Oxford Economics'!$A$6:$AZ$6,0),MATCH(W$5&amp;"",'Oxford Economics'!$A$6:$AZ$6,0))),'Oxford Economics'!$A$7:$A$1000,$C20,'Oxford Economics'!$B$7:$B$1000,Settings!$B$16)+IF(Settings!$B$18="",0,SUMIFS(INDEX('Oxford Economics'!$A$7:$AZ$1000,0,IFERROR(MATCH(W$5,'Oxford Economics'!$A$6:$AZ$6,0),MATCH(W$5&amp;"",'Oxford Economics'!$A$6:$AZ$6,0))),'Oxford Economics'!$A$7:$A$1000,$C20,'Oxford Economics'!$B$7:$B$1000,Settings!$B$18)))),""))</f>
        <v>9919.69</v>
      </c>
      <c r="X20" s="37" t="n">
        <f aca="false">IF($A20="","",IFERROR(1/(1/IF($B20="Residential",SUMIFS(INDEX('Oxford Economics'!$A$7:$AZ$1000,0,IFERROR(MATCH(X$5,'Oxford Economics'!$A$6:$AZ$6,0),MATCH(X$5&amp;"",'Oxford Economics'!$A$6:$AZ$6,0))),'Oxford Economics'!$A$7:$A$1000,$C20,'Oxford Economics'!$B$7:$B$1000,Settings!$B$12)-SUMIFS(INDEX('Oxford Economics'!$A$7:$AZ$1000,0,IFERROR(MATCH(X$5,'Oxford Economics'!$A$6:$AZ$6,0),MATCH(X$5&amp;"",'Oxford Economics'!$A$6:$AZ$6,0))),'Oxford Economics'!$A$7:$A$1000,$C20,'Oxford Economics'!$B$7:$B$1000,Settings!$B$14),SUMIFS(INDEX('Oxford Economics'!$A$7:$AZ$1000,0,IFERROR(MATCH(X$5,'Oxford Economics'!$A$6:$AZ$6,0),MATCH(X$5&amp;"",'Oxford Economics'!$A$6:$AZ$6,0))),'Oxford Economics'!$A$7:$A$1000,$C20,'Oxford Economics'!$B$7:$B$1000,Settings!$B$14)+SUMIFS(INDEX('Oxford Economics'!$A$7:$AZ$1000,0,IFERROR(MATCH(X$5,'Oxford Economics'!$A$6:$AZ$6,0),MATCH(X$5&amp;"",'Oxford Economics'!$A$6:$AZ$6,0))),'Oxford Economics'!$A$7:$A$1000,$C20,'Oxford Economics'!$B$7:$B$1000,Settings!$B$16)+IF(Settings!$B$18="",0,SUMIFS(INDEX('Oxford Economics'!$A$7:$AZ$1000,0,IFERROR(MATCH(X$5,'Oxford Economics'!$A$6:$AZ$6,0),MATCH(X$5&amp;"",'Oxford Economics'!$A$6:$AZ$6,0))),'Oxford Economics'!$A$7:$A$1000,$C20,'Oxford Economics'!$B$7:$B$1000,Settings!$B$18)))),""))</f>
        <v>10244.87</v>
      </c>
      <c r="Y20" s="37" t="n">
        <f aca="false">IF($A20="","",IFERROR(1/(1/IF($B20="Residential",SUMIFS(INDEX('Oxford Economics'!$A$7:$AZ$1000,0,IFERROR(MATCH(Y$5,'Oxford Economics'!$A$6:$AZ$6,0),MATCH(Y$5&amp;"",'Oxford Economics'!$A$6:$AZ$6,0))),'Oxford Economics'!$A$7:$A$1000,$C20,'Oxford Economics'!$B$7:$B$1000,Settings!$B$12)-SUMIFS(INDEX('Oxford Economics'!$A$7:$AZ$1000,0,IFERROR(MATCH(Y$5,'Oxford Economics'!$A$6:$AZ$6,0),MATCH(Y$5&amp;"",'Oxford Economics'!$A$6:$AZ$6,0))),'Oxford Economics'!$A$7:$A$1000,$C20,'Oxford Economics'!$B$7:$B$1000,Settings!$B$14),SUMIFS(INDEX('Oxford Economics'!$A$7:$AZ$1000,0,IFERROR(MATCH(Y$5,'Oxford Economics'!$A$6:$AZ$6,0),MATCH(Y$5&amp;"",'Oxford Economics'!$A$6:$AZ$6,0))),'Oxford Economics'!$A$7:$A$1000,$C20,'Oxford Economics'!$B$7:$B$1000,Settings!$B$14)+SUMIFS(INDEX('Oxford Economics'!$A$7:$AZ$1000,0,IFERROR(MATCH(Y$5,'Oxford Economics'!$A$6:$AZ$6,0),MATCH(Y$5&amp;"",'Oxford Economics'!$A$6:$AZ$6,0))),'Oxford Economics'!$A$7:$A$1000,$C20,'Oxford Economics'!$B$7:$B$1000,Settings!$B$16)+IF(Settings!$B$18="",0,SUMIFS(INDEX('Oxford Economics'!$A$7:$AZ$1000,0,IFERROR(MATCH(Y$5,'Oxford Economics'!$A$6:$AZ$6,0),MATCH(Y$5&amp;"",'Oxford Economics'!$A$6:$AZ$6,0))),'Oxford Economics'!$A$7:$A$1000,$C20,'Oxford Economics'!$B$7:$B$1000,Settings!$B$18)))),""))</f>
        <v>10484.1</v>
      </c>
      <c r="Z20" s="37" t="n">
        <f aca="false">IF($A20="","",IFERROR(1/(1/IF($B20="Residential",SUMIFS(INDEX('Oxford Economics'!$A$7:$AZ$1000,0,IFERROR(MATCH(Z$5,'Oxford Economics'!$A$6:$AZ$6,0),MATCH(Z$5&amp;"",'Oxford Economics'!$A$6:$AZ$6,0))),'Oxford Economics'!$A$7:$A$1000,$C20,'Oxford Economics'!$B$7:$B$1000,Settings!$B$12)-SUMIFS(INDEX('Oxford Economics'!$A$7:$AZ$1000,0,IFERROR(MATCH(Z$5,'Oxford Economics'!$A$6:$AZ$6,0),MATCH(Z$5&amp;"",'Oxford Economics'!$A$6:$AZ$6,0))),'Oxford Economics'!$A$7:$A$1000,$C20,'Oxford Economics'!$B$7:$B$1000,Settings!$B$14),SUMIFS(INDEX('Oxford Economics'!$A$7:$AZ$1000,0,IFERROR(MATCH(Z$5,'Oxford Economics'!$A$6:$AZ$6,0),MATCH(Z$5&amp;"",'Oxford Economics'!$A$6:$AZ$6,0))),'Oxford Economics'!$A$7:$A$1000,$C20,'Oxford Economics'!$B$7:$B$1000,Settings!$B$14)+SUMIFS(INDEX('Oxford Economics'!$A$7:$AZ$1000,0,IFERROR(MATCH(Z$5,'Oxford Economics'!$A$6:$AZ$6,0),MATCH(Z$5&amp;"",'Oxford Economics'!$A$6:$AZ$6,0))),'Oxford Economics'!$A$7:$A$1000,$C20,'Oxford Economics'!$B$7:$B$1000,Settings!$B$16)+IF(Settings!$B$18="",0,SUMIFS(INDEX('Oxford Economics'!$A$7:$AZ$1000,0,IFERROR(MATCH(Z$5,'Oxford Economics'!$A$6:$AZ$6,0),MATCH(Z$5&amp;"",'Oxford Economics'!$A$6:$AZ$6,0))),'Oxford Economics'!$A$7:$A$1000,$C20,'Oxford Economics'!$B$7:$B$1000,Settings!$B$18)))),""))</f>
        <v>10640.23</v>
      </c>
      <c r="AA20" s="37" t="n">
        <f aca="false">IF($A20="","",IFERROR(1/(1/IF($B20="Residential",SUMIFS(INDEX('Oxford Economics'!$A$7:$AZ$1000,0,IFERROR(MATCH(AA$5,'Oxford Economics'!$A$6:$AZ$6,0),MATCH(AA$5&amp;"",'Oxford Economics'!$A$6:$AZ$6,0))),'Oxford Economics'!$A$7:$A$1000,$C20,'Oxford Economics'!$B$7:$B$1000,Settings!$B$12)-SUMIFS(INDEX('Oxford Economics'!$A$7:$AZ$1000,0,IFERROR(MATCH(AA$5,'Oxford Economics'!$A$6:$AZ$6,0),MATCH(AA$5&amp;"",'Oxford Economics'!$A$6:$AZ$6,0))),'Oxford Economics'!$A$7:$A$1000,$C20,'Oxford Economics'!$B$7:$B$1000,Settings!$B$14),SUMIFS(INDEX('Oxford Economics'!$A$7:$AZ$1000,0,IFERROR(MATCH(AA$5,'Oxford Economics'!$A$6:$AZ$6,0),MATCH(AA$5&amp;"",'Oxford Economics'!$A$6:$AZ$6,0))),'Oxford Economics'!$A$7:$A$1000,$C20,'Oxford Economics'!$B$7:$B$1000,Settings!$B$14)+SUMIFS(INDEX('Oxford Economics'!$A$7:$AZ$1000,0,IFERROR(MATCH(AA$5,'Oxford Economics'!$A$6:$AZ$6,0),MATCH(AA$5&amp;"",'Oxford Economics'!$A$6:$AZ$6,0))),'Oxford Economics'!$A$7:$A$1000,$C20,'Oxford Economics'!$B$7:$B$1000,Settings!$B$16)+IF(Settings!$B$18="",0,SUMIFS(INDEX('Oxford Economics'!$A$7:$AZ$1000,0,IFERROR(MATCH(AA$5,'Oxford Economics'!$A$6:$AZ$6,0),MATCH(AA$5&amp;"",'Oxford Economics'!$A$6:$AZ$6,0))),'Oxford Economics'!$A$7:$A$1000,$C20,'Oxford Economics'!$B$7:$B$1000,Settings!$B$18)))),""))</f>
        <v>10732.64</v>
      </c>
      <c r="AB20" s="37" t="n">
        <f aca="false">IF($A20="","",IFERROR(1/(1/IF($B20="Residential",SUMIFS(INDEX('Oxford Economics'!$A$7:$AZ$1000,0,IFERROR(MATCH(AB$5,'Oxford Economics'!$A$6:$AZ$6,0),MATCH(AB$5&amp;"",'Oxford Economics'!$A$6:$AZ$6,0))),'Oxford Economics'!$A$7:$A$1000,$C20,'Oxford Economics'!$B$7:$B$1000,Settings!$B$11)-SUMIFS(INDEX('Oxford Economics'!$A$7:$AZ$1000,0,IFERROR(MATCH(AB$5,'Oxford Economics'!$A$6:$AZ$6,0),MATCH(AB$5&amp;"",'Oxford Economics'!$A$6:$AZ$6,0))),'Oxford Economics'!$A$7:$A$1000,$C20,'Oxford Economics'!$B$7:$B$1000,Settings!$B$13),SUMIFS(INDEX('Oxford Economics'!$A$7:$AZ$1000,0,IFERROR(MATCH(AB$5,'Oxford Economics'!$A$6:$AZ$6,0),MATCH(AB$5&amp;"",'Oxford Economics'!$A$6:$AZ$6,0))),'Oxford Economics'!$A$7:$A$1000,$C20,'Oxford Economics'!$B$7:$B$1000,Settings!$B$13)+SUMIFS(INDEX('Oxford Economics'!$A$7:$AZ$1000,0,IFERROR(MATCH(AB$5,'Oxford Economics'!$A$6:$AZ$6,0),MATCH(AB$5&amp;"",'Oxford Economics'!$A$6:$AZ$6,0))),'Oxford Economics'!$A$7:$A$1000,$C20,'Oxford Economics'!$B$7:$B$1000,Settings!$B$15)+IF(Settings!$B$17="",0,SUMIFS(INDEX('Oxford Economics'!$A$7:$AZ$1000,0,IFERROR(MATCH(AB$5,'Oxford Economics'!$A$6:$AZ$6,0),MATCH(AB$5&amp;"",'Oxford Economics'!$A$6:$AZ$6,0))),'Oxford Economics'!$A$7:$A$1000,$C20,'Oxford Economics'!$B$7:$B$1000,Settings!$B$17)))),""))</f>
        <v>2844.51</v>
      </c>
      <c r="AC20" s="37" t="n">
        <f aca="false">IF($A20="","",IFERROR(1/(1/IF($B20="Residential",SUMIFS(INDEX('Oxford Economics'!$A$7:$AZ$1000,0,IFERROR(MATCH(AC$5,'Oxford Economics'!$A$6:$AZ$6,0),MATCH(AC$5&amp;"",'Oxford Economics'!$A$6:$AZ$6,0))),'Oxford Economics'!$A$7:$A$1000,$C20,'Oxford Economics'!$B$7:$B$1000,Settings!$B$11)-SUMIFS(INDEX('Oxford Economics'!$A$7:$AZ$1000,0,IFERROR(MATCH(AC$5,'Oxford Economics'!$A$6:$AZ$6,0),MATCH(AC$5&amp;"",'Oxford Economics'!$A$6:$AZ$6,0))),'Oxford Economics'!$A$7:$A$1000,$C20,'Oxford Economics'!$B$7:$B$1000,Settings!$B$13),SUMIFS(INDEX('Oxford Economics'!$A$7:$AZ$1000,0,IFERROR(MATCH(AC$5,'Oxford Economics'!$A$6:$AZ$6,0),MATCH(AC$5&amp;"",'Oxford Economics'!$A$6:$AZ$6,0))),'Oxford Economics'!$A$7:$A$1000,$C20,'Oxford Economics'!$B$7:$B$1000,Settings!$B$13)+SUMIFS(INDEX('Oxford Economics'!$A$7:$AZ$1000,0,IFERROR(MATCH(AC$5,'Oxford Economics'!$A$6:$AZ$6,0),MATCH(AC$5&amp;"",'Oxford Economics'!$A$6:$AZ$6,0))),'Oxford Economics'!$A$7:$A$1000,$C20,'Oxford Economics'!$B$7:$B$1000,Settings!$B$15)+IF(Settings!$B$17="",0,SUMIFS(INDEX('Oxford Economics'!$A$7:$AZ$1000,0,IFERROR(MATCH(AC$5,'Oxford Economics'!$A$6:$AZ$6,0),MATCH(AC$5&amp;"",'Oxford Economics'!$A$6:$AZ$6,0))),'Oxford Economics'!$A$7:$A$1000,$C20,'Oxford Economics'!$B$7:$B$1000,Settings!$B$17)))),""))</f>
        <v>3106.41</v>
      </c>
      <c r="AD20" s="37" t="n">
        <f aca="false">IF($A20="","",IFERROR(1/(1/IF($B20="Residential",SUMIFS(INDEX('Oxford Economics'!$A$7:$AZ$1000,0,IFERROR(MATCH(AD$5,'Oxford Economics'!$A$6:$AZ$6,0),MATCH(AD$5&amp;"",'Oxford Economics'!$A$6:$AZ$6,0))),'Oxford Economics'!$A$7:$A$1000,$C20,'Oxford Economics'!$B$7:$B$1000,Settings!$B$11)-SUMIFS(INDEX('Oxford Economics'!$A$7:$AZ$1000,0,IFERROR(MATCH(AD$5,'Oxford Economics'!$A$6:$AZ$6,0),MATCH(AD$5&amp;"",'Oxford Economics'!$A$6:$AZ$6,0))),'Oxford Economics'!$A$7:$A$1000,$C20,'Oxford Economics'!$B$7:$B$1000,Settings!$B$13),SUMIFS(INDEX('Oxford Economics'!$A$7:$AZ$1000,0,IFERROR(MATCH(AD$5,'Oxford Economics'!$A$6:$AZ$6,0),MATCH(AD$5&amp;"",'Oxford Economics'!$A$6:$AZ$6,0))),'Oxford Economics'!$A$7:$A$1000,$C20,'Oxford Economics'!$B$7:$B$1000,Settings!$B$13)+SUMIFS(INDEX('Oxford Economics'!$A$7:$AZ$1000,0,IFERROR(MATCH(AD$5,'Oxford Economics'!$A$6:$AZ$6,0),MATCH(AD$5&amp;"",'Oxford Economics'!$A$6:$AZ$6,0))),'Oxford Economics'!$A$7:$A$1000,$C20,'Oxford Economics'!$B$7:$B$1000,Settings!$B$15)+IF(Settings!$B$17="",0,SUMIFS(INDEX('Oxford Economics'!$A$7:$AZ$1000,0,IFERROR(MATCH(AD$5,'Oxford Economics'!$A$6:$AZ$6,0),MATCH(AD$5&amp;"",'Oxford Economics'!$A$6:$AZ$6,0))),'Oxford Economics'!$A$7:$A$1000,$C20,'Oxford Economics'!$B$7:$B$1000,Settings!$B$17)))),""))</f>
        <v>2899.72</v>
      </c>
      <c r="AE20" s="37" t="n">
        <f aca="false">IF($A20="","",IFERROR(1/(1/IF($B20="Residential",SUMIFS(INDEX('Oxford Economics'!$A$7:$AZ$1000,0,IFERROR(MATCH(AE$5,'Oxford Economics'!$A$6:$AZ$6,0),MATCH(AE$5&amp;"",'Oxford Economics'!$A$6:$AZ$6,0))),'Oxford Economics'!$A$7:$A$1000,$C20,'Oxford Economics'!$B$7:$B$1000,Settings!$B$11)-SUMIFS(INDEX('Oxford Economics'!$A$7:$AZ$1000,0,IFERROR(MATCH(AE$5,'Oxford Economics'!$A$6:$AZ$6,0),MATCH(AE$5&amp;"",'Oxford Economics'!$A$6:$AZ$6,0))),'Oxford Economics'!$A$7:$A$1000,$C20,'Oxford Economics'!$B$7:$B$1000,Settings!$B$13),SUMIFS(INDEX('Oxford Economics'!$A$7:$AZ$1000,0,IFERROR(MATCH(AE$5,'Oxford Economics'!$A$6:$AZ$6,0),MATCH(AE$5&amp;"",'Oxford Economics'!$A$6:$AZ$6,0))),'Oxford Economics'!$A$7:$A$1000,$C20,'Oxford Economics'!$B$7:$B$1000,Settings!$B$13)+SUMIFS(INDEX('Oxford Economics'!$A$7:$AZ$1000,0,IFERROR(MATCH(AE$5,'Oxford Economics'!$A$6:$AZ$6,0),MATCH(AE$5&amp;"",'Oxford Economics'!$A$6:$AZ$6,0))),'Oxford Economics'!$A$7:$A$1000,$C20,'Oxford Economics'!$B$7:$B$1000,Settings!$B$15)+IF(Settings!$B$17="",0,SUMIFS(INDEX('Oxford Economics'!$A$7:$AZ$1000,0,IFERROR(MATCH(AE$5,'Oxford Economics'!$A$6:$AZ$6,0),MATCH(AE$5&amp;"",'Oxford Economics'!$A$6:$AZ$6,0))),'Oxford Economics'!$A$7:$A$1000,$C20,'Oxford Economics'!$B$7:$B$1000,Settings!$B$17)))),""))</f>
        <v>2099.46</v>
      </c>
      <c r="AF20" s="37" t="n">
        <f aca="false">IF($A20="","",IFERROR(1/(1/IF($B20="Residential",SUMIFS(INDEX('Oxford Economics'!$A$7:$AZ$1000,0,IFERROR(MATCH(AF$5,'Oxford Economics'!$A$6:$AZ$6,0),MATCH(AF$5&amp;"",'Oxford Economics'!$A$6:$AZ$6,0))),'Oxford Economics'!$A$7:$A$1000,$C20,'Oxford Economics'!$B$7:$B$1000,Settings!$B$11)-SUMIFS(INDEX('Oxford Economics'!$A$7:$AZ$1000,0,IFERROR(MATCH(AF$5,'Oxford Economics'!$A$6:$AZ$6,0),MATCH(AF$5&amp;"",'Oxford Economics'!$A$6:$AZ$6,0))),'Oxford Economics'!$A$7:$A$1000,$C20,'Oxford Economics'!$B$7:$B$1000,Settings!$B$13),SUMIFS(INDEX('Oxford Economics'!$A$7:$AZ$1000,0,IFERROR(MATCH(AF$5,'Oxford Economics'!$A$6:$AZ$6,0),MATCH(AF$5&amp;"",'Oxford Economics'!$A$6:$AZ$6,0))),'Oxford Economics'!$A$7:$A$1000,$C20,'Oxford Economics'!$B$7:$B$1000,Settings!$B$13)+SUMIFS(INDEX('Oxford Economics'!$A$7:$AZ$1000,0,IFERROR(MATCH(AF$5,'Oxford Economics'!$A$6:$AZ$6,0),MATCH(AF$5&amp;"",'Oxford Economics'!$A$6:$AZ$6,0))),'Oxford Economics'!$A$7:$A$1000,$C20,'Oxford Economics'!$B$7:$B$1000,Settings!$B$15)+IF(Settings!$B$17="",0,SUMIFS(INDEX('Oxford Economics'!$A$7:$AZ$1000,0,IFERROR(MATCH(AF$5,'Oxford Economics'!$A$6:$AZ$6,0),MATCH(AF$5&amp;"",'Oxford Economics'!$A$6:$AZ$6,0))),'Oxford Economics'!$A$7:$A$1000,$C20,'Oxford Economics'!$B$7:$B$1000,Settings!$B$17)))),""))</f>
        <v>2154.29</v>
      </c>
      <c r="AG20" s="37" t="n">
        <f aca="false">IF($A20="","",IFERROR(1/(1/IF($B20="Residential",SUMIFS(INDEX('Oxford Economics'!$A$7:$AZ$1000,0,IFERROR(MATCH(AG$5,'Oxford Economics'!$A$6:$AZ$6,0),MATCH(AG$5&amp;"",'Oxford Economics'!$A$6:$AZ$6,0))),'Oxford Economics'!$A$7:$A$1000,$C20,'Oxford Economics'!$B$7:$B$1000,Settings!$B$11)-SUMIFS(INDEX('Oxford Economics'!$A$7:$AZ$1000,0,IFERROR(MATCH(AG$5,'Oxford Economics'!$A$6:$AZ$6,0),MATCH(AG$5&amp;"",'Oxford Economics'!$A$6:$AZ$6,0))),'Oxford Economics'!$A$7:$A$1000,$C20,'Oxford Economics'!$B$7:$B$1000,Settings!$B$13),SUMIFS(INDEX('Oxford Economics'!$A$7:$AZ$1000,0,IFERROR(MATCH(AG$5,'Oxford Economics'!$A$6:$AZ$6,0),MATCH(AG$5&amp;"",'Oxford Economics'!$A$6:$AZ$6,0))),'Oxford Economics'!$A$7:$A$1000,$C20,'Oxford Economics'!$B$7:$B$1000,Settings!$B$13)+SUMIFS(INDEX('Oxford Economics'!$A$7:$AZ$1000,0,IFERROR(MATCH(AG$5,'Oxford Economics'!$A$6:$AZ$6,0),MATCH(AG$5&amp;"",'Oxford Economics'!$A$6:$AZ$6,0))),'Oxford Economics'!$A$7:$A$1000,$C20,'Oxford Economics'!$B$7:$B$1000,Settings!$B$15)+IF(Settings!$B$17="",0,SUMIFS(INDEX('Oxford Economics'!$A$7:$AZ$1000,0,IFERROR(MATCH(AG$5,'Oxford Economics'!$A$6:$AZ$6,0),MATCH(AG$5&amp;"",'Oxford Economics'!$A$6:$AZ$6,0))),'Oxford Economics'!$A$7:$A$1000,$C20,'Oxford Economics'!$B$7:$B$1000,Settings!$B$17)))),""))</f>
        <v>2206.07</v>
      </c>
      <c r="AH20" s="37" t="n">
        <f aca="false">IF($A20="","",IFERROR(1/(1/IF($B20="Residential",SUMIFS(INDEX('Oxford Economics'!$A$7:$AZ$1000,0,IFERROR(MATCH(AH$5,'Oxford Economics'!$A$6:$AZ$6,0),MATCH(AH$5&amp;"",'Oxford Economics'!$A$6:$AZ$6,0))),'Oxford Economics'!$A$7:$A$1000,$C20,'Oxford Economics'!$B$7:$B$1000,Settings!$B$11)-SUMIFS(INDEX('Oxford Economics'!$A$7:$AZ$1000,0,IFERROR(MATCH(AH$5,'Oxford Economics'!$A$6:$AZ$6,0),MATCH(AH$5&amp;"",'Oxford Economics'!$A$6:$AZ$6,0))),'Oxford Economics'!$A$7:$A$1000,$C20,'Oxford Economics'!$B$7:$B$1000,Settings!$B$13),SUMIFS(INDEX('Oxford Economics'!$A$7:$AZ$1000,0,IFERROR(MATCH(AH$5,'Oxford Economics'!$A$6:$AZ$6,0),MATCH(AH$5&amp;"",'Oxford Economics'!$A$6:$AZ$6,0))),'Oxford Economics'!$A$7:$A$1000,$C20,'Oxford Economics'!$B$7:$B$1000,Settings!$B$13)+SUMIFS(INDEX('Oxford Economics'!$A$7:$AZ$1000,0,IFERROR(MATCH(AH$5,'Oxford Economics'!$A$6:$AZ$6,0),MATCH(AH$5&amp;"",'Oxford Economics'!$A$6:$AZ$6,0))),'Oxford Economics'!$A$7:$A$1000,$C20,'Oxford Economics'!$B$7:$B$1000,Settings!$B$15)+IF(Settings!$B$17="",0,SUMIFS(INDEX('Oxford Economics'!$A$7:$AZ$1000,0,IFERROR(MATCH(AH$5,'Oxford Economics'!$A$6:$AZ$6,0),MATCH(AH$5&amp;"",'Oxford Economics'!$A$6:$AZ$6,0))),'Oxford Economics'!$A$7:$A$1000,$C20,'Oxford Economics'!$B$7:$B$1000,Settings!$B$17)))),""))</f>
        <v>2065.48</v>
      </c>
      <c r="AI20" s="37" t="n">
        <f aca="false">IF($A20="","",IFERROR(1/(1/IF($B20="Residential",SUMIFS(INDEX('Oxford Economics'!$A$7:$AZ$1000,0,IFERROR(MATCH(AI$5,'Oxford Economics'!$A$6:$AZ$6,0),MATCH(AI$5&amp;"",'Oxford Economics'!$A$6:$AZ$6,0))),'Oxford Economics'!$A$7:$A$1000,$C20,'Oxford Economics'!$B$7:$B$1000,Settings!$B$11)-SUMIFS(INDEX('Oxford Economics'!$A$7:$AZ$1000,0,IFERROR(MATCH(AI$5,'Oxford Economics'!$A$6:$AZ$6,0),MATCH(AI$5&amp;"",'Oxford Economics'!$A$6:$AZ$6,0))),'Oxford Economics'!$A$7:$A$1000,$C20,'Oxford Economics'!$B$7:$B$1000,Settings!$B$13),SUMIFS(INDEX('Oxford Economics'!$A$7:$AZ$1000,0,IFERROR(MATCH(AI$5,'Oxford Economics'!$A$6:$AZ$6,0),MATCH(AI$5&amp;"",'Oxford Economics'!$A$6:$AZ$6,0))),'Oxford Economics'!$A$7:$A$1000,$C20,'Oxford Economics'!$B$7:$B$1000,Settings!$B$13)+SUMIFS(INDEX('Oxford Economics'!$A$7:$AZ$1000,0,IFERROR(MATCH(AI$5,'Oxford Economics'!$A$6:$AZ$6,0),MATCH(AI$5&amp;"",'Oxford Economics'!$A$6:$AZ$6,0))),'Oxford Economics'!$A$7:$A$1000,$C20,'Oxford Economics'!$B$7:$B$1000,Settings!$B$15)+IF(Settings!$B$17="",0,SUMIFS(INDEX('Oxford Economics'!$A$7:$AZ$1000,0,IFERROR(MATCH(AI$5,'Oxford Economics'!$A$6:$AZ$6,0),MATCH(AI$5&amp;"",'Oxford Economics'!$A$6:$AZ$6,0))),'Oxford Economics'!$A$7:$A$1000,$C20,'Oxford Economics'!$B$7:$B$1000,Settings!$B$17)))),""))</f>
        <v>1837.66</v>
      </c>
      <c r="AJ20" s="37" t="n">
        <f aca="false">IF($A20="","",IFERROR(1/(1/IF($B20="Residential",SUMIFS(INDEX('Oxford Economics'!$A$7:$AZ$1000,0,IFERROR(MATCH(AJ$5,'Oxford Economics'!$A$6:$AZ$6,0),MATCH(AJ$5&amp;"",'Oxford Economics'!$A$6:$AZ$6,0))),'Oxford Economics'!$A$7:$A$1000,$C20,'Oxford Economics'!$B$7:$B$1000,Settings!$B$11)-SUMIFS(INDEX('Oxford Economics'!$A$7:$AZ$1000,0,IFERROR(MATCH(AJ$5,'Oxford Economics'!$A$6:$AZ$6,0),MATCH(AJ$5&amp;"",'Oxford Economics'!$A$6:$AZ$6,0))),'Oxford Economics'!$A$7:$A$1000,$C20,'Oxford Economics'!$B$7:$B$1000,Settings!$B$13),SUMIFS(INDEX('Oxford Economics'!$A$7:$AZ$1000,0,IFERROR(MATCH(AJ$5,'Oxford Economics'!$A$6:$AZ$6,0),MATCH(AJ$5&amp;"",'Oxford Economics'!$A$6:$AZ$6,0))),'Oxford Economics'!$A$7:$A$1000,$C20,'Oxford Economics'!$B$7:$B$1000,Settings!$B$13)+SUMIFS(INDEX('Oxford Economics'!$A$7:$AZ$1000,0,IFERROR(MATCH(AJ$5,'Oxford Economics'!$A$6:$AZ$6,0),MATCH(AJ$5&amp;"",'Oxford Economics'!$A$6:$AZ$6,0))),'Oxford Economics'!$A$7:$A$1000,$C20,'Oxford Economics'!$B$7:$B$1000,Settings!$B$15)+IF(Settings!$B$17="",0,SUMIFS(INDEX('Oxford Economics'!$A$7:$AZ$1000,0,IFERROR(MATCH(AJ$5,'Oxford Economics'!$A$6:$AZ$6,0),MATCH(AJ$5&amp;"",'Oxford Economics'!$A$6:$AZ$6,0))),'Oxford Economics'!$A$7:$A$1000,$C20,'Oxford Economics'!$B$7:$B$1000,Settings!$B$17)))),""))</f>
        <v>1771.56</v>
      </c>
      <c r="AK20" s="37" t="n">
        <f aca="false">IF($A20="","",IFERROR(1/(1/IF($B20="Residential",SUMIFS(INDEX('Oxford Economics'!$A$7:$AZ$1000,0,IFERROR(MATCH(AK$5,'Oxford Economics'!$A$6:$AZ$6,0),MATCH(AK$5&amp;"",'Oxford Economics'!$A$6:$AZ$6,0))),'Oxford Economics'!$A$7:$A$1000,$C20,'Oxford Economics'!$B$7:$B$1000,Settings!$B$11)-SUMIFS(INDEX('Oxford Economics'!$A$7:$AZ$1000,0,IFERROR(MATCH(AK$5,'Oxford Economics'!$A$6:$AZ$6,0),MATCH(AK$5&amp;"",'Oxford Economics'!$A$6:$AZ$6,0))),'Oxford Economics'!$A$7:$A$1000,$C20,'Oxford Economics'!$B$7:$B$1000,Settings!$B$13),SUMIFS(INDEX('Oxford Economics'!$A$7:$AZ$1000,0,IFERROR(MATCH(AK$5,'Oxford Economics'!$A$6:$AZ$6,0),MATCH(AK$5&amp;"",'Oxford Economics'!$A$6:$AZ$6,0))),'Oxford Economics'!$A$7:$A$1000,$C20,'Oxford Economics'!$B$7:$B$1000,Settings!$B$13)+SUMIFS(INDEX('Oxford Economics'!$A$7:$AZ$1000,0,IFERROR(MATCH(AK$5,'Oxford Economics'!$A$6:$AZ$6,0),MATCH(AK$5&amp;"",'Oxford Economics'!$A$6:$AZ$6,0))),'Oxford Economics'!$A$7:$A$1000,$C20,'Oxford Economics'!$B$7:$B$1000,Settings!$B$15)+IF(Settings!$B$17="",0,SUMIFS(INDEX('Oxford Economics'!$A$7:$AZ$1000,0,IFERROR(MATCH(AK$5,'Oxford Economics'!$A$6:$AZ$6,0),MATCH(AK$5&amp;"",'Oxford Economics'!$A$6:$AZ$6,0))),'Oxford Economics'!$A$7:$A$1000,$C20,'Oxford Economics'!$B$7:$B$1000,Settings!$B$17)))),""))</f>
        <v>1755.21</v>
      </c>
      <c r="AL20" s="37" t="n">
        <f aca="false">IF($A20="","",IFERROR(1/(1/IF($B20="Residential",SUMIFS(INDEX('Oxford Economics'!$A$7:$AZ$1000,0,IFERROR(MATCH(AL$5,'Oxford Economics'!$A$6:$AZ$6,0),MATCH(AL$5&amp;"",'Oxford Economics'!$A$6:$AZ$6,0))),'Oxford Economics'!$A$7:$A$1000,$C20,'Oxford Economics'!$B$7:$B$1000,Settings!$B$11)-SUMIFS(INDEX('Oxford Economics'!$A$7:$AZ$1000,0,IFERROR(MATCH(AL$5,'Oxford Economics'!$A$6:$AZ$6,0),MATCH(AL$5&amp;"",'Oxford Economics'!$A$6:$AZ$6,0))),'Oxford Economics'!$A$7:$A$1000,$C20,'Oxford Economics'!$B$7:$B$1000,Settings!$B$13),SUMIFS(INDEX('Oxford Economics'!$A$7:$AZ$1000,0,IFERROR(MATCH(AL$5,'Oxford Economics'!$A$6:$AZ$6,0),MATCH(AL$5&amp;"",'Oxford Economics'!$A$6:$AZ$6,0))),'Oxford Economics'!$A$7:$A$1000,$C20,'Oxford Economics'!$B$7:$B$1000,Settings!$B$13)+SUMIFS(INDEX('Oxford Economics'!$A$7:$AZ$1000,0,IFERROR(MATCH(AL$5,'Oxford Economics'!$A$6:$AZ$6,0),MATCH(AL$5&amp;"",'Oxford Economics'!$A$6:$AZ$6,0))),'Oxford Economics'!$A$7:$A$1000,$C20,'Oxford Economics'!$B$7:$B$1000,Settings!$B$15)+IF(Settings!$B$17="",0,SUMIFS(INDEX('Oxford Economics'!$A$7:$AZ$1000,0,IFERROR(MATCH(AL$5,'Oxford Economics'!$A$6:$AZ$6,0),MATCH(AL$5&amp;"",'Oxford Economics'!$A$6:$AZ$6,0))),'Oxford Economics'!$A$7:$A$1000,$C20,'Oxford Economics'!$B$7:$B$1000,Settings!$B$17)))),""))</f>
        <v>1747.93</v>
      </c>
      <c r="AM20" s="37" t="n">
        <f aca="false">IF($A20="","",IFERROR(1/(1/IF($B20="Residential",SUMIFS(INDEX('Oxford Economics'!$A$7:$AZ$1000,0,IFERROR(MATCH(AM$5,'Oxford Economics'!$A$6:$AZ$6,0),MATCH(AM$5&amp;"",'Oxford Economics'!$A$6:$AZ$6,0))),'Oxford Economics'!$A$7:$A$1000,$C20,'Oxford Economics'!$B$7:$B$1000,Settings!$B$11)-SUMIFS(INDEX('Oxford Economics'!$A$7:$AZ$1000,0,IFERROR(MATCH(AM$5,'Oxford Economics'!$A$6:$AZ$6,0),MATCH(AM$5&amp;"",'Oxford Economics'!$A$6:$AZ$6,0))),'Oxford Economics'!$A$7:$A$1000,$C20,'Oxford Economics'!$B$7:$B$1000,Settings!$B$13),SUMIFS(INDEX('Oxford Economics'!$A$7:$AZ$1000,0,IFERROR(MATCH(AM$5,'Oxford Economics'!$A$6:$AZ$6,0),MATCH(AM$5&amp;"",'Oxford Economics'!$A$6:$AZ$6,0))),'Oxford Economics'!$A$7:$A$1000,$C20,'Oxford Economics'!$B$7:$B$1000,Settings!$B$13)+SUMIFS(INDEX('Oxford Economics'!$A$7:$AZ$1000,0,IFERROR(MATCH(AM$5,'Oxford Economics'!$A$6:$AZ$6,0),MATCH(AM$5&amp;"",'Oxford Economics'!$A$6:$AZ$6,0))),'Oxford Economics'!$A$7:$A$1000,$C20,'Oxford Economics'!$B$7:$B$1000,Settings!$B$15)+IF(Settings!$B$17="",0,SUMIFS(INDEX('Oxford Economics'!$A$7:$AZ$1000,0,IFERROR(MATCH(AM$5,'Oxford Economics'!$A$6:$AZ$6,0),MATCH(AM$5&amp;"",'Oxford Economics'!$A$6:$AZ$6,0))),'Oxford Economics'!$A$7:$A$1000,$C20,'Oxford Economics'!$B$7:$B$1000,Settings!$B$17)))),""))</f>
        <v>1747.38</v>
      </c>
    </row>
    <row r="21" customFormat="false" ht="15" hidden="false" customHeight="false" outlineLevel="0" collapsed="false">
      <c r="A21" s="36" t="str">
        <f aca="false">IF('Raw data'!$A21="","",'Raw data'!$A21)</f>
        <v>Denmark</v>
      </c>
      <c r="B21" s="36" t="str">
        <f aca="false">IF($A21="","",'Raw data'!$C21)</f>
        <v>Commercial</v>
      </c>
      <c r="C21" s="36" t="str">
        <f aca="false">IF($A21="","",IF('Raw data'!$D21="",$A21,'Raw data'!$D21))</f>
        <v>Denmark</v>
      </c>
      <c r="D21" s="37" t="n">
        <f aca="false">IF($A21="","",IF(AND(ISNUMBER(P21),ISNUMBER(AB21)),P21+AB21,""))</f>
        <v>6757.25</v>
      </c>
      <c r="E21" s="37" t="n">
        <f aca="false">IF($A21="","",IF(AND(ISNUMBER(Q21),ISNUMBER(AC21)),Q21+AC21,""))</f>
        <v>7423.11</v>
      </c>
      <c r="F21" s="37" t="n">
        <f aca="false">IF($A21="","",IF(AND(ISNUMBER(R21),ISNUMBER(AD21)),R21+AD21,""))</f>
        <v>7458.6</v>
      </c>
      <c r="G21" s="37" t="n">
        <f aca="false">IF($A21="","",IF(AND(ISNUMBER(S21),ISNUMBER(AE21)),S21+AE21,""))</f>
        <v>7750.14</v>
      </c>
      <c r="H21" s="37" t="n">
        <f aca="false">IF($A21="","",IF(AND(ISNUMBER(T21),ISNUMBER(AF21)),T21+AF21,""))</f>
        <v>8162.82</v>
      </c>
      <c r="I21" s="37" t="n">
        <f aca="false">IF($A21="","",IF(AND(ISNUMBER(U21),ISNUMBER(AG21)),U21+AG21,""))</f>
        <v>8042.48</v>
      </c>
      <c r="J21" s="37" t="n">
        <f aca="false">IF($A21="","",IF(AND(ISNUMBER(V21),ISNUMBER(AH21)),V21+AH21,""))</f>
        <v>7714.49</v>
      </c>
      <c r="K21" s="37" t="n">
        <f aca="false">IF($A21="","",IF(AND(ISNUMBER(W21),ISNUMBER(AI21)),W21+AI21,""))</f>
        <v>7688.32</v>
      </c>
      <c r="L21" s="37" t="n">
        <f aca="false">IF($A21="","",IF(AND(ISNUMBER(X21),ISNUMBER(AJ21)),X21+AJ21,""))</f>
        <v>8125.45</v>
      </c>
      <c r="M21" s="37" t="n">
        <f aca="false">IF($A21="","",IF(AND(ISNUMBER(Y21),ISNUMBER(AK21)),Y21+AK21,""))</f>
        <v>8332.04</v>
      </c>
      <c r="N21" s="37" t="n">
        <f aca="false">IF($A21="","",IF(AND(ISNUMBER(Z21),ISNUMBER(AL21)),Z21+AL21,""))</f>
        <v>8479.3</v>
      </c>
      <c r="O21" s="37" t="n">
        <f aca="false">IF($A21="","",IF(AND(ISNUMBER(AA21),ISNUMBER(AM21)),AA21+AM21,""))</f>
        <v>8583.16</v>
      </c>
      <c r="P21" s="37" t="n">
        <f aca="false">IF($A21="","",IFERROR(1/(1/IF($B21="Residential",SUMIFS(INDEX('Oxford Economics'!$A$7:$AZ$1000,0,IFERROR(MATCH(P$5,'Oxford Economics'!$A$6:$AZ$6,0),MATCH(P$5&amp;"",'Oxford Economics'!$A$6:$AZ$6,0))),'Oxford Economics'!$A$7:$A$1000,$C21,'Oxford Economics'!$B$7:$B$1000,Settings!$B$12)-SUMIFS(INDEX('Oxford Economics'!$A$7:$AZ$1000,0,IFERROR(MATCH(P$5,'Oxford Economics'!$A$6:$AZ$6,0),MATCH(P$5&amp;"",'Oxford Economics'!$A$6:$AZ$6,0))),'Oxford Economics'!$A$7:$A$1000,$C21,'Oxford Economics'!$B$7:$B$1000,Settings!$B$14),SUMIFS(INDEX('Oxford Economics'!$A$7:$AZ$1000,0,IFERROR(MATCH(P$5,'Oxford Economics'!$A$6:$AZ$6,0),MATCH(P$5&amp;"",'Oxford Economics'!$A$6:$AZ$6,0))),'Oxford Economics'!$A$7:$A$1000,$C21,'Oxford Economics'!$B$7:$B$1000,Settings!$B$14)+SUMIFS(INDEX('Oxford Economics'!$A$7:$AZ$1000,0,IFERROR(MATCH(P$5,'Oxford Economics'!$A$6:$AZ$6,0),MATCH(P$5&amp;"",'Oxford Economics'!$A$6:$AZ$6,0))),'Oxford Economics'!$A$7:$A$1000,$C21,'Oxford Economics'!$B$7:$B$1000,Settings!$B$16)+IF(Settings!$B$18="",0,SUMIFS(INDEX('Oxford Economics'!$A$7:$AZ$1000,0,IFERROR(MATCH(P$5,'Oxford Economics'!$A$6:$AZ$6,0),MATCH(P$5&amp;"",'Oxford Economics'!$A$6:$AZ$6,0))),'Oxford Economics'!$A$7:$A$1000,$C21,'Oxford Economics'!$B$7:$B$1000,Settings!$B$18)))),""))</f>
        <v>2605.88</v>
      </c>
      <c r="Q21" s="37" t="n">
        <f aca="false">IF($A21="","",IFERROR(1/(1/IF($B21="Residential",SUMIFS(INDEX('Oxford Economics'!$A$7:$AZ$1000,0,IFERROR(MATCH(Q$5,'Oxford Economics'!$A$6:$AZ$6,0),MATCH(Q$5&amp;"",'Oxford Economics'!$A$6:$AZ$6,0))),'Oxford Economics'!$A$7:$A$1000,$C21,'Oxford Economics'!$B$7:$B$1000,Settings!$B$12)-SUMIFS(INDEX('Oxford Economics'!$A$7:$AZ$1000,0,IFERROR(MATCH(Q$5,'Oxford Economics'!$A$6:$AZ$6,0),MATCH(Q$5&amp;"",'Oxford Economics'!$A$6:$AZ$6,0))),'Oxford Economics'!$A$7:$A$1000,$C21,'Oxford Economics'!$B$7:$B$1000,Settings!$B$14),SUMIFS(INDEX('Oxford Economics'!$A$7:$AZ$1000,0,IFERROR(MATCH(Q$5,'Oxford Economics'!$A$6:$AZ$6,0),MATCH(Q$5&amp;"",'Oxford Economics'!$A$6:$AZ$6,0))),'Oxford Economics'!$A$7:$A$1000,$C21,'Oxford Economics'!$B$7:$B$1000,Settings!$B$14)+SUMIFS(INDEX('Oxford Economics'!$A$7:$AZ$1000,0,IFERROR(MATCH(Q$5,'Oxford Economics'!$A$6:$AZ$6,0),MATCH(Q$5&amp;"",'Oxford Economics'!$A$6:$AZ$6,0))),'Oxford Economics'!$A$7:$A$1000,$C21,'Oxford Economics'!$B$7:$B$1000,Settings!$B$16)+IF(Settings!$B$18="",0,SUMIFS(INDEX('Oxford Economics'!$A$7:$AZ$1000,0,IFERROR(MATCH(Q$5,'Oxford Economics'!$A$6:$AZ$6,0),MATCH(Q$5&amp;"",'Oxford Economics'!$A$6:$AZ$6,0))),'Oxford Economics'!$A$7:$A$1000,$C21,'Oxford Economics'!$B$7:$B$1000,Settings!$B$18)))),""))</f>
        <v>2992.52</v>
      </c>
      <c r="R21" s="37" t="n">
        <f aca="false">IF($A21="","",IFERROR(1/(1/IF($B21="Residential",SUMIFS(INDEX('Oxford Economics'!$A$7:$AZ$1000,0,IFERROR(MATCH(R$5,'Oxford Economics'!$A$6:$AZ$6,0),MATCH(R$5&amp;"",'Oxford Economics'!$A$6:$AZ$6,0))),'Oxford Economics'!$A$7:$A$1000,$C21,'Oxford Economics'!$B$7:$B$1000,Settings!$B$12)-SUMIFS(INDEX('Oxford Economics'!$A$7:$AZ$1000,0,IFERROR(MATCH(R$5,'Oxford Economics'!$A$6:$AZ$6,0),MATCH(R$5&amp;"",'Oxford Economics'!$A$6:$AZ$6,0))),'Oxford Economics'!$A$7:$A$1000,$C21,'Oxford Economics'!$B$7:$B$1000,Settings!$B$14),SUMIFS(INDEX('Oxford Economics'!$A$7:$AZ$1000,0,IFERROR(MATCH(R$5,'Oxford Economics'!$A$6:$AZ$6,0),MATCH(R$5&amp;"",'Oxford Economics'!$A$6:$AZ$6,0))),'Oxford Economics'!$A$7:$A$1000,$C21,'Oxford Economics'!$B$7:$B$1000,Settings!$B$14)+SUMIFS(INDEX('Oxford Economics'!$A$7:$AZ$1000,0,IFERROR(MATCH(R$5,'Oxford Economics'!$A$6:$AZ$6,0),MATCH(R$5&amp;"",'Oxford Economics'!$A$6:$AZ$6,0))),'Oxford Economics'!$A$7:$A$1000,$C21,'Oxford Economics'!$B$7:$B$1000,Settings!$B$16)+IF(Settings!$B$18="",0,SUMIFS(INDEX('Oxford Economics'!$A$7:$AZ$1000,0,IFERROR(MATCH(R$5,'Oxford Economics'!$A$6:$AZ$6,0),MATCH(R$5&amp;"",'Oxford Economics'!$A$6:$AZ$6,0))),'Oxford Economics'!$A$7:$A$1000,$C21,'Oxford Economics'!$B$7:$B$1000,Settings!$B$18)))),""))</f>
        <v>2935.29</v>
      </c>
      <c r="S21" s="37" t="n">
        <f aca="false">IF($A21="","",IFERROR(1/(1/IF($B21="Residential",SUMIFS(INDEX('Oxford Economics'!$A$7:$AZ$1000,0,IFERROR(MATCH(S$5,'Oxford Economics'!$A$6:$AZ$6,0),MATCH(S$5&amp;"",'Oxford Economics'!$A$6:$AZ$6,0))),'Oxford Economics'!$A$7:$A$1000,$C21,'Oxford Economics'!$B$7:$B$1000,Settings!$B$12)-SUMIFS(INDEX('Oxford Economics'!$A$7:$AZ$1000,0,IFERROR(MATCH(S$5,'Oxford Economics'!$A$6:$AZ$6,0),MATCH(S$5&amp;"",'Oxford Economics'!$A$6:$AZ$6,0))),'Oxford Economics'!$A$7:$A$1000,$C21,'Oxford Economics'!$B$7:$B$1000,Settings!$B$14),SUMIFS(INDEX('Oxford Economics'!$A$7:$AZ$1000,0,IFERROR(MATCH(S$5,'Oxford Economics'!$A$6:$AZ$6,0),MATCH(S$5&amp;"",'Oxford Economics'!$A$6:$AZ$6,0))),'Oxford Economics'!$A$7:$A$1000,$C21,'Oxford Economics'!$B$7:$B$1000,Settings!$B$14)+SUMIFS(INDEX('Oxford Economics'!$A$7:$AZ$1000,0,IFERROR(MATCH(S$5,'Oxford Economics'!$A$6:$AZ$6,0),MATCH(S$5&amp;"",'Oxford Economics'!$A$6:$AZ$6,0))),'Oxford Economics'!$A$7:$A$1000,$C21,'Oxford Economics'!$B$7:$B$1000,Settings!$B$16)+IF(Settings!$B$18="",0,SUMIFS(INDEX('Oxford Economics'!$A$7:$AZ$1000,0,IFERROR(MATCH(S$5,'Oxford Economics'!$A$6:$AZ$6,0),MATCH(S$5&amp;"",'Oxford Economics'!$A$6:$AZ$6,0))),'Oxford Economics'!$A$7:$A$1000,$C21,'Oxford Economics'!$B$7:$B$1000,Settings!$B$18)))),""))</f>
        <v>3176.42</v>
      </c>
      <c r="T21" s="37" t="n">
        <f aca="false">IF($A21="","",IFERROR(1/(1/IF($B21="Residential",SUMIFS(INDEX('Oxford Economics'!$A$7:$AZ$1000,0,IFERROR(MATCH(T$5,'Oxford Economics'!$A$6:$AZ$6,0),MATCH(T$5&amp;"",'Oxford Economics'!$A$6:$AZ$6,0))),'Oxford Economics'!$A$7:$A$1000,$C21,'Oxford Economics'!$B$7:$B$1000,Settings!$B$12)-SUMIFS(INDEX('Oxford Economics'!$A$7:$AZ$1000,0,IFERROR(MATCH(T$5,'Oxford Economics'!$A$6:$AZ$6,0),MATCH(T$5&amp;"",'Oxford Economics'!$A$6:$AZ$6,0))),'Oxford Economics'!$A$7:$A$1000,$C21,'Oxford Economics'!$B$7:$B$1000,Settings!$B$14),SUMIFS(INDEX('Oxford Economics'!$A$7:$AZ$1000,0,IFERROR(MATCH(T$5,'Oxford Economics'!$A$6:$AZ$6,0),MATCH(T$5&amp;"",'Oxford Economics'!$A$6:$AZ$6,0))),'Oxford Economics'!$A$7:$A$1000,$C21,'Oxford Economics'!$B$7:$B$1000,Settings!$B$14)+SUMIFS(INDEX('Oxford Economics'!$A$7:$AZ$1000,0,IFERROR(MATCH(T$5,'Oxford Economics'!$A$6:$AZ$6,0),MATCH(T$5&amp;"",'Oxford Economics'!$A$6:$AZ$6,0))),'Oxford Economics'!$A$7:$A$1000,$C21,'Oxford Economics'!$B$7:$B$1000,Settings!$B$16)+IF(Settings!$B$18="",0,SUMIFS(INDEX('Oxford Economics'!$A$7:$AZ$1000,0,IFERROR(MATCH(T$5,'Oxford Economics'!$A$6:$AZ$6,0),MATCH(T$5&amp;"",'Oxford Economics'!$A$6:$AZ$6,0))),'Oxford Economics'!$A$7:$A$1000,$C21,'Oxford Economics'!$B$7:$B$1000,Settings!$B$18)))),""))</f>
        <v>3649.88</v>
      </c>
      <c r="U21" s="37" t="n">
        <f aca="false">IF($A21="","",IFERROR(1/(1/IF($B21="Residential",SUMIFS(INDEX('Oxford Economics'!$A$7:$AZ$1000,0,IFERROR(MATCH(U$5,'Oxford Economics'!$A$6:$AZ$6,0),MATCH(U$5&amp;"",'Oxford Economics'!$A$6:$AZ$6,0))),'Oxford Economics'!$A$7:$A$1000,$C21,'Oxford Economics'!$B$7:$B$1000,Settings!$B$12)-SUMIFS(INDEX('Oxford Economics'!$A$7:$AZ$1000,0,IFERROR(MATCH(U$5,'Oxford Economics'!$A$6:$AZ$6,0),MATCH(U$5&amp;"",'Oxford Economics'!$A$6:$AZ$6,0))),'Oxford Economics'!$A$7:$A$1000,$C21,'Oxford Economics'!$B$7:$B$1000,Settings!$B$14),SUMIFS(INDEX('Oxford Economics'!$A$7:$AZ$1000,0,IFERROR(MATCH(U$5,'Oxford Economics'!$A$6:$AZ$6,0),MATCH(U$5&amp;"",'Oxford Economics'!$A$6:$AZ$6,0))),'Oxford Economics'!$A$7:$A$1000,$C21,'Oxford Economics'!$B$7:$B$1000,Settings!$B$14)+SUMIFS(INDEX('Oxford Economics'!$A$7:$AZ$1000,0,IFERROR(MATCH(U$5,'Oxford Economics'!$A$6:$AZ$6,0),MATCH(U$5&amp;"",'Oxford Economics'!$A$6:$AZ$6,0))),'Oxford Economics'!$A$7:$A$1000,$C21,'Oxford Economics'!$B$7:$B$1000,Settings!$B$16)+IF(Settings!$B$18="",0,SUMIFS(INDEX('Oxford Economics'!$A$7:$AZ$1000,0,IFERROR(MATCH(U$5,'Oxford Economics'!$A$6:$AZ$6,0),MATCH(U$5&amp;"",'Oxford Economics'!$A$6:$AZ$6,0))),'Oxford Economics'!$A$7:$A$1000,$C21,'Oxford Economics'!$B$7:$B$1000,Settings!$B$18)))),""))</f>
        <v>3624.83</v>
      </c>
      <c r="V21" s="37" t="n">
        <f aca="false">IF($A21="","",IFERROR(1/(1/IF($B21="Residential",SUMIFS(INDEX('Oxford Economics'!$A$7:$AZ$1000,0,IFERROR(MATCH(V$5,'Oxford Economics'!$A$6:$AZ$6,0),MATCH(V$5&amp;"",'Oxford Economics'!$A$6:$AZ$6,0))),'Oxford Economics'!$A$7:$A$1000,$C21,'Oxford Economics'!$B$7:$B$1000,Settings!$B$12)-SUMIFS(INDEX('Oxford Economics'!$A$7:$AZ$1000,0,IFERROR(MATCH(V$5,'Oxford Economics'!$A$6:$AZ$6,0),MATCH(V$5&amp;"",'Oxford Economics'!$A$6:$AZ$6,0))),'Oxford Economics'!$A$7:$A$1000,$C21,'Oxford Economics'!$B$7:$B$1000,Settings!$B$14),SUMIFS(INDEX('Oxford Economics'!$A$7:$AZ$1000,0,IFERROR(MATCH(V$5,'Oxford Economics'!$A$6:$AZ$6,0),MATCH(V$5&amp;"",'Oxford Economics'!$A$6:$AZ$6,0))),'Oxford Economics'!$A$7:$A$1000,$C21,'Oxford Economics'!$B$7:$B$1000,Settings!$B$14)+SUMIFS(INDEX('Oxford Economics'!$A$7:$AZ$1000,0,IFERROR(MATCH(V$5,'Oxford Economics'!$A$6:$AZ$6,0),MATCH(V$5&amp;"",'Oxford Economics'!$A$6:$AZ$6,0))),'Oxford Economics'!$A$7:$A$1000,$C21,'Oxford Economics'!$B$7:$B$1000,Settings!$B$16)+IF(Settings!$B$18="",0,SUMIFS(INDEX('Oxford Economics'!$A$7:$AZ$1000,0,IFERROR(MATCH(V$5,'Oxford Economics'!$A$6:$AZ$6,0),MATCH(V$5&amp;"",'Oxford Economics'!$A$6:$AZ$6,0))),'Oxford Economics'!$A$7:$A$1000,$C21,'Oxford Economics'!$B$7:$B$1000,Settings!$B$18)))),""))</f>
        <v>3497.72</v>
      </c>
      <c r="W21" s="37" t="n">
        <f aca="false">IF($A21="","",IFERROR(1/(1/IF($B21="Residential",SUMIFS(INDEX('Oxford Economics'!$A$7:$AZ$1000,0,IFERROR(MATCH(W$5,'Oxford Economics'!$A$6:$AZ$6,0),MATCH(W$5&amp;"",'Oxford Economics'!$A$6:$AZ$6,0))),'Oxford Economics'!$A$7:$A$1000,$C21,'Oxford Economics'!$B$7:$B$1000,Settings!$B$12)-SUMIFS(INDEX('Oxford Economics'!$A$7:$AZ$1000,0,IFERROR(MATCH(W$5,'Oxford Economics'!$A$6:$AZ$6,0),MATCH(W$5&amp;"",'Oxford Economics'!$A$6:$AZ$6,0))),'Oxford Economics'!$A$7:$A$1000,$C21,'Oxford Economics'!$B$7:$B$1000,Settings!$B$14),SUMIFS(INDEX('Oxford Economics'!$A$7:$AZ$1000,0,IFERROR(MATCH(W$5,'Oxford Economics'!$A$6:$AZ$6,0),MATCH(W$5&amp;"",'Oxford Economics'!$A$6:$AZ$6,0))),'Oxford Economics'!$A$7:$A$1000,$C21,'Oxford Economics'!$B$7:$B$1000,Settings!$B$14)+SUMIFS(INDEX('Oxford Economics'!$A$7:$AZ$1000,0,IFERROR(MATCH(W$5,'Oxford Economics'!$A$6:$AZ$6,0),MATCH(W$5&amp;"",'Oxford Economics'!$A$6:$AZ$6,0))),'Oxford Economics'!$A$7:$A$1000,$C21,'Oxford Economics'!$B$7:$B$1000,Settings!$B$16)+IF(Settings!$B$18="",0,SUMIFS(INDEX('Oxford Economics'!$A$7:$AZ$1000,0,IFERROR(MATCH(W$5,'Oxford Economics'!$A$6:$AZ$6,0),MATCH(W$5&amp;"",'Oxford Economics'!$A$6:$AZ$6,0))),'Oxford Economics'!$A$7:$A$1000,$C21,'Oxford Economics'!$B$7:$B$1000,Settings!$B$18)))),""))</f>
        <v>3531.72</v>
      </c>
      <c r="X21" s="37" t="n">
        <f aca="false">IF($A21="","",IFERROR(1/(1/IF($B21="Residential",SUMIFS(INDEX('Oxford Economics'!$A$7:$AZ$1000,0,IFERROR(MATCH(X$5,'Oxford Economics'!$A$6:$AZ$6,0),MATCH(X$5&amp;"",'Oxford Economics'!$A$6:$AZ$6,0))),'Oxford Economics'!$A$7:$A$1000,$C21,'Oxford Economics'!$B$7:$B$1000,Settings!$B$12)-SUMIFS(INDEX('Oxford Economics'!$A$7:$AZ$1000,0,IFERROR(MATCH(X$5,'Oxford Economics'!$A$6:$AZ$6,0),MATCH(X$5&amp;"",'Oxford Economics'!$A$6:$AZ$6,0))),'Oxford Economics'!$A$7:$A$1000,$C21,'Oxford Economics'!$B$7:$B$1000,Settings!$B$14),SUMIFS(INDEX('Oxford Economics'!$A$7:$AZ$1000,0,IFERROR(MATCH(X$5,'Oxford Economics'!$A$6:$AZ$6,0),MATCH(X$5&amp;"",'Oxford Economics'!$A$6:$AZ$6,0))),'Oxford Economics'!$A$7:$A$1000,$C21,'Oxford Economics'!$B$7:$B$1000,Settings!$B$14)+SUMIFS(INDEX('Oxford Economics'!$A$7:$AZ$1000,0,IFERROR(MATCH(X$5,'Oxford Economics'!$A$6:$AZ$6,0),MATCH(X$5&amp;"",'Oxford Economics'!$A$6:$AZ$6,0))),'Oxford Economics'!$A$7:$A$1000,$C21,'Oxford Economics'!$B$7:$B$1000,Settings!$B$16)+IF(Settings!$B$18="",0,SUMIFS(INDEX('Oxford Economics'!$A$7:$AZ$1000,0,IFERROR(MATCH(X$5,'Oxford Economics'!$A$6:$AZ$6,0),MATCH(X$5&amp;"",'Oxford Economics'!$A$6:$AZ$6,0))),'Oxford Economics'!$A$7:$A$1000,$C21,'Oxford Economics'!$B$7:$B$1000,Settings!$B$18)))),""))</f>
        <v>3742.78</v>
      </c>
      <c r="Y21" s="37" t="n">
        <f aca="false">IF($A21="","",IFERROR(1/(1/IF($B21="Residential",SUMIFS(INDEX('Oxford Economics'!$A$7:$AZ$1000,0,IFERROR(MATCH(Y$5,'Oxford Economics'!$A$6:$AZ$6,0),MATCH(Y$5&amp;"",'Oxford Economics'!$A$6:$AZ$6,0))),'Oxford Economics'!$A$7:$A$1000,$C21,'Oxford Economics'!$B$7:$B$1000,Settings!$B$12)-SUMIFS(INDEX('Oxford Economics'!$A$7:$AZ$1000,0,IFERROR(MATCH(Y$5,'Oxford Economics'!$A$6:$AZ$6,0),MATCH(Y$5&amp;"",'Oxford Economics'!$A$6:$AZ$6,0))),'Oxford Economics'!$A$7:$A$1000,$C21,'Oxford Economics'!$B$7:$B$1000,Settings!$B$14),SUMIFS(INDEX('Oxford Economics'!$A$7:$AZ$1000,0,IFERROR(MATCH(Y$5,'Oxford Economics'!$A$6:$AZ$6,0),MATCH(Y$5&amp;"",'Oxford Economics'!$A$6:$AZ$6,0))),'Oxford Economics'!$A$7:$A$1000,$C21,'Oxford Economics'!$B$7:$B$1000,Settings!$B$14)+SUMIFS(INDEX('Oxford Economics'!$A$7:$AZ$1000,0,IFERROR(MATCH(Y$5,'Oxford Economics'!$A$6:$AZ$6,0),MATCH(Y$5&amp;"",'Oxford Economics'!$A$6:$AZ$6,0))),'Oxford Economics'!$A$7:$A$1000,$C21,'Oxford Economics'!$B$7:$B$1000,Settings!$B$16)+IF(Settings!$B$18="",0,SUMIFS(INDEX('Oxford Economics'!$A$7:$AZ$1000,0,IFERROR(MATCH(Y$5,'Oxford Economics'!$A$6:$AZ$6,0),MATCH(Y$5&amp;"",'Oxford Economics'!$A$6:$AZ$6,0))),'Oxford Economics'!$A$7:$A$1000,$C21,'Oxford Economics'!$B$7:$B$1000,Settings!$B$18)))),""))</f>
        <v>3856.06</v>
      </c>
      <c r="Z21" s="37" t="n">
        <f aca="false">IF($A21="","",IFERROR(1/(1/IF($B21="Residential",SUMIFS(INDEX('Oxford Economics'!$A$7:$AZ$1000,0,IFERROR(MATCH(Z$5,'Oxford Economics'!$A$6:$AZ$6,0),MATCH(Z$5&amp;"",'Oxford Economics'!$A$6:$AZ$6,0))),'Oxford Economics'!$A$7:$A$1000,$C21,'Oxford Economics'!$B$7:$B$1000,Settings!$B$12)-SUMIFS(INDEX('Oxford Economics'!$A$7:$AZ$1000,0,IFERROR(MATCH(Z$5,'Oxford Economics'!$A$6:$AZ$6,0),MATCH(Z$5&amp;"",'Oxford Economics'!$A$6:$AZ$6,0))),'Oxford Economics'!$A$7:$A$1000,$C21,'Oxford Economics'!$B$7:$B$1000,Settings!$B$14),SUMIFS(INDEX('Oxford Economics'!$A$7:$AZ$1000,0,IFERROR(MATCH(Z$5,'Oxford Economics'!$A$6:$AZ$6,0),MATCH(Z$5&amp;"",'Oxford Economics'!$A$6:$AZ$6,0))),'Oxford Economics'!$A$7:$A$1000,$C21,'Oxford Economics'!$B$7:$B$1000,Settings!$B$14)+SUMIFS(INDEX('Oxford Economics'!$A$7:$AZ$1000,0,IFERROR(MATCH(Z$5,'Oxford Economics'!$A$6:$AZ$6,0),MATCH(Z$5&amp;"",'Oxford Economics'!$A$6:$AZ$6,0))),'Oxford Economics'!$A$7:$A$1000,$C21,'Oxford Economics'!$B$7:$B$1000,Settings!$B$16)+IF(Settings!$B$18="",0,SUMIFS(INDEX('Oxford Economics'!$A$7:$AZ$1000,0,IFERROR(MATCH(Z$5,'Oxford Economics'!$A$6:$AZ$6,0),MATCH(Z$5&amp;"",'Oxford Economics'!$A$6:$AZ$6,0))),'Oxford Economics'!$A$7:$A$1000,$C21,'Oxford Economics'!$B$7:$B$1000,Settings!$B$18)))),""))</f>
        <v>3967.35</v>
      </c>
      <c r="AA21" s="37" t="n">
        <f aca="false">IF($A21="","",IFERROR(1/(1/IF($B21="Residential",SUMIFS(INDEX('Oxford Economics'!$A$7:$AZ$1000,0,IFERROR(MATCH(AA$5,'Oxford Economics'!$A$6:$AZ$6,0),MATCH(AA$5&amp;"",'Oxford Economics'!$A$6:$AZ$6,0))),'Oxford Economics'!$A$7:$A$1000,$C21,'Oxford Economics'!$B$7:$B$1000,Settings!$B$12)-SUMIFS(INDEX('Oxford Economics'!$A$7:$AZ$1000,0,IFERROR(MATCH(AA$5,'Oxford Economics'!$A$6:$AZ$6,0),MATCH(AA$5&amp;"",'Oxford Economics'!$A$6:$AZ$6,0))),'Oxford Economics'!$A$7:$A$1000,$C21,'Oxford Economics'!$B$7:$B$1000,Settings!$B$14),SUMIFS(INDEX('Oxford Economics'!$A$7:$AZ$1000,0,IFERROR(MATCH(AA$5,'Oxford Economics'!$A$6:$AZ$6,0),MATCH(AA$5&amp;"",'Oxford Economics'!$A$6:$AZ$6,0))),'Oxford Economics'!$A$7:$A$1000,$C21,'Oxford Economics'!$B$7:$B$1000,Settings!$B$14)+SUMIFS(INDEX('Oxford Economics'!$A$7:$AZ$1000,0,IFERROR(MATCH(AA$5,'Oxford Economics'!$A$6:$AZ$6,0),MATCH(AA$5&amp;"",'Oxford Economics'!$A$6:$AZ$6,0))),'Oxford Economics'!$A$7:$A$1000,$C21,'Oxford Economics'!$B$7:$B$1000,Settings!$B$16)+IF(Settings!$B$18="",0,SUMIFS(INDEX('Oxford Economics'!$A$7:$AZ$1000,0,IFERROR(MATCH(AA$5,'Oxford Economics'!$A$6:$AZ$6,0),MATCH(AA$5&amp;"",'Oxford Economics'!$A$6:$AZ$6,0))),'Oxford Economics'!$A$7:$A$1000,$C21,'Oxford Economics'!$B$7:$B$1000,Settings!$B$18)))),""))</f>
        <v>4029.73</v>
      </c>
      <c r="AB21" s="37" t="n">
        <f aca="false">IF($A21="","",IFERROR(1/(1/IF($B21="Residential",SUMIFS(INDEX('Oxford Economics'!$A$7:$AZ$1000,0,IFERROR(MATCH(AB$5,'Oxford Economics'!$A$6:$AZ$6,0),MATCH(AB$5&amp;"",'Oxford Economics'!$A$6:$AZ$6,0))),'Oxford Economics'!$A$7:$A$1000,$C21,'Oxford Economics'!$B$7:$B$1000,Settings!$B$11)-SUMIFS(INDEX('Oxford Economics'!$A$7:$AZ$1000,0,IFERROR(MATCH(AB$5,'Oxford Economics'!$A$6:$AZ$6,0),MATCH(AB$5&amp;"",'Oxford Economics'!$A$6:$AZ$6,0))),'Oxford Economics'!$A$7:$A$1000,$C21,'Oxford Economics'!$B$7:$B$1000,Settings!$B$13),SUMIFS(INDEX('Oxford Economics'!$A$7:$AZ$1000,0,IFERROR(MATCH(AB$5,'Oxford Economics'!$A$6:$AZ$6,0),MATCH(AB$5&amp;"",'Oxford Economics'!$A$6:$AZ$6,0))),'Oxford Economics'!$A$7:$A$1000,$C21,'Oxford Economics'!$B$7:$B$1000,Settings!$B$13)+SUMIFS(INDEX('Oxford Economics'!$A$7:$AZ$1000,0,IFERROR(MATCH(AB$5,'Oxford Economics'!$A$6:$AZ$6,0),MATCH(AB$5&amp;"",'Oxford Economics'!$A$6:$AZ$6,0))),'Oxford Economics'!$A$7:$A$1000,$C21,'Oxford Economics'!$B$7:$B$1000,Settings!$B$15)+IF(Settings!$B$17="",0,SUMIFS(INDEX('Oxford Economics'!$A$7:$AZ$1000,0,IFERROR(MATCH(AB$5,'Oxford Economics'!$A$6:$AZ$6,0),MATCH(AB$5&amp;"",'Oxford Economics'!$A$6:$AZ$6,0))),'Oxford Economics'!$A$7:$A$1000,$C21,'Oxford Economics'!$B$7:$B$1000,Settings!$B$17)))),""))</f>
        <v>4151.37</v>
      </c>
      <c r="AC21" s="37" t="n">
        <f aca="false">IF($A21="","",IFERROR(1/(1/IF($B21="Residential",SUMIFS(INDEX('Oxford Economics'!$A$7:$AZ$1000,0,IFERROR(MATCH(AC$5,'Oxford Economics'!$A$6:$AZ$6,0),MATCH(AC$5&amp;"",'Oxford Economics'!$A$6:$AZ$6,0))),'Oxford Economics'!$A$7:$A$1000,$C21,'Oxford Economics'!$B$7:$B$1000,Settings!$B$11)-SUMIFS(INDEX('Oxford Economics'!$A$7:$AZ$1000,0,IFERROR(MATCH(AC$5,'Oxford Economics'!$A$6:$AZ$6,0),MATCH(AC$5&amp;"",'Oxford Economics'!$A$6:$AZ$6,0))),'Oxford Economics'!$A$7:$A$1000,$C21,'Oxford Economics'!$B$7:$B$1000,Settings!$B$13),SUMIFS(INDEX('Oxford Economics'!$A$7:$AZ$1000,0,IFERROR(MATCH(AC$5,'Oxford Economics'!$A$6:$AZ$6,0),MATCH(AC$5&amp;"",'Oxford Economics'!$A$6:$AZ$6,0))),'Oxford Economics'!$A$7:$A$1000,$C21,'Oxford Economics'!$B$7:$B$1000,Settings!$B$13)+SUMIFS(INDEX('Oxford Economics'!$A$7:$AZ$1000,0,IFERROR(MATCH(AC$5,'Oxford Economics'!$A$6:$AZ$6,0),MATCH(AC$5&amp;"",'Oxford Economics'!$A$6:$AZ$6,0))),'Oxford Economics'!$A$7:$A$1000,$C21,'Oxford Economics'!$B$7:$B$1000,Settings!$B$15)+IF(Settings!$B$17="",0,SUMIFS(INDEX('Oxford Economics'!$A$7:$AZ$1000,0,IFERROR(MATCH(AC$5,'Oxford Economics'!$A$6:$AZ$6,0),MATCH(AC$5&amp;"",'Oxford Economics'!$A$6:$AZ$6,0))),'Oxford Economics'!$A$7:$A$1000,$C21,'Oxford Economics'!$B$7:$B$1000,Settings!$B$17)))),""))</f>
        <v>4430.59</v>
      </c>
      <c r="AD21" s="37" t="n">
        <f aca="false">IF($A21="","",IFERROR(1/(1/IF($B21="Residential",SUMIFS(INDEX('Oxford Economics'!$A$7:$AZ$1000,0,IFERROR(MATCH(AD$5,'Oxford Economics'!$A$6:$AZ$6,0),MATCH(AD$5&amp;"",'Oxford Economics'!$A$6:$AZ$6,0))),'Oxford Economics'!$A$7:$A$1000,$C21,'Oxford Economics'!$B$7:$B$1000,Settings!$B$11)-SUMIFS(INDEX('Oxford Economics'!$A$7:$AZ$1000,0,IFERROR(MATCH(AD$5,'Oxford Economics'!$A$6:$AZ$6,0),MATCH(AD$5&amp;"",'Oxford Economics'!$A$6:$AZ$6,0))),'Oxford Economics'!$A$7:$A$1000,$C21,'Oxford Economics'!$B$7:$B$1000,Settings!$B$13),SUMIFS(INDEX('Oxford Economics'!$A$7:$AZ$1000,0,IFERROR(MATCH(AD$5,'Oxford Economics'!$A$6:$AZ$6,0),MATCH(AD$5&amp;"",'Oxford Economics'!$A$6:$AZ$6,0))),'Oxford Economics'!$A$7:$A$1000,$C21,'Oxford Economics'!$B$7:$B$1000,Settings!$B$13)+SUMIFS(INDEX('Oxford Economics'!$A$7:$AZ$1000,0,IFERROR(MATCH(AD$5,'Oxford Economics'!$A$6:$AZ$6,0),MATCH(AD$5&amp;"",'Oxford Economics'!$A$6:$AZ$6,0))),'Oxford Economics'!$A$7:$A$1000,$C21,'Oxford Economics'!$B$7:$B$1000,Settings!$B$15)+IF(Settings!$B$17="",0,SUMIFS(INDEX('Oxford Economics'!$A$7:$AZ$1000,0,IFERROR(MATCH(AD$5,'Oxford Economics'!$A$6:$AZ$6,0),MATCH(AD$5&amp;"",'Oxford Economics'!$A$6:$AZ$6,0))),'Oxford Economics'!$A$7:$A$1000,$C21,'Oxford Economics'!$B$7:$B$1000,Settings!$B$17)))),""))</f>
        <v>4523.31</v>
      </c>
      <c r="AE21" s="37" t="n">
        <f aca="false">IF($A21="","",IFERROR(1/(1/IF($B21="Residential",SUMIFS(INDEX('Oxford Economics'!$A$7:$AZ$1000,0,IFERROR(MATCH(AE$5,'Oxford Economics'!$A$6:$AZ$6,0),MATCH(AE$5&amp;"",'Oxford Economics'!$A$6:$AZ$6,0))),'Oxford Economics'!$A$7:$A$1000,$C21,'Oxford Economics'!$B$7:$B$1000,Settings!$B$11)-SUMIFS(INDEX('Oxford Economics'!$A$7:$AZ$1000,0,IFERROR(MATCH(AE$5,'Oxford Economics'!$A$6:$AZ$6,0),MATCH(AE$5&amp;"",'Oxford Economics'!$A$6:$AZ$6,0))),'Oxford Economics'!$A$7:$A$1000,$C21,'Oxford Economics'!$B$7:$B$1000,Settings!$B$13),SUMIFS(INDEX('Oxford Economics'!$A$7:$AZ$1000,0,IFERROR(MATCH(AE$5,'Oxford Economics'!$A$6:$AZ$6,0),MATCH(AE$5&amp;"",'Oxford Economics'!$A$6:$AZ$6,0))),'Oxford Economics'!$A$7:$A$1000,$C21,'Oxford Economics'!$B$7:$B$1000,Settings!$B$13)+SUMIFS(INDEX('Oxford Economics'!$A$7:$AZ$1000,0,IFERROR(MATCH(AE$5,'Oxford Economics'!$A$6:$AZ$6,0),MATCH(AE$5&amp;"",'Oxford Economics'!$A$6:$AZ$6,0))),'Oxford Economics'!$A$7:$A$1000,$C21,'Oxford Economics'!$B$7:$B$1000,Settings!$B$15)+IF(Settings!$B$17="",0,SUMIFS(INDEX('Oxford Economics'!$A$7:$AZ$1000,0,IFERROR(MATCH(AE$5,'Oxford Economics'!$A$6:$AZ$6,0),MATCH(AE$5&amp;"",'Oxford Economics'!$A$6:$AZ$6,0))),'Oxford Economics'!$A$7:$A$1000,$C21,'Oxford Economics'!$B$7:$B$1000,Settings!$B$17)))),""))</f>
        <v>4573.72</v>
      </c>
      <c r="AF21" s="37" t="n">
        <f aca="false">IF($A21="","",IFERROR(1/(1/IF($B21="Residential",SUMIFS(INDEX('Oxford Economics'!$A$7:$AZ$1000,0,IFERROR(MATCH(AF$5,'Oxford Economics'!$A$6:$AZ$6,0),MATCH(AF$5&amp;"",'Oxford Economics'!$A$6:$AZ$6,0))),'Oxford Economics'!$A$7:$A$1000,$C21,'Oxford Economics'!$B$7:$B$1000,Settings!$B$11)-SUMIFS(INDEX('Oxford Economics'!$A$7:$AZ$1000,0,IFERROR(MATCH(AF$5,'Oxford Economics'!$A$6:$AZ$6,0),MATCH(AF$5&amp;"",'Oxford Economics'!$A$6:$AZ$6,0))),'Oxford Economics'!$A$7:$A$1000,$C21,'Oxford Economics'!$B$7:$B$1000,Settings!$B$13),SUMIFS(INDEX('Oxford Economics'!$A$7:$AZ$1000,0,IFERROR(MATCH(AF$5,'Oxford Economics'!$A$6:$AZ$6,0),MATCH(AF$5&amp;"",'Oxford Economics'!$A$6:$AZ$6,0))),'Oxford Economics'!$A$7:$A$1000,$C21,'Oxford Economics'!$B$7:$B$1000,Settings!$B$13)+SUMIFS(INDEX('Oxford Economics'!$A$7:$AZ$1000,0,IFERROR(MATCH(AF$5,'Oxford Economics'!$A$6:$AZ$6,0),MATCH(AF$5&amp;"",'Oxford Economics'!$A$6:$AZ$6,0))),'Oxford Economics'!$A$7:$A$1000,$C21,'Oxford Economics'!$B$7:$B$1000,Settings!$B$15)+IF(Settings!$B$17="",0,SUMIFS(INDEX('Oxford Economics'!$A$7:$AZ$1000,0,IFERROR(MATCH(AF$5,'Oxford Economics'!$A$6:$AZ$6,0),MATCH(AF$5&amp;"",'Oxford Economics'!$A$6:$AZ$6,0))),'Oxford Economics'!$A$7:$A$1000,$C21,'Oxford Economics'!$B$7:$B$1000,Settings!$B$17)))),""))</f>
        <v>4512.94</v>
      </c>
      <c r="AG21" s="37" t="n">
        <f aca="false">IF($A21="","",IFERROR(1/(1/IF($B21="Residential",SUMIFS(INDEX('Oxford Economics'!$A$7:$AZ$1000,0,IFERROR(MATCH(AG$5,'Oxford Economics'!$A$6:$AZ$6,0),MATCH(AG$5&amp;"",'Oxford Economics'!$A$6:$AZ$6,0))),'Oxford Economics'!$A$7:$A$1000,$C21,'Oxford Economics'!$B$7:$B$1000,Settings!$B$11)-SUMIFS(INDEX('Oxford Economics'!$A$7:$AZ$1000,0,IFERROR(MATCH(AG$5,'Oxford Economics'!$A$6:$AZ$6,0),MATCH(AG$5&amp;"",'Oxford Economics'!$A$6:$AZ$6,0))),'Oxford Economics'!$A$7:$A$1000,$C21,'Oxford Economics'!$B$7:$B$1000,Settings!$B$13),SUMIFS(INDEX('Oxford Economics'!$A$7:$AZ$1000,0,IFERROR(MATCH(AG$5,'Oxford Economics'!$A$6:$AZ$6,0),MATCH(AG$5&amp;"",'Oxford Economics'!$A$6:$AZ$6,0))),'Oxford Economics'!$A$7:$A$1000,$C21,'Oxford Economics'!$B$7:$B$1000,Settings!$B$13)+SUMIFS(INDEX('Oxford Economics'!$A$7:$AZ$1000,0,IFERROR(MATCH(AG$5,'Oxford Economics'!$A$6:$AZ$6,0),MATCH(AG$5&amp;"",'Oxford Economics'!$A$6:$AZ$6,0))),'Oxford Economics'!$A$7:$A$1000,$C21,'Oxford Economics'!$B$7:$B$1000,Settings!$B$15)+IF(Settings!$B$17="",0,SUMIFS(INDEX('Oxford Economics'!$A$7:$AZ$1000,0,IFERROR(MATCH(AG$5,'Oxford Economics'!$A$6:$AZ$6,0),MATCH(AG$5&amp;"",'Oxford Economics'!$A$6:$AZ$6,0))),'Oxford Economics'!$A$7:$A$1000,$C21,'Oxford Economics'!$B$7:$B$1000,Settings!$B$17)))),""))</f>
        <v>4417.65</v>
      </c>
      <c r="AH21" s="37" t="n">
        <f aca="false">IF($A21="","",IFERROR(1/(1/IF($B21="Residential",SUMIFS(INDEX('Oxford Economics'!$A$7:$AZ$1000,0,IFERROR(MATCH(AH$5,'Oxford Economics'!$A$6:$AZ$6,0),MATCH(AH$5&amp;"",'Oxford Economics'!$A$6:$AZ$6,0))),'Oxford Economics'!$A$7:$A$1000,$C21,'Oxford Economics'!$B$7:$B$1000,Settings!$B$11)-SUMIFS(INDEX('Oxford Economics'!$A$7:$AZ$1000,0,IFERROR(MATCH(AH$5,'Oxford Economics'!$A$6:$AZ$6,0),MATCH(AH$5&amp;"",'Oxford Economics'!$A$6:$AZ$6,0))),'Oxford Economics'!$A$7:$A$1000,$C21,'Oxford Economics'!$B$7:$B$1000,Settings!$B$13),SUMIFS(INDEX('Oxford Economics'!$A$7:$AZ$1000,0,IFERROR(MATCH(AH$5,'Oxford Economics'!$A$6:$AZ$6,0),MATCH(AH$5&amp;"",'Oxford Economics'!$A$6:$AZ$6,0))),'Oxford Economics'!$A$7:$A$1000,$C21,'Oxford Economics'!$B$7:$B$1000,Settings!$B$13)+SUMIFS(INDEX('Oxford Economics'!$A$7:$AZ$1000,0,IFERROR(MATCH(AH$5,'Oxford Economics'!$A$6:$AZ$6,0),MATCH(AH$5&amp;"",'Oxford Economics'!$A$6:$AZ$6,0))),'Oxford Economics'!$A$7:$A$1000,$C21,'Oxford Economics'!$B$7:$B$1000,Settings!$B$15)+IF(Settings!$B$17="",0,SUMIFS(INDEX('Oxford Economics'!$A$7:$AZ$1000,0,IFERROR(MATCH(AH$5,'Oxford Economics'!$A$6:$AZ$6,0),MATCH(AH$5&amp;"",'Oxford Economics'!$A$6:$AZ$6,0))),'Oxford Economics'!$A$7:$A$1000,$C21,'Oxford Economics'!$B$7:$B$1000,Settings!$B$17)))),""))</f>
        <v>4216.77</v>
      </c>
      <c r="AI21" s="37" t="n">
        <f aca="false">IF($A21="","",IFERROR(1/(1/IF($B21="Residential",SUMIFS(INDEX('Oxford Economics'!$A$7:$AZ$1000,0,IFERROR(MATCH(AI$5,'Oxford Economics'!$A$6:$AZ$6,0),MATCH(AI$5&amp;"",'Oxford Economics'!$A$6:$AZ$6,0))),'Oxford Economics'!$A$7:$A$1000,$C21,'Oxford Economics'!$B$7:$B$1000,Settings!$B$11)-SUMIFS(INDEX('Oxford Economics'!$A$7:$AZ$1000,0,IFERROR(MATCH(AI$5,'Oxford Economics'!$A$6:$AZ$6,0),MATCH(AI$5&amp;"",'Oxford Economics'!$A$6:$AZ$6,0))),'Oxford Economics'!$A$7:$A$1000,$C21,'Oxford Economics'!$B$7:$B$1000,Settings!$B$13),SUMIFS(INDEX('Oxford Economics'!$A$7:$AZ$1000,0,IFERROR(MATCH(AI$5,'Oxford Economics'!$A$6:$AZ$6,0),MATCH(AI$5&amp;"",'Oxford Economics'!$A$6:$AZ$6,0))),'Oxford Economics'!$A$7:$A$1000,$C21,'Oxford Economics'!$B$7:$B$1000,Settings!$B$13)+SUMIFS(INDEX('Oxford Economics'!$A$7:$AZ$1000,0,IFERROR(MATCH(AI$5,'Oxford Economics'!$A$6:$AZ$6,0),MATCH(AI$5&amp;"",'Oxford Economics'!$A$6:$AZ$6,0))),'Oxford Economics'!$A$7:$A$1000,$C21,'Oxford Economics'!$B$7:$B$1000,Settings!$B$15)+IF(Settings!$B$17="",0,SUMIFS(INDEX('Oxford Economics'!$A$7:$AZ$1000,0,IFERROR(MATCH(AI$5,'Oxford Economics'!$A$6:$AZ$6,0),MATCH(AI$5&amp;"",'Oxford Economics'!$A$6:$AZ$6,0))),'Oxford Economics'!$A$7:$A$1000,$C21,'Oxford Economics'!$B$7:$B$1000,Settings!$B$17)))),""))</f>
        <v>4156.6</v>
      </c>
      <c r="AJ21" s="37" t="n">
        <f aca="false">IF($A21="","",IFERROR(1/(1/IF($B21="Residential",SUMIFS(INDEX('Oxford Economics'!$A$7:$AZ$1000,0,IFERROR(MATCH(AJ$5,'Oxford Economics'!$A$6:$AZ$6,0),MATCH(AJ$5&amp;"",'Oxford Economics'!$A$6:$AZ$6,0))),'Oxford Economics'!$A$7:$A$1000,$C21,'Oxford Economics'!$B$7:$B$1000,Settings!$B$11)-SUMIFS(INDEX('Oxford Economics'!$A$7:$AZ$1000,0,IFERROR(MATCH(AJ$5,'Oxford Economics'!$A$6:$AZ$6,0),MATCH(AJ$5&amp;"",'Oxford Economics'!$A$6:$AZ$6,0))),'Oxford Economics'!$A$7:$A$1000,$C21,'Oxford Economics'!$B$7:$B$1000,Settings!$B$13),SUMIFS(INDEX('Oxford Economics'!$A$7:$AZ$1000,0,IFERROR(MATCH(AJ$5,'Oxford Economics'!$A$6:$AZ$6,0),MATCH(AJ$5&amp;"",'Oxford Economics'!$A$6:$AZ$6,0))),'Oxford Economics'!$A$7:$A$1000,$C21,'Oxford Economics'!$B$7:$B$1000,Settings!$B$13)+SUMIFS(INDEX('Oxford Economics'!$A$7:$AZ$1000,0,IFERROR(MATCH(AJ$5,'Oxford Economics'!$A$6:$AZ$6,0),MATCH(AJ$5&amp;"",'Oxford Economics'!$A$6:$AZ$6,0))),'Oxford Economics'!$A$7:$A$1000,$C21,'Oxford Economics'!$B$7:$B$1000,Settings!$B$15)+IF(Settings!$B$17="",0,SUMIFS(INDEX('Oxford Economics'!$A$7:$AZ$1000,0,IFERROR(MATCH(AJ$5,'Oxford Economics'!$A$6:$AZ$6,0),MATCH(AJ$5&amp;"",'Oxford Economics'!$A$6:$AZ$6,0))),'Oxford Economics'!$A$7:$A$1000,$C21,'Oxford Economics'!$B$7:$B$1000,Settings!$B$17)))),""))</f>
        <v>4382.67</v>
      </c>
      <c r="AK21" s="37" t="n">
        <f aca="false">IF($A21="","",IFERROR(1/(1/IF($B21="Residential",SUMIFS(INDEX('Oxford Economics'!$A$7:$AZ$1000,0,IFERROR(MATCH(AK$5,'Oxford Economics'!$A$6:$AZ$6,0),MATCH(AK$5&amp;"",'Oxford Economics'!$A$6:$AZ$6,0))),'Oxford Economics'!$A$7:$A$1000,$C21,'Oxford Economics'!$B$7:$B$1000,Settings!$B$11)-SUMIFS(INDEX('Oxford Economics'!$A$7:$AZ$1000,0,IFERROR(MATCH(AK$5,'Oxford Economics'!$A$6:$AZ$6,0),MATCH(AK$5&amp;"",'Oxford Economics'!$A$6:$AZ$6,0))),'Oxford Economics'!$A$7:$A$1000,$C21,'Oxford Economics'!$B$7:$B$1000,Settings!$B$13),SUMIFS(INDEX('Oxford Economics'!$A$7:$AZ$1000,0,IFERROR(MATCH(AK$5,'Oxford Economics'!$A$6:$AZ$6,0),MATCH(AK$5&amp;"",'Oxford Economics'!$A$6:$AZ$6,0))),'Oxford Economics'!$A$7:$A$1000,$C21,'Oxford Economics'!$B$7:$B$1000,Settings!$B$13)+SUMIFS(INDEX('Oxford Economics'!$A$7:$AZ$1000,0,IFERROR(MATCH(AK$5,'Oxford Economics'!$A$6:$AZ$6,0),MATCH(AK$5&amp;"",'Oxford Economics'!$A$6:$AZ$6,0))),'Oxford Economics'!$A$7:$A$1000,$C21,'Oxford Economics'!$B$7:$B$1000,Settings!$B$15)+IF(Settings!$B$17="",0,SUMIFS(INDEX('Oxford Economics'!$A$7:$AZ$1000,0,IFERROR(MATCH(AK$5,'Oxford Economics'!$A$6:$AZ$6,0),MATCH(AK$5&amp;"",'Oxford Economics'!$A$6:$AZ$6,0))),'Oxford Economics'!$A$7:$A$1000,$C21,'Oxford Economics'!$B$7:$B$1000,Settings!$B$17)))),""))</f>
        <v>4475.98</v>
      </c>
      <c r="AL21" s="37" t="n">
        <f aca="false">IF($A21="","",IFERROR(1/(1/IF($B21="Residential",SUMIFS(INDEX('Oxford Economics'!$A$7:$AZ$1000,0,IFERROR(MATCH(AL$5,'Oxford Economics'!$A$6:$AZ$6,0),MATCH(AL$5&amp;"",'Oxford Economics'!$A$6:$AZ$6,0))),'Oxford Economics'!$A$7:$A$1000,$C21,'Oxford Economics'!$B$7:$B$1000,Settings!$B$11)-SUMIFS(INDEX('Oxford Economics'!$A$7:$AZ$1000,0,IFERROR(MATCH(AL$5,'Oxford Economics'!$A$6:$AZ$6,0),MATCH(AL$5&amp;"",'Oxford Economics'!$A$6:$AZ$6,0))),'Oxford Economics'!$A$7:$A$1000,$C21,'Oxford Economics'!$B$7:$B$1000,Settings!$B$13),SUMIFS(INDEX('Oxford Economics'!$A$7:$AZ$1000,0,IFERROR(MATCH(AL$5,'Oxford Economics'!$A$6:$AZ$6,0),MATCH(AL$5&amp;"",'Oxford Economics'!$A$6:$AZ$6,0))),'Oxford Economics'!$A$7:$A$1000,$C21,'Oxford Economics'!$B$7:$B$1000,Settings!$B$13)+SUMIFS(INDEX('Oxford Economics'!$A$7:$AZ$1000,0,IFERROR(MATCH(AL$5,'Oxford Economics'!$A$6:$AZ$6,0),MATCH(AL$5&amp;"",'Oxford Economics'!$A$6:$AZ$6,0))),'Oxford Economics'!$A$7:$A$1000,$C21,'Oxford Economics'!$B$7:$B$1000,Settings!$B$15)+IF(Settings!$B$17="",0,SUMIFS(INDEX('Oxford Economics'!$A$7:$AZ$1000,0,IFERROR(MATCH(AL$5,'Oxford Economics'!$A$6:$AZ$6,0),MATCH(AL$5&amp;"",'Oxford Economics'!$A$6:$AZ$6,0))),'Oxford Economics'!$A$7:$A$1000,$C21,'Oxford Economics'!$B$7:$B$1000,Settings!$B$17)))),""))</f>
        <v>4511.95</v>
      </c>
      <c r="AM21" s="37" t="n">
        <f aca="false">IF($A21="","",IFERROR(1/(1/IF($B21="Residential",SUMIFS(INDEX('Oxford Economics'!$A$7:$AZ$1000,0,IFERROR(MATCH(AM$5,'Oxford Economics'!$A$6:$AZ$6,0),MATCH(AM$5&amp;"",'Oxford Economics'!$A$6:$AZ$6,0))),'Oxford Economics'!$A$7:$A$1000,$C21,'Oxford Economics'!$B$7:$B$1000,Settings!$B$11)-SUMIFS(INDEX('Oxford Economics'!$A$7:$AZ$1000,0,IFERROR(MATCH(AM$5,'Oxford Economics'!$A$6:$AZ$6,0),MATCH(AM$5&amp;"",'Oxford Economics'!$A$6:$AZ$6,0))),'Oxford Economics'!$A$7:$A$1000,$C21,'Oxford Economics'!$B$7:$B$1000,Settings!$B$13),SUMIFS(INDEX('Oxford Economics'!$A$7:$AZ$1000,0,IFERROR(MATCH(AM$5,'Oxford Economics'!$A$6:$AZ$6,0),MATCH(AM$5&amp;"",'Oxford Economics'!$A$6:$AZ$6,0))),'Oxford Economics'!$A$7:$A$1000,$C21,'Oxford Economics'!$B$7:$B$1000,Settings!$B$13)+SUMIFS(INDEX('Oxford Economics'!$A$7:$AZ$1000,0,IFERROR(MATCH(AM$5,'Oxford Economics'!$A$6:$AZ$6,0),MATCH(AM$5&amp;"",'Oxford Economics'!$A$6:$AZ$6,0))),'Oxford Economics'!$A$7:$A$1000,$C21,'Oxford Economics'!$B$7:$B$1000,Settings!$B$15)+IF(Settings!$B$17="",0,SUMIFS(INDEX('Oxford Economics'!$A$7:$AZ$1000,0,IFERROR(MATCH(AM$5,'Oxford Economics'!$A$6:$AZ$6,0),MATCH(AM$5&amp;"",'Oxford Economics'!$A$6:$AZ$6,0))),'Oxford Economics'!$A$7:$A$1000,$C21,'Oxford Economics'!$B$7:$B$1000,Settings!$B$17)))),""))</f>
        <v>4553.43</v>
      </c>
    </row>
    <row r="22" customFormat="false" ht="15" hidden="false" customHeight="false" outlineLevel="0" collapsed="false">
      <c r="A22" s="36" t="str">
        <f aca="false">IF('Raw data'!$A22="","",'Raw data'!$A22)</f>
        <v>Germany</v>
      </c>
      <c r="B22" s="36" t="str">
        <f aca="false">IF($A22="","",'Raw data'!$C22)</f>
        <v>Residential</v>
      </c>
      <c r="C22" s="36" t="str">
        <f aca="false">IF($A22="","",IF('Raw data'!$D22="",$A22,'Raw data'!$D22))</f>
        <v>Germany</v>
      </c>
      <c r="D22" s="37" t="n">
        <f aca="false">IF($A22="","",IF(AND(ISNUMBER(P22),ISNUMBER(AB22)),P22+AB22,""))</f>
        <v>126335.4</v>
      </c>
      <c r="E22" s="37" t="n">
        <f aca="false">IF($A22="","",IF(AND(ISNUMBER(Q22),ISNUMBER(AC22)),Q22+AC22,""))</f>
        <v>121724.63</v>
      </c>
      <c r="F22" s="37" t="n">
        <f aca="false">IF($A22="","",IF(AND(ISNUMBER(R22),ISNUMBER(AD22)),R22+AD22,""))</f>
        <v>108333.75</v>
      </c>
      <c r="G22" s="37" t="n">
        <f aca="false">IF($A22="","",IF(AND(ISNUMBER(S22),ISNUMBER(AE22)),S22+AE22,""))</f>
        <v>105203.78</v>
      </c>
      <c r="H22" s="37" t="n">
        <f aca="false">IF($A22="","",IF(AND(ISNUMBER(T22),ISNUMBER(AF22)),T22+AF22,""))</f>
        <v>100808.61</v>
      </c>
      <c r="I22" s="37" t="n">
        <f aca="false">IF($A22="","",IF(AND(ISNUMBER(U22),ISNUMBER(AG22)),U22+AG22,""))</f>
        <v>96006.35</v>
      </c>
      <c r="J22" s="37" t="n">
        <f aca="false">IF($A22="","",IF(AND(ISNUMBER(V22),ISNUMBER(AH22)),V22+AH22,""))</f>
        <v>95462.69</v>
      </c>
      <c r="K22" s="37" t="n">
        <f aca="false">IF($A22="","",IF(AND(ISNUMBER(W22),ISNUMBER(AI22)),W22+AI22,""))</f>
        <v>96579.65</v>
      </c>
      <c r="L22" s="37" t="n">
        <f aca="false">IF($A22="","",IF(AND(ISNUMBER(X22),ISNUMBER(AJ22)),X22+AJ22,""))</f>
        <v>100077.98</v>
      </c>
      <c r="M22" s="37" t="n">
        <f aca="false">IF($A22="","",IF(AND(ISNUMBER(Y22),ISNUMBER(AK22)),Y22+AK22,""))</f>
        <v>103905.91</v>
      </c>
      <c r="N22" s="37" t="n">
        <f aca="false">IF($A22="","",IF(AND(ISNUMBER(Z22),ISNUMBER(AL22)),Z22+AL22,""))</f>
        <v>108154.42</v>
      </c>
      <c r="O22" s="37" t="n">
        <f aca="false">IF($A22="","",IF(AND(ISNUMBER(AA22),ISNUMBER(AM22)),AA22+AM22,""))</f>
        <v>109985.6</v>
      </c>
      <c r="P22" s="37" t="n">
        <f aca="false">IF($A22="","",IFERROR(1/(1/IF($B22="Residential",SUMIFS(INDEX('Oxford Economics'!$A$7:$AZ$1000,0,IFERROR(MATCH(P$5,'Oxford Economics'!$A$6:$AZ$6,0),MATCH(P$5&amp;"",'Oxford Economics'!$A$6:$AZ$6,0))),'Oxford Economics'!$A$7:$A$1000,$C22,'Oxford Economics'!$B$7:$B$1000,Settings!$B$12)-SUMIFS(INDEX('Oxford Economics'!$A$7:$AZ$1000,0,IFERROR(MATCH(P$5,'Oxford Economics'!$A$6:$AZ$6,0),MATCH(P$5&amp;"",'Oxford Economics'!$A$6:$AZ$6,0))),'Oxford Economics'!$A$7:$A$1000,$C22,'Oxford Economics'!$B$7:$B$1000,Settings!$B$14),SUMIFS(INDEX('Oxford Economics'!$A$7:$AZ$1000,0,IFERROR(MATCH(P$5,'Oxford Economics'!$A$6:$AZ$6,0),MATCH(P$5&amp;"",'Oxford Economics'!$A$6:$AZ$6,0))),'Oxford Economics'!$A$7:$A$1000,$C22,'Oxford Economics'!$B$7:$B$1000,Settings!$B$14)+SUMIFS(INDEX('Oxford Economics'!$A$7:$AZ$1000,0,IFERROR(MATCH(P$5,'Oxford Economics'!$A$6:$AZ$6,0),MATCH(P$5&amp;"",'Oxford Economics'!$A$6:$AZ$6,0))),'Oxford Economics'!$A$7:$A$1000,$C22,'Oxford Economics'!$B$7:$B$1000,Settings!$B$16)+IF(Settings!$B$18="",0,SUMIFS(INDEX('Oxford Economics'!$A$7:$AZ$1000,0,IFERROR(MATCH(P$5,'Oxford Economics'!$A$6:$AZ$6,0),MATCH(P$5&amp;"",'Oxford Economics'!$A$6:$AZ$6,0))),'Oxford Economics'!$A$7:$A$1000,$C22,'Oxford Economics'!$B$7:$B$1000,Settings!$B$18)))),""))</f>
        <v>92604.17</v>
      </c>
      <c r="Q22" s="37" t="n">
        <f aca="false">IF($A22="","",IFERROR(1/(1/IF($B22="Residential",SUMIFS(INDEX('Oxford Economics'!$A$7:$AZ$1000,0,IFERROR(MATCH(Q$5,'Oxford Economics'!$A$6:$AZ$6,0),MATCH(Q$5&amp;"",'Oxford Economics'!$A$6:$AZ$6,0))),'Oxford Economics'!$A$7:$A$1000,$C22,'Oxford Economics'!$B$7:$B$1000,Settings!$B$12)-SUMIFS(INDEX('Oxford Economics'!$A$7:$AZ$1000,0,IFERROR(MATCH(Q$5,'Oxford Economics'!$A$6:$AZ$6,0),MATCH(Q$5&amp;"",'Oxford Economics'!$A$6:$AZ$6,0))),'Oxford Economics'!$A$7:$A$1000,$C22,'Oxford Economics'!$B$7:$B$1000,Settings!$B$14),SUMIFS(INDEX('Oxford Economics'!$A$7:$AZ$1000,0,IFERROR(MATCH(Q$5,'Oxford Economics'!$A$6:$AZ$6,0),MATCH(Q$5&amp;"",'Oxford Economics'!$A$6:$AZ$6,0))),'Oxford Economics'!$A$7:$A$1000,$C22,'Oxford Economics'!$B$7:$B$1000,Settings!$B$14)+SUMIFS(INDEX('Oxford Economics'!$A$7:$AZ$1000,0,IFERROR(MATCH(Q$5,'Oxford Economics'!$A$6:$AZ$6,0),MATCH(Q$5&amp;"",'Oxford Economics'!$A$6:$AZ$6,0))),'Oxford Economics'!$A$7:$A$1000,$C22,'Oxford Economics'!$B$7:$B$1000,Settings!$B$16)+IF(Settings!$B$18="",0,SUMIFS(INDEX('Oxford Economics'!$A$7:$AZ$1000,0,IFERROR(MATCH(Q$5,'Oxford Economics'!$A$6:$AZ$6,0),MATCH(Q$5&amp;"",'Oxford Economics'!$A$6:$AZ$6,0))),'Oxford Economics'!$A$7:$A$1000,$C22,'Oxford Economics'!$B$7:$B$1000,Settings!$B$18)))),""))</f>
        <v>88470.63</v>
      </c>
      <c r="R22" s="37" t="n">
        <f aca="false">IF($A22="","",IFERROR(1/(1/IF($B22="Residential",SUMIFS(INDEX('Oxford Economics'!$A$7:$AZ$1000,0,IFERROR(MATCH(R$5,'Oxford Economics'!$A$6:$AZ$6,0),MATCH(R$5&amp;"",'Oxford Economics'!$A$6:$AZ$6,0))),'Oxford Economics'!$A$7:$A$1000,$C22,'Oxford Economics'!$B$7:$B$1000,Settings!$B$12)-SUMIFS(INDEX('Oxford Economics'!$A$7:$AZ$1000,0,IFERROR(MATCH(R$5,'Oxford Economics'!$A$6:$AZ$6,0),MATCH(R$5&amp;"",'Oxford Economics'!$A$6:$AZ$6,0))),'Oxford Economics'!$A$7:$A$1000,$C22,'Oxford Economics'!$B$7:$B$1000,Settings!$B$14),SUMIFS(INDEX('Oxford Economics'!$A$7:$AZ$1000,0,IFERROR(MATCH(R$5,'Oxford Economics'!$A$6:$AZ$6,0),MATCH(R$5&amp;"",'Oxford Economics'!$A$6:$AZ$6,0))),'Oxford Economics'!$A$7:$A$1000,$C22,'Oxford Economics'!$B$7:$B$1000,Settings!$B$14)+SUMIFS(INDEX('Oxford Economics'!$A$7:$AZ$1000,0,IFERROR(MATCH(R$5,'Oxford Economics'!$A$6:$AZ$6,0),MATCH(R$5&amp;"",'Oxford Economics'!$A$6:$AZ$6,0))),'Oxford Economics'!$A$7:$A$1000,$C22,'Oxford Economics'!$B$7:$B$1000,Settings!$B$16)+IF(Settings!$B$18="",0,SUMIFS(INDEX('Oxford Economics'!$A$7:$AZ$1000,0,IFERROR(MATCH(R$5,'Oxford Economics'!$A$6:$AZ$6,0),MATCH(R$5&amp;"",'Oxford Economics'!$A$6:$AZ$6,0))),'Oxford Economics'!$A$7:$A$1000,$C22,'Oxford Economics'!$B$7:$B$1000,Settings!$B$18)))),""))</f>
        <v>80855.95</v>
      </c>
      <c r="S22" s="37" t="n">
        <f aca="false">IF($A22="","",IFERROR(1/(1/IF($B22="Residential",SUMIFS(INDEX('Oxford Economics'!$A$7:$AZ$1000,0,IFERROR(MATCH(S$5,'Oxford Economics'!$A$6:$AZ$6,0),MATCH(S$5&amp;"",'Oxford Economics'!$A$6:$AZ$6,0))),'Oxford Economics'!$A$7:$A$1000,$C22,'Oxford Economics'!$B$7:$B$1000,Settings!$B$12)-SUMIFS(INDEX('Oxford Economics'!$A$7:$AZ$1000,0,IFERROR(MATCH(S$5,'Oxford Economics'!$A$6:$AZ$6,0),MATCH(S$5&amp;"",'Oxford Economics'!$A$6:$AZ$6,0))),'Oxford Economics'!$A$7:$A$1000,$C22,'Oxford Economics'!$B$7:$B$1000,Settings!$B$14),SUMIFS(INDEX('Oxford Economics'!$A$7:$AZ$1000,0,IFERROR(MATCH(S$5,'Oxford Economics'!$A$6:$AZ$6,0),MATCH(S$5&amp;"",'Oxford Economics'!$A$6:$AZ$6,0))),'Oxford Economics'!$A$7:$A$1000,$C22,'Oxford Economics'!$B$7:$B$1000,Settings!$B$14)+SUMIFS(INDEX('Oxford Economics'!$A$7:$AZ$1000,0,IFERROR(MATCH(S$5,'Oxford Economics'!$A$6:$AZ$6,0),MATCH(S$5&amp;"",'Oxford Economics'!$A$6:$AZ$6,0))),'Oxford Economics'!$A$7:$A$1000,$C22,'Oxford Economics'!$B$7:$B$1000,Settings!$B$16)+IF(Settings!$B$18="",0,SUMIFS(INDEX('Oxford Economics'!$A$7:$AZ$1000,0,IFERROR(MATCH(S$5,'Oxford Economics'!$A$6:$AZ$6,0),MATCH(S$5&amp;"",'Oxford Economics'!$A$6:$AZ$6,0))),'Oxford Economics'!$A$7:$A$1000,$C22,'Oxford Economics'!$B$7:$B$1000,Settings!$B$18)))),""))</f>
        <v>82781.23</v>
      </c>
      <c r="T22" s="37" t="n">
        <f aca="false">IF($A22="","",IFERROR(1/(1/IF($B22="Residential",SUMIFS(INDEX('Oxford Economics'!$A$7:$AZ$1000,0,IFERROR(MATCH(T$5,'Oxford Economics'!$A$6:$AZ$6,0),MATCH(T$5&amp;"",'Oxford Economics'!$A$6:$AZ$6,0))),'Oxford Economics'!$A$7:$A$1000,$C22,'Oxford Economics'!$B$7:$B$1000,Settings!$B$12)-SUMIFS(INDEX('Oxford Economics'!$A$7:$AZ$1000,0,IFERROR(MATCH(T$5,'Oxford Economics'!$A$6:$AZ$6,0),MATCH(T$5&amp;"",'Oxford Economics'!$A$6:$AZ$6,0))),'Oxford Economics'!$A$7:$A$1000,$C22,'Oxford Economics'!$B$7:$B$1000,Settings!$B$14),SUMIFS(INDEX('Oxford Economics'!$A$7:$AZ$1000,0,IFERROR(MATCH(T$5,'Oxford Economics'!$A$6:$AZ$6,0),MATCH(T$5&amp;"",'Oxford Economics'!$A$6:$AZ$6,0))),'Oxford Economics'!$A$7:$A$1000,$C22,'Oxford Economics'!$B$7:$B$1000,Settings!$B$14)+SUMIFS(INDEX('Oxford Economics'!$A$7:$AZ$1000,0,IFERROR(MATCH(T$5,'Oxford Economics'!$A$6:$AZ$6,0),MATCH(T$5&amp;"",'Oxford Economics'!$A$6:$AZ$6,0))),'Oxford Economics'!$A$7:$A$1000,$C22,'Oxford Economics'!$B$7:$B$1000,Settings!$B$16)+IF(Settings!$B$18="",0,SUMIFS(INDEX('Oxford Economics'!$A$7:$AZ$1000,0,IFERROR(MATCH(T$5,'Oxford Economics'!$A$6:$AZ$6,0),MATCH(T$5&amp;"",'Oxford Economics'!$A$6:$AZ$6,0))),'Oxford Economics'!$A$7:$A$1000,$C22,'Oxford Economics'!$B$7:$B$1000,Settings!$B$18)))),""))</f>
        <v>83354.14</v>
      </c>
      <c r="U22" s="37" t="n">
        <f aca="false">IF($A22="","",IFERROR(1/(1/IF($B22="Residential",SUMIFS(INDEX('Oxford Economics'!$A$7:$AZ$1000,0,IFERROR(MATCH(U$5,'Oxford Economics'!$A$6:$AZ$6,0),MATCH(U$5&amp;"",'Oxford Economics'!$A$6:$AZ$6,0))),'Oxford Economics'!$A$7:$A$1000,$C22,'Oxford Economics'!$B$7:$B$1000,Settings!$B$12)-SUMIFS(INDEX('Oxford Economics'!$A$7:$AZ$1000,0,IFERROR(MATCH(U$5,'Oxford Economics'!$A$6:$AZ$6,0),MATCH(U$5&amp;"",'Oxford Economics'!$A$6:$AZ$6,0))),'Oxford Economics'!$A$7:$A$1000,$C22,'Oxford Economics'!$B$7:$B$1000,Settings!$B$14),SUMIFS(INDEX('Oxford Economics'!$A$7:$AZ$1000,0,IFERROR(MATCH(U$5,'Oxford Economics'!$A$6:$AZ$6,0),MATCH(U$5&amp;"",'Oxford Economics'!$A$6:$AZ$6,0))),'Oxford Economics'!$A$7:$A$1000,$C22,'Oxford Economics'!$B$7:$B$1000,Settings!$B$14)+SUMIFS(INDEX('Oxford Economics'!$A$7:$AZ$1000,0,IFERROR(MATCH(U$5,'Oxford Economics'!$A$6:$AZ$6,0),MATCH(U$5&amp;"",'Oxford Economics'!$A$6:$AZ$6,0))),'Oxford Economics'!$A$7:$A$1000,$C22,'Oxford Economics'!$B$7:$B$1000,Settings!$B$16)+IF(Settings!$B$18="",0,SUMIFS(INDEX('Oxford Economics'!$A$7:$AZ$1000,0,IFERROR(MATCH(U$5,'Oxford Economics'!$A$6:$AZ$6,0),MATCH(U$5&amp;"",'Oxford Economics'!$A$6:$AZ$6,0))),'Oxford Economics'!$A$7:$A$1000,$C22,'Oxford Economics'!$B$7:$B$1000,Settings!$B$18)))),""))</f>
        <v>79176.16</v>
      </c>
      <c r="V22" s="37" t="n">
        <f aca="false">IF($A22="","",IFERROR(1/(1/IF($B22="Residential",SUMIFS(INDEX('Oxford Economics'!$A$7:$AZ$1000,0,IFERROR(MATCH(V$5,'Oxford Economics'!$A$6:$AZ$6,0),MATCH(V$5&amp;"",'Oxford Economics'!$A$6:$AZ$6,0))),'Oxford Economics'!$A$7:$A$1000,$C22,'Oxford Economics'!$B$7:$B$1000,Settings!$B$12)-SUMIFS(INDEX('Oxford Economics'!$A$7:$AZ$1000,0,IFERROR(MATCH(V$5,'Oxford Economics'!$A$6:$AZ$6,0),MATCH(V$5&amp;"",'Oxford Economics'!$A$6:$AZ$6,0))),'Oxford Economics'!$A$7:$A$1000,$C22,'Oxford Economics'!$B$7:$B$1000,Settings!$B$14),SUMIFS(INDEX('Oxford Economics'!$A$7:$AZ$1000,0,IFERROR(MATCH(V$5,'Oxford Economics'!$A$6:$AZ$6,0),MATCH(V$5&amp;"",'Oxford Economics'!$A$6:$AZ$6,0))),'Oxford Economics'!$A$7:$A$1000,$C22,'Oxford Economics'!$B$7:$B$1000,Settings!$B$14)+SUMIFS(INDEX('Oxford Economics'!$A$7:$AZ$1000,0,IFERROR(MATCH(V$5,'Oxford Economics'!$A$6:$AZ$6,0),MATCH(V$5&amp;"",'Oxford Economics'!$A$6:$AZ$6,0))),'Oxford Economics'!$A$7:$A$1000,$C22,'Oxford Economics'!$B$7:$B$1000,Settings!$B$16)+IF(Settings!$B$18="",0,SUMIFS(INDEX('Oxford Economics'!$A$7:$AZ$1000,0,IFERROR(MATCH(V$5,'Oxford Economics'!$A$6:$AZ$6,0),MATCH(V$5&amp;"",'Oxford Economics'!$A$6:$AZ$6,0))),'Oxford Economics'!$A$7:$A$1000,$C22,'Oxford Economics'!$B$7:$B$1000,Settings!$B$18)))),""))</f>
        <v>77358.03</v>
      </c>
      <c r="W22" s="37" t="n">
        <f aca="false">IF($A22="","",IFERROR(1/(1/IF($B22="Residential",SUMIFS(INDEX('Oxford Economics'!$A$7:$AZ$1000,0,IFERROR(MATCH(W$5,'Oxford Economics'!$A$6:$AZ$6,0),MATCH(W$5&amp;"",'Oxford Economics'!$A$6:$AZ$6,0))),'Oxford Economics'!$A$7:$A$1000,$C22,'Oxford Economics'!$B$7:$B$1000,Settings!$B$12)-SUMIFS(INDEX('Oxford Economics'!$A$7:$AZ$1000,0,IFERROR(MATCH(W$5,'Oxford Economics'!$A$6:$AZ$6,0),MATCH(W$5&amp;"",'Oxford Economics'!$A$6:$AZ$6,0))),'Oxford Economics'!$A$7:$A$1000,$C22,'Oxford Economics'!$B$7:$B$1000,Settings!$B$14),SUMIFS(INDEX('Oxford Economics'!$A$7:$AZ$1000,0,IFERROR(MATCH(W$5,'Oxford Economics'!$A$6:$AZ$6,0),MATCH(W$5&amp;"",'Oxford Economics'!$A$6:$AZ$6,0))),'Oxford Economics'!$A$7:$A$1000,$C22,'Oxford Economics'!$B$7:$B$1000,Settings!$B$14)+SUMIFS(INDEX('Oxford Economics'!$A$7:$AZ$1000,0,IFERROR(MATCH(W$5,'Oxford Economics'!$A$6:$AZ$6,0),MATCH(W$5&amp;"",'Oxford Economics'!$A$6:$AZ$6,0))),'Oxford Economics'!$A$7:$A$1000,$C22,'Oxford Economics'!$B$7:$B$1000,Settings!$B$16)+IF(Settings!$B$18="",0,SUMIFS(INDEX('Oxford Economics'!$A$7:$AZ$1000,0,IFERROR(MATCH(W$5,'Oxford Economics'!$A$6:$AZ$6,0),MATCH(W$5&amp;"",'Oxford Economics'!$A$6:$AZ$6,0))),'Oxford Economics'!$A$7:$A$1000,$C22,'Oxford Economics'!$B$7:$B$1000,Settings!$B$18)))),""))</f>
        <v>77890.57</v>
      </c>
      <c r="X22" s="37" t="n">
        <f aca="false">IF($A22="","",IFERROR(1/(1/IF($B22="Residential",SUMIFS(INDEX('Oxford Economics'!$A$7:$AZ$1000,0,IFERROR(MATCH(X$5,'Oxford Economics'!$A$6:$AZ$6,0),MATCH(X$5&amp;"",'Oxford Economics'!$A$6:$AZ$6,0))),'Oxford Economics'!$A$7:$A$1000,$C22,'Oxford Economics'!$B$7:$B$1000,Settings!$B$12)-SUMIFS(INDEX('Oxford Economics'!$A$7:$AZ$1000,0,IFERROR(MATCH(X$5,'Oxford Economics'!$A$6:$AZ$6,0),MATCH(X$5&amp;"",'Oxford Economics'!$A$6:$AZ$6,0))),'Oxford Economics'!$A$7:$A$1000,$C22,'Oxford Economics'!$B$7:$B$1000,Settings!$B$14),SUMIFS(INDEX('Oxford Economics'!$A$7:$AZ$1000,0,IFERROR(MATCH(X$5,'Oxford Economics'!$A$6:$AZ$6,0),MATCH(X$5&amp;"",'Oxford Economics'!$A$6:$AZ$6,0))),'Oxford Economics'!$A$7:$A$1000,$C22,'Oxford Economics'!$B$7:$B$1000,Settings!$B$14)+SUMIFS(INDEX('Oxford Economics'!$A$7:$AZ$1000,0,IFERROR(MATCH(X$5,'Oxford Economics'!$A$6:$AZ$6,0),MATCH(X$5&amp;"",'Oxford Economics'!$A$6:$AZ$6,0))),'Oxford Economics'!$A$7:$A$1000,$C22,'Oxford Economics'!$B$7:$B$1000,Settings!$B$16)+IF(Settings!$B$18="",0,SUMIFS(INDEX('Oxford Economics'!$A$7:$AZ$1000,0,IFERROR(MATCH(X$5,'Oxford Economics'!$A$6:$AZ$6,0),MATCH(X$5&amp;"",'Oxford Economics'!$A$6:$AZ$6,0))),'Oxford Economics'!$A$7:$A$1000,$C22,'Oxford Economics'!$B$7:$B$1000,Settings!$B$18)))),""))</f>
        <v>80942.99</v>
      </c>
      <c r="Y22" s="37" t="n">
        <f aca="false">IF($A22="","",IFERROR(1/(1/IF($B22="Residential",SUMIFS(INDEX('Oxford Economics'!$A$7:$AZ$1000,0,IFERROR(MATCH(Y$5,'Oxford Economics'!$A$6:$AZ$6,0),MATCH(Y$5&amp;"",'Oxford Economics'!$A$6:$AZ$6,0))),'Oxford Economics'!$A$7:$A$1000,$C22,'Oxford Economics'!$B$7:$B$1000,Settings!$B$12)-SUMIFS(INDEX('Oxford Economics'!$A$7:$AZ$1000,0,IFERROR(MATCH(Y$5,'Oxford Economics'!$A$6:$AZ$6,0),MATCH(Y$5&amp;"",'Oxford Economics'!$A$6:$AZ$6,0))),'Oxford Economics'!$A$7:$A$1000,$C22,'Oxford Economics'!$B$7:$B$1000,Settings!$B$14),SUMIFS(INDEX('Oxford Economics'!$A$7:$AZ$1000,0,IFERROR(MATCH(Y$5,'Oxford Economics'!$A$6:$AZ$6,0),MATCH(Y$5&amp;"",'Oxford Economics'!$A$6:$AZ$6,0))),'Oxford Economics'!$A$7:$A$1000,$C22,'Oxford Economics'!$B$7:$B$1000,Settings!$B$14)+SUMIFS(INDEX('Oxford Economics'!$A$7:$AZ$1000,0,IFERROR(MATCH(Y$5,'Oxford Economics'!$A$6:$AZ$6,0),MATCH(Y$5&amp;"",'Oxford Economics'!$A$6:$AZ$6,0))),'Oxford Economics'!$A$7:$A$1000,$C22,'Oxford Economics'!$B$7:$B$1000,Settings!$B$16)+IF(Settings!$B$18="",0,SUMIFS(INDEX('Oxford Economics'!$A$7:$AZ$1000,0,IFERROR(MATCH(Y$5,'Oxford Economics'!$A$6:$AZ$6,0),MATCH(Y$5&amp;"",'Oxford Economics'!$A$6:$AZ$6,0))),'Oxford Economics'!$A$7:$A$1000,$C22,'Oxford Economics'!$B$7:$B$1000,Settings!$B$18)))),""))</f>
        <v>84182.4</v>
      </c>
      <c r="Z22" s="37" t="n">
        <f aca="false">IF($A22="","",IFERROR(1/(1/IF($B22="Residential",SUMIFS(INDEX('Oxford Economics'!$A$7:$AZ$1000,0,IFERROR(MATCH(Z$5,'Oxford Economics'!$A$6:$AZ$6,0),MATCH(Z$5&amp;"",'Oxford Economics'!$A$6:$AZ$6,0))),'Oxford Economics'!$A$7:$A$1000,$C22,'Oxford Economics'!$B$7:$B$1000,Settings!$B$12)-SUMIFS(INDEX('Oxford Economics'!$A$7:$AZ$1000,0,IFERROR(MATCH(Z$5,'Oxford Economics'!$A$6:$AZ$6,0),MATCH(Z$5&amp;"",'Oxford Economics'!$A$6:$AZ$6,0))),'Oxford Economics'!$A$7:$A$1000,$C22,'Oxford Economics'!$B$7:$B$1000,Settings!$B$14),SUMIFS(INDEX('Oxford Economics'!$A$7:$AZ$1000,0,IFERROR(MATCH(Z$5,'Oxford Economics'!$A$6:$AZ$6,0),MATCH(Z$5&amp;"",'Oxford Economics'!$A$6:$AZ$6,0))),'Oxford Economics'!$A$7:$A$1000,$C22,'Oxford Economics'!$B$7:$B$1000,Settings!$B$14)+SUMIFS(INDEX('Oxford Economics'!$A$7:$AZ$1000,0,IFERROR(MATCH(Z$5,'Oxford Economics'!$A$6:$AZ$6,0),MATCH(Z$5&amp;"",'Oxford Economics'!$A$6:$AZ$6,0))),'Oxford Economics'!$A$7:$A$1000,$C22,'Oxford Economics'!$B$7:$B$1000,Settings!$B$16)+IF(Settings!$B$18="",0,SUMIFS(INDEX('Oxford Economics'!$A$7:$AZ$1000,0,IFERROR(MATCH(Z$5,'Oxford Economics'!$A$6:$AZ$6,0),MATCH(Z$5&amp;"",'Oxford Economics'!$A$6:$AZ$6,0))),'Oxford Economics'!$A$7:$A$1000,$C22,'Oxford Economics'!$B$7:$B$1000,Settings!$B$18)))),""))</f>
        <v>88007.92</v>
      </c>
      <c r="AA22" s="37" t="n">
        <f aca="false">IF($A22="","",IFERROR(1/(1/IF($B22="Residential",SUMIFS(INDEX('Oxford Economics'!$A$7:$AZ$1000,0,IFERROR(MATCH(AA$5,'Oxford Economics'!$A$6:$AZ$6,0),MATCH(AA$5&amp;"",'Oxford Economics'!$A$6:$AZ$6,0))),'Oxford Economics'!$A$7:$A$1000,$C22,'Oxford Economics'!$B$7:$B$1000,Settings!$B$12)-SUMIFS(INDEX('Oxford Economics'!$A$7:$AZ$1000,0,IFERROR(MATCH(AA$5,'Oxford Economics'!$A$6:$AZ$6,0),MATCH(AA$5&amp;"",'Oxford Economics'!$A$6:$AZ$6,0))),'Oxford Economics'!$A$7:$A$1000,$C22,'Oxford Economics'!$B$7:$B$1000,Settings!$B$14),SUMIFS(INDEX('Oxford Economics'!$A$7:$AZ$1000,0,IFERROR(MATCH(AA$5,'Oxford Economics'!$A$6:$AZ$6,0),MATCH(AA$5&amp;"",'Oxford Economics'!$A$6:$AZ$6,0))),'Oxford Economics'!$A$7:$A$1000,$C22,'Oxford Economics'!$B$7:$B$1000,Settings!$B$14)+SUMIFS(INDEX('Oxford Economics'!$A$7:$AZ$1000,0,IFERROR(MATCH(AA$5,'Oxford Economics'!$A$6:$AZ$6,0),MATCH(AA$5&amp;"",'Oxford Economics'!$A$6:$AZ$6,0))),'Oxford Economics'!$A$7:$A$1000,$C22,'Oxford Economics'!$B$7:$B$1000,Settings!$B$16)+IF(Settings!$B$18="",0,SUMIFS(INDEX('Oxford Economics'!$A$7:$AZ$1000,0,IFERROR(MATCH(AA$5,'Oxford Economics'!$A$6:$AZ$6,0),MATCH(AA$5&amp;"",'Oxford Economics'!$A$6:$AZ$6,0))),'Oxford Economics'!$A$7:$A$1000,$C22,'Oxford Economics'!$B$7:$B$1000,Settings!$B$18)))),""))</f>
        <v>89561.24</v>
      </c>
      <c r="AB22" s="37" t="n">
        <f aca="false">IF($A22="","",IFERROR(1/(1/IF($B22="Residential",SUMIFS(INDEX('Oxford Economics'!$A$7:$AZ$1000,0,IFERROR(MATCH(AB$5,'Oxford Economics'!$A$6:$AZ$6,0),MATCH(AB$5&amp;"",'Oxford Economics'!$A$6:$AZ$6,0))),'Oxford Economics'!$A$7:$A$1000,$C22,'Oxford Economics'!$B$7:$B$1000,Settings!$B$11)-SUMIFS(INDEX('Oxford Economics'!$A$7:$AZ$1000,0,IFERROR(MATCH(AB$5,'Oxford Economics'!$A$6:$AZ$6,0),MATCH(AB$5&amp;"",'Oxford Economics'!$A$6:$AZ$6,0))),'Oxford Economics'!$A$7:$A$1000,$C22,'Oxford Economics'!$B$7:$B$1000,Settings!$B$13),SUMIFS(INDEX('Oxford Economics'!$A$7:$AZ$1000,0,IFERROR(MATCH(AB$5,'Oxford Economics'!$A$6:$AZ$6,0),MATCH(AB$5&amp;"",'Oxford Economics'!$A$6:$AZ$6,0))),'Oxford Economics'!$A$7:$A$1000,$C22,'Oxford Economics'!$B$7:$B$1000,Settings!$B$13)+SUMIFS(INDEX('Oxford Economics'!$A$7:$AZ$1000,0,IFERROR(MATCH(AB$5,'Oxford Economics'!$A$6:$AZ$6,0),MATCH(AB$5&amp;"",'Oxford Economics'!$A$6:$AZ$6,0))),'Oxford Economics'!$A$7:$A$1000,$C22,'Oxford Economics'!$B$7:$B$1000,Settings!$B$15)+IF(Settings!$B$17="",0,SUMIFS(INDEX('Oxford Economics'!$A$7:$AZ$1000,0,IFERROR(MATCH(AB$5,'Oxford Economics'!$A$6:$AZ$6,0),MATCH(AB$5&amp;"",'Oxford Economics'!$A$6:$AZ$6,0))),'Oxford Economics'!$A$7:$A$1000,$C22,'Oxford Economics'!$B$7:$B$1000,Settings!$B$17)))),""))</f>
        <v>33731.23</v>
      </c>
      <c r="AC22" s="37" t="n">
        <f aca="false">IF($A22="","",IFERROR(1/(1/IF($B22="Residential",SUMIFS(INDEX('Oxford Economics'!$A$7:$AZ$1000,0,IFERROR(MATCH(AC$5,'Oxford Economics'!$A$6:$AZ$6,0),MATCH(AC$5&amp;"",'Oxford Economics'!$A$6:$AZ$6,0))),'Oxford Economics'!$A$7:$A$1000,$C22,'Oxford Economics'!$B$7:$B$1000,Settings!$B$11)-SUMIFS(INDEX('Oxford Economics'!$A$7:$AZ$1000,0,IFERROR(MATCH(AC$5,'Oxford Economics'!$A$6:$AZ$6,0),MATCH(AC$5&amp;"",'Oxford Economics'!$A$6:$AZ$6,0))),'Oxford Economics'!$A$7:$A$1000,$C22,'Oxford Economics'!$B$7:$B$1000,Settings!$B$13),SUMIFS(INDEX('Oxford Economics'!$A$7:$AZ$1000,0,IFERROR(MATCH(AC$5,'Oxford Economics'!$A$6:$AZ$6,0),MATCH(AC$5&amp;"",'Oxford Economics'!$A$6:$AZ$6,0))),'Oxford Economics'!$A$7:$A$1000,$C22,'Oxford Economics'!$B$7:$B$1000,Settings!$B$13)+SUMIFS(INDEX('Oxford Economics'!$A$7:$AZ$1000,0,IFERROR(MATCH(AC$5,'Oxford Economics'!$A$6:$AZ$6,0),MATCH(AC$5&amp;"",'Oxford Economics'!$A$6:$AZ$6,0))),'Oxford Economics'!$A$7:$A$1000,$C22,'Oxford Economics'!$B$7:$B$1000,Settings!$B$15)+IF(Settings!$B$17="",0,SUMIFS(INDEX('Oxford Economics'!$A$7:$AZ$1000,0,IFERROR(MATCH(AC$5,'Oxford Economics'!$A$6:$AZ$6,0),MATCH(AC$5&amp;"",'Oxford Economics'!$A$6:$AZ$6,0))),'Oxford Economics'!$A$7:$A$1000,$C22,'Oxford Economics'!$B$7:$B$1000,Settings!$B$17)))),""))</f>
        <v>33254</v>
      </c>
      <c r="AD22" s="37" t="n">
        <f aca="false">IF($A22="","",IFERROR(1/(1/IF($B22="Residential",SUMIFS(INDEX('Oxford Economics'!$A$7:$AZ$1000,0,IFERROR(MATCH(AD$5,'Oxford Economics'!$A$6:$AZ$6,0),MATCH(AD$5&amp;"",'Oxford Economics'!$A$6:$AZ$6,0))),'Oxford Economics'!$A$7:$A$1000,$C22,'Oxford Economics'!$B$7:$B$1000,Settings!$B$11)-SUMIFS(INDEX('Oxford Economics'!$A$7:$AZ$1000,0,IFERROR(MATCH(AD$5,'Oxford Economics'!$A$6:$AZ$6,0),MATCH(AD$5&amp;"",'Oxford Economics'!$A$6:$AZ$6,0))),'Oxford Economics'!$A$7:$A$1000,$C22,'Oxford Economics'!$B$7:$B$1000,Settings!$B$13),SUMIFS(INDEX('Oxford Economics'!$A$7:$AZ$1000,0,IFERROR(MATCH(AD$5,'Oxford Economics'!$A$6:$AZ$6,0),MATCH(AD$5&amp;"",'Oxford Economics'!$A$6:$AZ$6,0))),'Oxford Economics'!$A$7:$A$1000,$C22,'Oxford Economics'!$B$7:$B$1000,Settings!$B$13)+SUMIFS(INDEX('Oxford Economics'!$A$7:$AZ$1000,0,IFERROR(MATCH(AD$5,'Oxford Economics'!$A$6:$AZ$6,0),MATCH(AD$5&amp;"",'Oxford Economics'!$A$6:$AZ$6,0))),'Oxford Economics'!$A$7:$A$1000,$C22,'Oxford Economics'!$B$7:$B$1000,Settings!$B$15)+IF(Settings!$B$17="",0,SUMIFS(INDEX('Oxford Economics'!$A$7:$AZ$1000,0,IFERROR(MATCH(AD$5,'Oxford Economics'!$A$6:$AZ$6,0),MATCH(AD$5&amp;"",'Oxford Economics'!$A$6:$AZ$6,0))),'Oxford Economics'!$A$7:$A$1000,$C22,'Oxford Economics'!$B$7:$B$1000,Settings!$B$17)))),""))</f>
        <v>27477.8</v>
      </c>
      <c r="AE22" s="37" t="n">
        <f aca="false">IF($A22="","",IFERROR(1/(1/IF($B22="Residential",SUMIFS(INDEX('Oxford Economics'!$A$7:$AZ$1000,0,IFERROR(MATCH(AE$5,'Oxford Economics'!$A$6:$AZ$6,0),MATCH(AE$5&amp;"",'Oxford Economics'!$A$6:$AZ$6,0))),'Oxford Economics'!$A$7:$A$1000,$C22,'Oxford Economics'!$B$7:$B$1000,Settings!$B$11)-SUMIFS(INDEX('Oxford Economics'!$A$7:$AZ$1000,0,IFERROR(MATCH(AE$5,'Oxford Economics'!$A$6:$AZ$6,0),MATCH(AE$5&amp;"",'Oxford Economics'!$A$6:$AZ$6,0))),'Oxford Economics'!$A$7:$A$1000,$C22,'Oxford Economics'!$B$7:$B$1000,Settings!$B$13),SUMIFS(INDEX('Oxford Economics'!$A$7:$AZ$1000,0,IFERROR(MATCH(AE$5,'Oxford Economics'!$A$6:$AZ$6,0),MATCH(AE$5&amp;"",'Oxford Economics'!$A$6:$AZ$6,0))),'Oxford Economics'!$A$7:$A$1000,$C22,'Oxford Economics'!$B$7:$B$1000,Settings!$B$13)+SUMIFS(INDEX('Oxford Economics'!$A$7:$AZ$1000,0,IFERROR(MATCH(AE$5,'Oxford Economics'!$A$6:$AZ$6,0),MATCH(AE$5&amp;"",'Oxford Economics'!$A$6:$AZ$6,0))),'Oxford Economics'!$A$7:$A$1000,$C22,'Oxford Economics'!$B$7:$B$1000,Settings!$B$15)+IF(Settings!$B$17="",0,SUMIFS(INDEX('Oxford Economics'!$A$7:$AZ$1000,0,IFERROR(MATCH(AE$5,'Oxford Economics'!$A$6:$AZ$6,0),MATCH(AE$5&amp;"",'Oxford Economics'!$A$6:$AZ$6,0))),'Oxford Economics'!$A$7:$A$1000,$C22,'Oxford Economics'!$B$7:$B$1000,Settings!$B$17)))),""))</f>
        <v>22422.55</v>
      </c>
      <c r="AF22" s="37" t="n">
        <f aca="false">IF($A22="","",IFERROR(1/(1/IF($B22="Residential",SUMIFS(INDEX('Oxford Economics'!$A$7:$AZ$1000,0,IFERROR(MATCH(AF$5,'Oxford Economics'!$A$6:$AZ$6,0),MATCH(AF$5&amp;"",'Oxford Economics'!$A$6:$AZ$6,0))),'Oxford Economics'!$A$7:$A$1000,$C22,'Oxford Economics'!$B$7:$B$1000,Settings!$B$11)-SUMIFS(INDEX('Oxford Economics'!$A$7:$AZ$1000,0,IFERROR(MATCH(AF$5,'Oxford Economics'!$A$6:$AZ$6,0),MATCH(AF$5&amp;"",'Oxford Economics'!$A$6:$AZ$6,0))),'Oxford Economics'!$A$7:$A$1000,$C22,'Oxford Economics'!$B$7:$B$1000,Settings!$B$13),SUMIFS(INDEX('Oxford Economics'!$A$7:$AZ$1000,0,IFERROR(MATCH(AF$5,'Oxford Economics'!$A$6:$AZ$6,0),MATCH(AF$5&amp;"",'Oxford Economics'!$A$6:$AZ$6,0))),'Oxford Economics'!$A$7:$A$1000,$C22,'Oxford Economics'!$B$7:$B$1000,Settings!$B$13)+SUMIFS(INDEX('Oxford Economics'!$A$7:$AZ$1000,0,IFERROR(MATCH(AF$5,'Oxford Economics'!$A$6:$AZ$6,0),MATCH(AF$5&amp;"",'Oxford Economics'!$A$6:$AZ$6,0))),'Oxford Economics'!$A$7:$A$1000,$C22,'Oxford Economics'!$B$7:$B$1000,Settings!$B$15)+IF(Settings!$B$17="",0,SUMIFS(INDEX('Oxford Economics'!$A$7:$AZ$1000,0,IFERROR(MATCH(AF$5,'Oxford Economics'!$A$6:$AZ$6,0),MATCH(AF$5&amp;"",'Oxford Economics'!$A$6:$AZ$6,0))),'Oxford Economics'!$A$7:$A$1000,$C22,'Oxford Economics'!$B$7:$B$1000,Settings!$B$17)))),""))</f>
        <v>17454.47</v>
      </c>
      <c r="AG22" s="37" t="n">
        <f aca="false">IF($A22="","",IFERROR(1/(1/IF($B22="Residential",SUMIFS(INDEX('Oxford Economics'!$A$7:$AZ$1000,0,IFERROR(MATCH(AG$5,'Oxford Economics'!$A$6:$AZ$6,0),MATCH(AG$5&amp;"",'Oxford Economics'!$A$6:$AZ$6,0))),'Oxford Economics'!$A$7:$A$1000,$C22,'Oxford Economics'!$B$7:$B$1000,Settings!$B$11)-SUMIFS(INDEX('Oxford Economics'!$A$7:$AZ$1000,0,IFERROR(MATCH(AG$5,'Oxford Economics'!$A$6:$AZ$6,0),MATCH(AG$5&amp;"",'Oxford Economics'!$A$6:$AZ$6,0))),'Oxford Economics'!$A$7:$A$1000,$C22,'Oxford Economics'!$B$7:$B$1000,Settings!$B$13),SUMIFS(INDEX('Oxford Economics'!$A$7:$AZ$1000,0,IFERROR(MATCH(AG$5,'Oxford Economics'!$A$6:$AZ$6,0),MATCH(AG$5&amp;"",'Oxford Economics'!$A$6:$AZ$6,0))),'Oxford Economics'!$A$7:$A$1000,$C22,'Oxford Economics'!$B$7:$B$1000,Settings!$B$13)+SUMIFS(INDEX('Oxford Economics'!$A$7:$AZ$1000,0,IFERROR(MATCH(AG$5,'Oxford Economics'!$A$6:$AZ$6,0),MATCH(AG$5&amp;"",'Oxford Economics'!$A$6:$AZ$6,0))),'Oxford Economics'!$A$7:$A$1000,$C22,'Oxford Economics'!$B$7:$B$1000,Settings!$B$15)+IF(Settings!$B$17="",0,SUMIFS(INDEX('Oxford Economics'!$A$7:$AZ$1000,0,IFERROR(MATCH(AG$5,'Oxford Economics'!$A$6:$AZ$6,0),MATCH(AG$5&amp;"",'Oxford Economics'!$A$6:$AZ$6,0))),'Oxford Economics'!$A$7:$A$1000,$C22,'Oxford Economics'!$B$7:$B$1000,Settings!$B$17)))),""))</f>
        <v>16830.19</v>
      </c>
      <c r="AH22" s="37" t="n">
        <f aca="false">IF($A22="","",IFERROR(1/(1/IF($B22="Residential",SUMIFS(INDEX('Oxford Economics'!$A$7:$AZ$1000,0,IFERROR(MATCH(AH$5,'Oxford Economics'!$A$6:$AZ$6,0),MATCH(AH$5&amp;"",'Oxford Economics'!$A$6:$AZ$6,0))),'Oxford Economics'!$A$7:$A$1000,$C22,'Oxford Economics'!$B$7:$B$1000,Settings!$B$11)-SUMIFS(INDEX('Oxford Economics'!$A$7:$AZ$1000,0,IFERROR(MATCH(AH$5,'Oxford Economics'!$A$6:$AZ$6,0),MATCH(AH$5&amp;"",'Oxford Economics'!$A$6:$AZ$6,0))),'Oxford Economics'!$A$7:$A$1000,$C22,'Oxford Economics'!$B$7:$B$1000,Settings!$B$13),SUMIFS(INDEX('Oxford Economics'!$A$7:$AZ$1000,0,IFERROR(MATCH(AH$5,'Oxford Economics'!$A$6:$AZ$6,0),MATCH(AH$5&amp;"",'Oxford Economics'!$A$6:$AZ$6,0))),'Oxford Economics'!$A$7:$A$1000,$C22,'Oxford Economics'!$B$7:$B$1000,Settings!$B$13)+SUMIFS(INDEX('Oxford Economics'!$A$7:$AZ$1000,0,IFERROR(MATCH(AH$5,'Oxford Economics'!$A$6:$AZ$6,0),MATCH(AH$5&amp;"",'Oxford Economics'!$A$6:$AZ$6,0))),'Oxford Economics'!$A$7:$A$1000,$C22,'Oxford Economics'!$B$7:$B$1000,Settings!$B$15)+IF(Settings!$B$17="",0,SUMIFS(INDEX('Oxford Economics'!$A$7:$AZ$1000,0,IFERROR(MATCH(AH$5,'Oxford Economics'!$A$6:$AZ$6,0),MATCH(AH$5&amp;"",'Oxford Economics'!$A$6:$AZ$6,0))),'Oxford Economics'!$A$7:$A$1000,$C22,'Oxford Economics'!$B$7:$B$1000,Settings!$B$17)))),""))</f>
        <v>18104.66</v>
      </c>
      <c r="AI22" s="37" t="n">
        <f aca="false">IF($A22="","",IFERROR(1/(1/IF($B22="Residential",SUMIFS(INDEX('Oxford Economics'!$A$7:$AZ$1000,0,IFERROR(MATCH(AI$5,'Oxford Economics'!$A$6:$AZ$6,0),MATCH(AI$5&amp;"",'Oxford Economics'!$A$6:$AZ$6,0))),'Oxford Economics'!$A$7:$A$1000,$C22,'Oxford Economics'!$B$7:$B$1000,Settings!$B$11)-SUMIFS(INDEX('Oxford Economics'!$A$7:$AZ$1000,0,IFERROR(MATCH(AI$5,'Oxford Economics'!$A$6:$AZ$6,0),MATCH(AI$5&amp;"",'Oxford Economics'!$A$6:$AZ$6,0))),'Oxford Economics'!$A$7:$A$1000,$C22,'Oxford Economics'!$B$7:$B$1000,Settings!$B$13),SUMIFS(INDEX('Oxford Economics'!$A$7:$AZ$1000,0,IFERROR(MATCH(AI$5,'Oxford Economics'!$A$6:$AZ$6,0),MATCH(AI$5&amp;"",'Oxford Economics'!$A$6:$AZ$6,0))),'Oxford Economics'!$A$7:$A$1000,$C22,'Oxford Economics'!$B$7:$B$1000,Settings!$B$13)+SUMIFS(INDEX('Oxford Economics'!$A$7:$AZ$1000,0,IFERROR(MATCH(AI$5,'Oxford Economics'!$A$6:$AZ$6,0),MATCH(AI$5&amp;"",'Oxford Economics'!$A$6:$AZ$6,0))),'Oxford Economics'!$A$7:$A$1000,$C22,'Oxford Economics'!$B$7:$B$1000,Settings!$B$15)+IF(Settings!$B$17="",0,SUMIFS(INDEX('Oxford Economics'!$A$7:$AZ$1000,0,IFERROR(MATCH(AI$5,'Oxford Economics'!$A$6:$AZ$6,0),MATCH(AI$5&amp;"",'Oxford Economics'!$A$6:$AZ$6,0))),'Oxford Economics'!$A$7:$A$1000,$C22,'Oxford Economics'!$B$7:$B$1000,Settings!$B$17)))),""))</f>
        <v>18689.08</v>
      </c>
      <c r="AJ22" s="37" t="n">
        <f aca="false">IF($A22="","",IFERROR(1/(1/IF($B22="Residential",SUMIFS(INDEX('Oxford Economics'!$A$7:$AZ$1000,0,IFERROR(MATCH(AJ$5,'Oxford Economics'!$A$6:$AZ$6,0),MATCH(AJ$5&amp;"",'Oxford Economics'!$A$6:$AZ$6,0))),'Oxford Economics'!$A$7:$A$1000,$C22,'Oxford Economics'!$B$7:$B$1000,Settings!$B$11)-SUMIFS(INDEX('Oxford Economics'!$A$7:$AZ$1000,0,IFERROR(MATCH(AJ$5,'Oxford Economics'!$A$6:$AZ$6,0),MATCH(AJ$5&amp;"",'Oxford Economics'!$A$6:$AZ$6,0))),'Oxford Economics'!$A$7:$A$1000,$C22,'Oxford Economics'!$B$7:$B$1000,Settings!$B$13),SUMIFS(INDEX('Oxford Economics'!$A$7:$AZ$1000,0,IFERROR(MATCH(AJ$5,'Oxford Economics'!$A$6:$AZ$6,0),MATCH(AJ$5&amp;"",'Oxford Economics'!$A$6:$AZ$6,0))),'Oxford Economics'!$A$7:$A$1000,$C22,'Oxford Economics'!$B$7:$B$1000,Settings!$B$13)+SUMIFS(INDEX('Oxford Economics'!$A$7:$AZ$1000,0,IFERROR(MATCH(AJ$5,'Oxford Economics'!$A$6:$AZ$6,0),MATCH(AJ$5&amp;"",'Oxford Economics'!$A$6:$AZ$6,0))),'Oxford Economics'!$A$7:$A$1000,$C22,'Oxford Economics'!$B$7:$B$1000,Settings!$B$15)+IF(Settings!$B$17="",0,SUMIFS(INDEX('Oxford Economics'!$A$7:$AZ$1000,0,IFERROR(MATCH(AJ$5,'Oxford Economics'!$A$6:$AZ$6,0),MATCH(AJ$5&amp;"",'Oxford Economics'!$A$6:$AZ$6,0))),'Oxford Economics'!$A$7:$A$1000,$C22,'Oxford Economics'!$B$7:$B$1000,Settings!$B$17)))),""))</f>
        <v>19134.99</v>
      </c>
      <c r="AK22" s="37" t="n">
        <f aca="false">IF($A22="","",IFERROR(1/(1/IF($B22="Residential",SUMIFS(INDEX('Oxford Economics'!$A$7:$AZ$1000,0,IFERROR(MATCH(AK$5,'Oxford Economics'!$A$6:$AZ$6,0),MATCH(AK$5&amp;"",'Oxford Economics'!$A$6:$AZ$6,0))),'Oxford Economics'!$A$7:$A$1000,$C22,'Oxford Economics'!$B$7:$B$1000,Settings!$B$11)-SUMIFS(INDEX('Oxford Economics'!$A$7:$AZ$1000,0,IFERROR(MATCH(AK$5,'Oxford Economics'!$A$6:$AZ$6,0),MATCH(AK$5&amp;"",'Oxford Economics'!$A$6:$AZ$6,0))),'Oxford Economics'!$A$7:$A$1000,$C22,'Oxford Economics'!$B$7:$B$1000,Settings!$B$13),SUMIFS(INDEX('Oxford Economics'!$A$7:$AZ$1000,0,IFERROR(MATCH(AK$5,'Oxford Economics'!$A$6:$AZ$6,0),MATCH(AK$5&amp;"",'Oxford Economics'!$A$6:$AZ$6,0))),'Oxford Economics'!$A$7:$A$1000,$C22,'Oxford Economics'!$B$7:$B$1000,Settings!$B$13)+SUMIFS(INDEX('Oxford Economics'!$A$7:$AZ$1000,0,IFERROR(MATCH(AK$5,'Oxford Economics'!$A$6:$AZ$6,0),MATCH(AK$5&amp;"",'Oxford Economics'!$A$6:$AZ$6,0))),'Oxford Economics'!$A$7:$A$1000,$C22,'Oxford Economics'!$B$7:$B$1000,Settings!$B$15)+IF(Settings!$B$17="",0,SUMIFS(INDEX('Oxford Economics'!$A$7:$AZ$1000,0,IFERROR(MATCH(AK$5,'Oxford Economics'!$A$6:$AZ$6,0),MATCH(AK$5&amp;"",'Oxford Economics'!$A$6:$AZ$6,0))),'Oxford Economics'!$A$7:$A$1000,$C22,'Oxford Economics'!$B$7:$B$1000,Settings!$B$17)))),""))</f>
        <v>19723.51</v>
      </c>
      <c r="AL22" s="37" t="n">
        <f aca="false">IF($A22="","",IFERROR(1/(1/IF($B22="Residential",SUMIFS(INDEX('Oxford Economics'!$A$7:$AZ$1000,0,IFERROR(MATCH(AL$5,'Oxford Economics'!$A$6:$AZ$6,0),MATCH(AL$5&amp;"",'Oxford Economics'!$A$6:$AZ$6,0))),'Oxford Economics'!$A$7:$A$1000,$C22,'Oxford Economics'!$B$7:$B$1000,Settings!$B$11)-SUMIFS(INDEX('Oxford Economics'!$A$7:$AZ$1000,0,IFERROR(MATCH(AL$5,'Oxford Economics'!$A$6:$AZ$6,0),MATCH(AL$5&amp;"",'Oxford Economics'!$A$6:$AZ$6,0))),'Oxford Economics'!$A$7:$A$1000,$C22,'Oxford Economics'!$B$7:$B$1000,Settings!$B$13),SUMIFS(INDEX('Oxford Economics'!$A$7:$AZ$1000,0,IFERROR(MATCH(AL$5,'Oxford Economics'!$A$6:$AZ$6,0),MATCH(AL$5&amp;"",'Oxford Economics'!$A$6:$AZ$6,0))),'Oxford Economics'!$A$7:$A$1000,$C22,'Oxford Economics'!$B$7:$B$1000,Settings!$B$13)+SUMIFS(INDEX('Oxford Economics'!$A$7:$AZ$1000,0,IFERROR(MATCH(AL$5,'Oxford Economics'!$A$6:$AZ$6,0),MATCH(AL$5&amp;"",'Oxford Economics'!$A$6:$AZ$6,0))),'Oxford Economics'!$A$7:$A$1000,$C22,'Oxford Economics'!$B$7:$B$1000,Settings!$B$15)+IF(Settings!$B$17="",0,SUMIFS(INDEX('Oxford Economics'!$A$7:$AZ$1000,0,IFERROR(MATCH(AL$5,'Oxford Economics'!$A$6:$AZ$6,0),MATCH(AL$5&amp;"",'Oxford Economics'!$A$6:$AZ$6,0))),'Oxford Economics'!$A$7:$A$1000,$C22,'Oxford Economics'!$B$7:$B$1000,Settings!$B$17)))),""))</f>
        <v>20146.5</v>
      </c>
      <c r="AM22" s="37" t="n">
        <f aca="false">IF($A22="","",IFERROR(1/(1/IF($B22="Residential",SUMIFS(INDEX('Oxford Economics'!$A$7:$AZ$1000,0,IFERROR(MATCH(AM$5,'Oxford Economics'!$A$6:$AZ$6,0),MATCH(AM$5&amp;"",'Oxford Economics'!$A$6:$AZ$6,0))),'Oxford Economics'!$A$7:$A$1000,$C22,'Oxford Economics'!$B$7:$B$1000,Settings!$B$11)-SUMIFS(INDEX('Oxford Economics'!$A$7:$AZ$1000,0,IFERROR(MATCH(AM$5,'Oxford Economics'!$A$6:$AZ$6,0),MATCH(AM$5&amp;"",'Oxford Economics'!$A$6:$AZ$6,0))),'Oxford Economics'!$A$7:$A$1000,$C22,'Oxford Economics'!$B$7:$B$1000,Settings!$B$13),SUMIFS(INDEX('Oxford Economics'!$A$7:$AZ$1000,0,IFERROR(MATCH(AM$5,'Oxford Economics'!$A$6:$AZ$6,0),MATCH(AM$5&amp;"",'Oxford Economics'!$A$6:$AZ$6,0))),'Oxford Economics'!$A$7:$A$1000,$C22,'Oxford Economics'!$B$7:$B$1000,Settings!$B$13)+SUMIFS(INDEX('Oxford Economics'!$A$7:$AZ$1000,0,IFERROR(MATCH(AM$5,'Oxford Economics'!$A$6:$AZ$6,0),MATCH(AM$5&amp;"",'Oxford Economics'!$A$6:$AZ$6,0))),'Oxford Economics'!$A$7:$A$1000,$C22,'Oxford Economics'!$B$7:$B$1000,Settings!$B$15)+IF(Settings!$B$17="",0,SUMIFS(INDEX('Oxford Economics'!$A$7:$AZ$1000,0,IFERROR(MATCH(AM$5,'Oxford Economics'!$A$6:$AZ$6,0),MATCH(AM$5&amp;"",'Oxford Economics'!$A$6:$AZ$6,0))),'Oxford Economics'!$A$7:$A$1000,$C22,'Oxford Economics'!$B$7:$B$1000,Settings!$B$17)))),""))</f>
        <v>20424.36</v>
      </c>
    </row>
    <row r="23" customFormat="false" ht="15" hidden="false" customHeight="false" outlineLevel="0" collapsed="false">
      <c r="A23" s="36" t="str">
        <f aca="false">IF('Raw data'!$A23="","",'Raw data'!$A23)</f>
        <v>Germany</v>
      </c>
      <c r="B23" s="36" t="str">
        <f aca="false">IF($A23="","",'Raw data'!$C23)</f>
        <v>Commercial</v>
      </c>
      <c r="C23" s="36" t="str">
        <f aca="false">IF($A23="","",IF('Raw data'!$D23="",$A23,'Raw data'!$D23))</f>
        <v>Germany</v>
      </c>
      <c r="D23" s="37" t="n">
        <f aca="false">IF($A23="","",IF(AND(ISNUMBER(P23),ISNUMBER(AB23)),P23+AB23,""))</f>
        <v>141529.15</v>
      </c>
      <c r="E23" s="37" t="n">
        <f aca="false">IF($A23="","",IF(AND(ISNUMBER(Q23),ISNUMBER(AC23)),Q23+AC23,""))</f>
        <v>138096.2</v>
      </c>
      <c r="F23" s="37" t="n">
        <f aca="false">IF($A23="","",IF(AND(ISNUMBER(R23),ISNUMBER(AD23)),R23+AD23,""))</f>
        <v>121333.6</v>
      </c>
      <c r="G23" s="37" t="n">
        <f aca="false">IF($A23="","",IF(AND(ISNUMBER(S23),ISNUMBER(AE23)),S23+AE23,""))</f>
        <v>120937.84</v>
      </c>
      <c r="H23" s="37" t="n">
        <f aca="false">IF($A23="","",IF(AND(ISNUMBER(T23),ISNUMBER(AF23)),T23+AF23,""))</f>
        <v>112217.91</v>
      </c>
      <c r="I23" s="37" t="n">
        <f aca="false">IF($A23="","",IF(AND(ISNUMBER(U23),ISNUMBER(AG23)),U23+AG23,""))</f>
        <v>108414.85</v>
      </c>
      <c r="J23" s="37" t="n">
        <f aca="false">IF($A23="","",IF(AND(ISNUMBER(V23),ISNUMBER(AH23)),V23+AH23,""))</f>
        <v>110980.23</v>
      </c>
      <c r="K23" s="37" t="n">
        <f aca="false">IF($A23="","",IF(AND(ISNUMBER(W23),ISNUMBER(AI23)),W23+AI23,""))</f>
        <v>114619</v>
      </c>
      <c r="L23" s="37" t="n">
        <f aca="false">IF($A23="","",IF(AND(ISNUMBER(X23),ISNUMBER(AJ23)),X23+AJ23,""))</f>
        <v>119890.88</v>
      </c>
      <c r="M23" s="37" t="n">
        <f aca="false">IF($A23="","",IF(AND(ISNUMBER(Y23),ISNUMBER(AK23)),Y23+AK23,""))</f>
        <v>125283.57</v>
      </c>
      <c r="N23" s="37" t="n">
        <f aca="false">IF($A23="","",IF(AND(ISNUMBER(Z23),ISNUMBER(AL23)),Z23+AL23,""))</f>
        <v>130476.26</v>
      </c>
      <c r="O23" s="37" t="n">
        <f aca="false">IF($A23="","",IF(AND(ISNUMBER(AA23),ISNUMBER(AM23)),AA23+AM23,""))</f>
        <v>133257.25</v>
      </c>
      <c r="P23" s="37" t="n">
        <f aca="false">IF($A23="","",IFERROR(1/(1/IF($B23="Residential",SUMIFS(INDEX('Oxford Economics'!$A$7:$AZ$1000,0,IFERROR(MATCH(P$5,'Oxford Economics'!$A$6:$AZ$6,0),MATCH(P$5&amp;"",'Oxford Economics'!$A$6:$AZ$6,0))),'Oxford Economics'!$A$7:$A$1000,$C23,'Oxford Economics'!$B$7:$B$1000,Settings!$B$12)-SUMIFS(INDEX('Oxford Economics'!$A$7:$AZ$1000,0,IFERROR(MATCH(P$5,'Oxford Economics'!$A$6:$AZ$6,0),MATCH(P$5&amp;"",'Oxford Economics'!$A$6:$AZ$6,0))),'Oxford Economics'!$A$7:$A$1000,$C23,'Oxford Economics'!$B$7:$B$1000,Settings!$B$14),SUMIFS(INDEX('Oxford Economics'!$A$7:$AZ$1000,0,IFERROR(MATCH(P$5,'Oxford Economics'!$A$6:$AZ$6,0),MATCH(P$5&amp;"",'Oxford Economics'!$A$6:$AZ$6,0))),'Oxford Economics'!$A$7:$A$1000,$C23,'Oxford Economics'!$B$7:$B$1000,Settings!$B$14)+SUMIFS(INDEX('Oxford Economics'!$A$7:$AZ$1000,0,IFERROR(MATCH(P$5,'Oxford Economics'!$A$6:$AZ$6,0),MATCH(P$5&amp;"",'Oxford Economics'!$A$6:$AZ$6,0))),'Oxford Economics'!$A$7:$A$1000,$C23,'Oxford Economics'!$B$7:$B$1000,Settings!$B$16)+IF(Settings!$B$18="",0,SUMIFS(INDEX('Oxford Economics'!$A$7:$AZ$1000,0,IFERROR(MATCH(P$5,'Oxford Economics'!$A$6:$AZ$6,0),MATCH(P$5&amp;"",'Oxford Economics'!$A$6:$AZ$6,0))),'Oxford Economics'!$A$7:$A$1000,$C23,'Oxford Economics'!$B$7:$B$1000,Settings!$B$18)))),""))</f>
        <v>86179.79</v>
      </c>
      <c r="Q23" s="37" t="n">
        <f aca="false">IF($A23="","",IFERROR(1/(1/IF($B23="Residential",SUMIFS(INDEX('Oxford Economics'!$A$7:$AZ$1000,0,IFERROR(MATCH(Q$5,'Oxford Economics'!$A$6:$AZ$6,0),MATCH(Q$5&amp;"",'Oxford Economics'!$A$6:$AZ$6,0))),'Oxford Economics'!$A$7:$A$1000,$C23,'Oxford Economics'!$B$7:$B$1000,Settings!$B$12)-SUMIFS(INDEX('Oxford Economics'!$A$7:$AZ$1000,0,IFERROR(MATCH(Q$5,'Oxford Economics'!$A$6:$AZ$6,0),MATCH(Q$5&amp;"",'Oxford Economics'!$A$6:$AZ$6,0))),'Oxford Economics'!$A$7:$A$1000,$C23,'Oxford Economics'!$B$7:$B$1000,Settings!$B$14),SUMIFS(INDEX('Oxford Economics'!$A$7:$AZ$1000,0,IFERROR(MATCH(Q$5,'Oxford Economics'!$A$6:$AZ$6,0),MATCH(Q$5&amp;"",'Oxford Economics'!$A$6:$AZ$6,0))),'Oxford Economics'!$A$7:$A$1000,$C23,'Oxford Economics'!$B$7:$B$1000,Settings!$B$14)+SUMIFS(INDEX('Oxford Economics'!$A$7:$AZ$1000,0,IFERROR(MATCH(Q$5,'Oxford Economics'!$A$6:$AZ$6,0),MATCH(Q$5&amp;"",'Oxford Economics'!$A$6:$AZ$6,0))),'Oxford Economics'!$A$7:$A$1000,$C23,'Oxford Economics'!$B$7:$B$1000,Settings!$B$16)+IF(Settings!$B$18="",0,SUMIFS(INDEX('Oxford Economics'!$A$7:$AZ$1000,0,IFERROR(MATCH(Q$5,'Oxford Economics'!$A$6:$AZ$6,0),MATCH(Q$5&amp;"",'Oxford Economics'!$A$6:$AZ$6,0))),'Oxford Economics'!$A$7:$A$1000,$C23,'Oxford Economics'!$B$7:$B$1000,Settings!$B$18)))),""))</f>
        <v>85150.73</v>
      </c>
      <c r="R23" s="37" t="n">
        <f aca="false">IF($A23="","",IFERROR(1/(1/IF($B23="Residential",SUMIFS(INDEX('Oxford Economics'!$A$7:$AZ$1000,0,IFERROR(MATCH(R$5,'Oxford Economics'!$A$6:$AZ$6,0),MATCH(R$5&amp;"",'Oxford Economics'!$A$6:$AZ$6,0))),'Oxford Economics'!$A$7:$A$1000,$C23,'Oxford Economics'!$B$7:$B$1000,Settings!$B$12)-SUMIFS(INDEX('Oxford Economics'!$A$7:$AZ$1000,0,IFERROR(MATCH(R$5,'Oxford Economics'!$A$6:$AZ$6,0),MATCH(R$5&amp;"",'Oxford Economics'!$A$6:$AZ$6,0))),'Oxford Economics'!$A$7:$A$1000,$C23,'Oxford Economics'!$B$7:$B$1000,Settings!$B$14),SUMIFS(INDEX('Oxford Economics'!$A$7:$AZ$1000,0,IFERROR(MATCH(R$5,'Oxford Economics'!$A$6:$AZ$6,0),MATCH(R$5&amp;"",'Oxford Economics'!$A$6:$AZ$6,0))),'Oxford Economics'!$A$7:$A$1000,$C23,'Oxford Economics'!$B$7:$B$1000,Settings!$B$14)+SUMIFS(INDEX('Oxford Economics'!$A$7:$AZ$1000,0,IFERROR(MATCH(R$5,'Oxford Economics'!$A$6:$AZ$6,0),MATCH(R$5&amp;"",'Oxford Economics'!$A$6:$AZ$6,0))),'Oxford Economics'!$A$7:$A$1000,$C23,'Oxford Economics'!$B$7:$B$1000,Settings!$B$16)+IF(Settings!$B$18="",0,SUMIFS(INDEX('Oxford Economics'!$A$7:$AZ$1000,0,IFERROR(MATCH(R$5,'Oxford Economics'!$A$6:$AZ$6,0),MATCH(R$5&amp;"",'Oxford Economics'!$A$6:$AZ$6,0))),'Oxford Economics'!$A$7:$A$1000,$C23,'Oxford Economics'!$B$7:$B$1000,Settings!$B$18)))),""))</f>
        <v>76144.64</v>
      </c>
      <c r="S23" s="37" t="n">
        <f aca="false">IF($A23="","",IFERROR(1/(1/IF($B23="Residential",SUMIFS(INDEX('Oxford Economics'!$A$7:$AZ$1000,0,IFERROR(MATCH(S$5,'Oxford Economics'!$A$6:$AZ$6,0),MATCH(S$5&amp;"",'Oxford Economics'!$A$6:$AZ$6,0))),'Oxford Economics'!$A$7:$A$1000,$C23,'Oxford Economics'!$B$7:$B$1000,Settings!$B$12)-SUMIFS(INDEX('Oxford Economics'!$A$7:$AZ$1000,0,IFERROR(MATCH(S$5,'Oxford Economics'!$A$6:$AZ$6,0),MATCH(S$5&amp;"",'Oxford Economics'!$A$6:$AZ$6,0))),'Oxford Economics'!$A$7:$A$1000,$C23,'Oxford Economics'!$B$7:$B$1000,Settings!$B$14),SUMIFS(INDEX('Oxford Economics'!$A$7:$AZ$1000,0,IFERROR(MATCH(S$5,'Oxford Economics'!$A$6:$AZ$6,0),MATCH(S$5&amp;"",'Oxford Economics'!$A$6:$AZ$6,0))),'Oxford Economics'!$A$7:$A$1000,$C23,'Oxford Economics'!$B$7:$B$1000,Settings!$B$14)+SUMIFS(INDEX('Oxford Economics'!$A$7:$AZ$1000,0,IFERROR(MATCH(S$5,'Oxford Economics'!$A$6:$AZ$6,0),MATCH(S$5&amp;"",'Oxford Economics'!$A$6:$AZ$6,0))),'Oxford Economics'!$A$7:$A$1000,$C23,'Oxford Economics'!$B$7:$B$1000,Settings!$B$16)+IF(Settings!$B$18="",0,SUMIFS(INDEX('Oxford Economics'!$A$7:$AZ$1000,0,IFERROR(MATCH(S$5,'Oxford Economics'!$A$6:$AZ$6,0),MATCH(S$5&amp;"",'Oxford Economics'!$A$6:$AZ$6,0))),'Oxford Economics'!$A$7:$A$1000,$C23,'Oxford Economics'!$B$7:$B$1000,Settings!$B$18)))),""))</f>
        <v>75063.16</v>
      </c>
      <c r="T23" s="37" t="n">
        <f aca="false">IF($A23="","",IFERROR(1/(1/IF($B23="Residential",SUMIFS(INDEX('Oxford Economics'!$A$7:$AZ$1000,0,IFERROR(MATCH(T$5,'Oxford Economics'!$A$6:$AZ$6,0),MATCH(T$5&amp;"",'Oxford Economics'!$A$6:$AZ$6,0))),'Oxford Economics'!$A$7:$A$1000,$C23,'Oxford Economics'!$B$7:$B$1000,Settings!$B$12)-SUMIFS(INDEX('Oxford Economics'!$A$7:$AZ$1000,0,IFERROR(MATCH(T$5,'Oxford Economics'!$A$6:$AZ$6,0),MATCH(T$5&amp;"",'Oxford Economics'!$A$6:$AZ$6,0))),'Oxford Economics'!$A$7:$A$1000,$C23,'Oxford Economics'!$B$7:$B$1000,Settings!$B$14),SUMIFS(INDEX('Oxford Economics'!$A$7:$AZ$1000,0,IFERROR(MATCH(T$5,'Oxford Economics'!$A$6:$AZ$6,0),MATCH(T$5&amp;"",'Oxford Economics'!$A$6:$AZ$6,0))),'Oxford Economics'!$A$7:$A$1000,$C23,'Oxford Economics'!$B$7:$B$1000,Settings!$B$14)+SUMIFS(INDEX('Oxford Economics'!$A$7:$AZ$1000,0,IFERROR(MATCH(T$5,'Oxford Economics'!$A$6:$AZ$6,0),MATCH(T$5&amp;"",'Oxford Economics'!$A$6:$AZ$6,0))),'Oxford Economics'!$A$7:$A$1000,$C23,'Oxford Economics'!$B$7:$B$1000,Settings!$B$16)+IF(Settings!$B$18="",0,SUMIFS(INDEX('Oxford Economics'!$A$7:$AZ$1000,0,IFERROR(MATCH(T$5,'Oxford Economics'!$A$6:$AZ$6,0),MATCH(T$5&amp;"",'Oxford Economics'!$A$6:$AZ$6,0))),'Oxford Economics'!$A$7:$A$1000,$C23,'Oxford Economics'!$B$7:$B$1000,Settings!$B$18)))),""))</f>
        <v>70517.2</v>
      </c>
      <c r="U23" s="37" t="n">
        <f aca="false">IF($A23="","",IFERROR(1/(1/IF($B23="Residential",SUMIFS(INDEX('Oxford Economics'!$A$7:$AZ$1000,0,IFERROR(MATCH(U$5,'Oxford Economics'!$A$6:$AZ$6,0),MATCH(U$5&amp;"",'Oxford Economics'!$A$6:$AZ$6,0))),'Oxford Economics'!$A$7:$A$1000,$C23,'Oxford Economics'!$B$7:$B$1000,Settings!$B$12)-SUMIFS(INDEX('Oxford Economics'!$A$7:$AZ$1000,0,IFERROR(MATCH(U$5,'Oxford Economics'!$A$6:$AZ$6,0),MATCH(U$5&amp;"",'Oxford Economics'!$A$6:$AZ$6,0))),'Oxford Economics'!$A$7:$A$1000,$C23,'Oxford Economics'!$B$7:$B$1000,Settings!$B$14),SUMIFS(INDEX('Oxford Economics'!$A$7:$AZ$1000,0,IFERROR(MATCH(U$5,'Oxford Economics'!$A$6:$AZ$6,0),MATCH(U$5&amp;"",'Oxford Economics'!$A$6:$AZ$6,0))),'Oxford Economics'!$A$7:$A$1000,$C23,'Oxford Economics'!$B$7:$B$1000,Settings!$B$14)+SUMIFS(INDEX('Oxford Economics'!$A$7:$AZ$1000,0,IFERROR(MATCH(U$5,'Oxford Economics'!$A$6:$AZ$6,0),MATCH(U$5&amp;"",'Oxford Economics'!$A$6:$AZ$6,0))),'Oxford Economics'!$A$7:$A$1000,$C23,'Oxford Economics'!$B$7:$B$1000,Settings!$B$16)+IF(Settings!$B$18="",0,SUMIFS(INDEX('Oxford Economics'!$A$7:$AZ$1000,0,IFERROR(MATCH(U$5,'Oxford Economics'!$A$6:$AZ$6,0),MATCH(U$5&amp;"",'Oxford Economics'!$A$6:$AZ$6,0))),'Oxford Economics'!$A$7:$A$1000,$C23,'Oxford Economics'!$B$7:$B$1000,Settings!$B$18)))),""))</f>
        <v>68792.4</v>
      </c>
      <c r="V23" s="37" t="n">
        <f aca="false">IF($A23="","",IFERROR(1/(1/IF($B23="Residential",SUMIFS(INDEX('Oxford Economics'!$A$7:$AZ$1000,0,IFERROR(MATCH(V$5,'Oxford Economics'!$A$6:$AZ$6,0),MATCH(V$5&amp;"",'Oxford Economics'!$A$6:$AZ$6,0))),'Oxford Economics'!$A$7:$A$1000,$C23,'Oxford Economics'!$B$7:$B$1000,Settings!$B$12)-SUMIFS(INDEX('Oxford Economics'!$A$7:$AZ$1000,0,IFERROR(MATCH(V$5,'Oxford Economics'!$A$6:$AZ$6,0),MATCH(V$5&amp;"",'Oxford Economics'!$A$6:$AZ$6,0))),'Oxford Economics'!$A$7:$A$1000,$C23,'Oxford Economics'!$B$7:$B$1000,Settings!$B$14),SUMIFS(INDEX('Oxford Economics'!$A$7:$AZ$1000,0,IFERROR(MATCH(V$5,'Oxford Economics'!$A$6:$AZ$6,0),MATCH(V$5&amp;"",'Oxford Economics'!$A$6:$AZ$6,0))),'Oxford Economics'!$A$7:$A$1000,$C23,'Oxford Economics'!$B$7:$B$1000,Settings!$B$14)+SUMIFS(INDEX('Oxford Economics'!$A$7:$AZ$1000,0,IFERROR(MATCH(V$5,'Oxford Economics'!$A$6:$AZ$6,0),MATCH(V$5&amp;"",'Oxford Economics'!$A$6:$AZ$6,0))),'Oxford Economics'!$A$7:$A$1000,$C23,'Oxford Economics'!$B$7:$B$1000,Settings!$B$16)+IF(Settings!$B$18="",0,SUMIFS(INDEX('Oxford Economics'!$A$7:$AZ$1000,0,IFERROR(MATCH(V$5,'Oxford Economics'!$A$6:$AZ$6,0),MATCH(V$5&amp;"",'Oxford Economics'!$A$6:$AZ$6,0))),'Oxford Economics'!$A$7:$A$1000,$C23,'Oxford Economics'!$B$7:$B$1000,Settings!$B$18)))),""))</f>
        <v>70165.33</v>
      </c>
      <c r="W23" s="37" t="n">
        <f aca="false">IF($A23="","",IFERROR(1/(1/IF($B23="Residential",SUMIFS(INDEX('Oxford Economics'!$A$7:$AZ$1000,0,IFERROR(MATCH(W$5,'Oxford Economics'!$A$6:$AZ$6,0),MATCH(W$5&amp;"",'Oxford Economics'!$A$6:$AZ$6,0))),'Oxford Economics'!$A$7:$A$1000,$C23,'Oxford Economics'!$B$7:$B$1000,Settings!$B$12)-SUMIFS(INDEX('Oxford Economics'!$A$7:$AZ$1000,0,IFERROR(MATCH(W$5,'Oxford Economics'!$A$6:$AZ$6,0),MATCH(W$5&amp;"",'Oxford Economics'!$A$6:$AZ$6,0))),'Oxford Economics'!$A$7:$A$1000,$C23,'Oxford Economics'!$B$7:$B$1000,Settings!$B$14),SUMIFS(INDEX('Oxford Economics'!$A$7:$AZ$1000,0,IFERROR(MATCH(W$5,'Oxford Economics'!$A$6:$AZ$6,0),MATCH(W$5&amp;"",'Oxford Economics'!$A$6:$AZ$6,0))),'Oxford Economics'!$A$7:$A$1000,$C23,'Oxford Economics'!$B$7:$B$1000,Settings!$B$14)+SUMIFS(INDEX('Oxford Economics'!$A$7:$AZ$1000,0,IFERROR(MATCH(W$5,'Oxford Economics'!$A$6:$AZ$6,0),MATCH(W$5&amp;"",'Oxford Economics'!$A$6:$AZ$6,0))),'Oxford Economics'!$A$7:$A$1000,$C23,'Oxford Economics'!$B$7:$B$1000,Settings!$B$16)+IF(Settings!$B$18="",0,SUMIFS(INDEX('Oxford Economics'!$A$7:$AZ$1000,0,IFERROR(MATCH(W$5,'Oxford Economics'!$A$6:$AZ$6,0),MATCH(W$5&amp;"",'Oxford Economics'!$A$6:$AZ$6,0))),'Oxford Economics'!$A$7:$A$1000,$C23,'Oxford Economics'!$B$7:$B$1000,Settings!$B$18)))),""))</f>
        <v>71792.83</v>
      </c>
      <c r="X23" s="37" t="n">
        <f aca="false">IF($A23="","",IFERROR(1/(1/IF($B23="Residential",SUMIFS(INDEX('Oxford Economics'!$A$7:$AZ$1000,0,IFERROR(MATCH(X$5,'Oxford Economics'!$A$6:$AZ$6,0),MATCH(X$5&amp;"",'Oxford Economics'!$A$6:$AZ$6,0))),'Oxford Economics'!$A$7:$A$1000,$C23,'Oxford Economics'!$B$7:$B$1000,Settings!$B$12)-SUMIFS(INDEX('Oxford Economics'!$A$7:$AZ$1000,0,IFERROR(MATCH(X$5,'Oxford Economics'!$A$6:$AZ$6,0),MATCH(X$5&amp;"",'Oxford Economics'!$A$6:$AZ$6,0))),'Oxford Economics'!$A$7:$A$1000,$C23,'Oxford Economics'!$B$7:$B$1000,Settings!$B$14),SUMIFS(INDEX('Oxford Economics'!$A$7:$AZ$1000,0,IFERROR(MATCH(X$5,'Oxford Economics'!$A$6:$AZ$6,0),MATCH(X$5&amp;"",'Oxford Economics'!$A$6:$AZ$6,0))),'Oxford Economics'!$A$7:$A$1000,$C23,'Oxford Economics'!$B$7:$B$1000,Settings!$B$14)+SUMIFS(INDEX('Oxford Economics'!$A$7:$AZ$1000,0,IFERROR(MATCH(X$5,'Oxford Economics'!$A$6:$AZ$6,0),MATCH(X$5&amp;"",'Oxford Economics'!$A$6:$AZ$6,0))),'Oxford Economics'!$A$7:$A$1000,$C23,'Oxford Economics'!$B$7:$B$1000,Settings!$B$16)+IF(Settings!$B$18="",0,SUMIFS(INDEX('Oxford Economics'!$A$7:$AZ$1000,0,IFERROR(MATCH(X$5,'Oxford Economics'!$A$6:$AZ$6,0),MATCH(X$5&amp;"",'Oxford Economics'!$A$6:$AZ$6,0))),'Oxford Economics'!$A$7:$A$1000,$C23,'Oxford Economics'!$B$7:$B$1000,Settings!$B$18)))),""))</f>
        <v>75396.22</v>
      </c>
      <c r="Y23" s="37" t="n">
        <f aca="false">IF($A23="","",IFERROR(1/(1/IF($B23="Residential",SUMIFS(INDEX('Oxford Economics'!$A$7:$AZ$1000,0,IFERROR(MATCH(Y$5,'Oxford Economics'!$A$6:$AZ$6,0),MATCH(Y$5&amp;"",'Oxford Economics'!$A$6:$AZ$6,0))),'Oxford Economics'!$A$7:$A$1000,$C23,'Oxford Economics'!$B$7:$B$1000,Settings!$B$12)-SUMIFS(INDEX('Oxford Economics'!$A$7:$AZ$1000,0,IFERROR(MATCH(Y$5,'Oxford Economics'!$A$6:$AZ$6,0),MATCH(Y$5&amp;"",'Oxford Economics'!$A$6:$AZ$6,0))),'Oxford Economics'!$A$7:$A$1000,$C23,'Oxford Economics'!$B$7:$B$1000,Settings!$B$14),SUMIFS(INDEX('Oxford Economics'!$A$7:$AZ$1000,0,IFERROR(MATCH(Y$5,'Oxford Economics'!$A$6:$AZ$6,0),MATCH(Y$5&amp;"",'Oxford Economics'!$A$6:$AZ$6,0))),'Oxford Economics'!$A$7:$A$1000,$C23,'Oxford Economics'!$B$7:$B$1000,Settings!$B$14)+SUMIFS(INDEX('Oxford Economics'!$A$7:$AZ$1000,0,IFERROR(MATCH(Y$5,'Oxford Economics'!$A$6:$AZ$6,0),MATCH(Y$5&amp;"",'Oxford Economics'!$A$6:$AZ$6,0))),'Oxford Economics'!$A$7:$A$1000,$C23,'Oxford Economics'!$B$7:$B$1000,Settings!$B$16)+IF(Settings!$B$18="",0,SUMIFS(INDEX('Oxford Economics'!$A$7:$AZ$1000,0,IFERROR(MATCH(Y$5,'Oxford Economics'!$A$6:$AZ$6,0),MATCH(Y$5&amp;"",'Oxford Economics'!$A$6:$AZ$6,0))),'Oxford Economics'!$A$7:$A$1000,$C23,'Oxford Economics'!$B$7:$B$1000,Settings!$B$18)))),""))</f>
        <v>79704.19</v>
      </c>
      <c r="Z23" s="37" t="n">
        <f aca="false">IF($A23="","",IFERROR(1/(1/IF($B23="Residential",SUMIFS(INDEX('Oxford Economics'!$A$7:$AZ$1000,0,IFERROR(MATCH(Z$5,'Oxford Economics'!$A$6:$AZ$6,0),MATCH(Z$5&amp;"",'Oxford Economics'!$A$6:$AZ$6,0))),'Oxford Economics'!$A$7:$A$1000,$C23,'Oxford Economics'!$B$7:$B$1000,Settings!$B$12)-SUMIFS(INDEX('Oxford Economics'!$A$7:$AZ$1000,0,IFERROR(MATCH(Z$5,'Oxford Economics'!$A$6:$AZ$6,0),MATCH(Z$5&amp;"",'Oxford Economics'!$A$6:$AZ$6,0))),'Oxford Economics'!$A$7:$A$1000,$C23,'Oxford Economics'!$B$7:$B$1000,Settings!$B$14),SUMIFS(INDEX('Oxford Economics'!$A$7:$AZ$1000,0,IFERROR(MATCH(Z$5,'Oxford Economics'!$A$6:$AZ$6,0),MATCH(Z$5&amp;"",'Oxford Economics'!$A$6:$AZ$6,0))),'Oxford Economics'!$A$7:$A$1000,$C23,'Oxford Economics'!$B$7:$B$1000,Settings!$B$14)+SUMIFS(INDEX('Oxford Economics'!$A$7:$AZ$1000,0,IFERROR(MATCH(Z$5,'Oxford Economics'!$A$6:$AZ$6,0),MATCH(Z$5&amp;"",'Oxford Economics'!$A$6:$AZ$6,0))),'Oxford Economics'!$A$7:$A$1000,$C23,'Oxford Economics'!$B$7:$B$1000,Settings!$B$16)+IF(Settings!$B$18="",0,SUMIFS(INDEX('Oxford Economics'!$A$7:$AZ$1000,0,IFERROR(MATCH(Z$5,'Oxford Economics'!$A$6:$AZ$6,0),MATCH(Z$5&amp;"",'Oxford Economics'!$A$6:$AZ$6,0))),'Oxford Economics'!$A$7:$A$1000,$C23,'Oxford Economics'!$B$7:$B$1000,Settings!$B$18)))),""))</f>
        <v>83988.83</v>
      </c>
      <c r="AA23" s="37" t="n">
        <f aca="false">IF($A23="","",IFERROR(1/(1/IF($B23="Residential",SUMIFS(INDEX('Oxford Economics'!$A$7:$AZ$1000,0,IFERROR(MATCH(AA$5,'Oxford Economics'!$A$6:$AZ$6,0),MATCH(AA$5&amp;"",'Oxford Economics'!$A$6:$AZ$6,0))),'Oxford Economics'!$A$7:$A$1000,$C23,'Oxford Economics'!$B$7:$B$1000,Settings!$B$12)-SUMIFS(INDEX('Oxford Economics'!$A$7:$AZ$1000,0,IFERROR(MATCH(AA$5,'Oxford Economics'!$A$6:$AZ$6,0),MATCH(AA$5&amp;"",'Oxford Economics'!$A$6:$AZ$6,0))),'Oxford Economics'!$A$7:$A$1000,$C23,'Oxford Economics'!$B$7:$B$1000,Settings!$B$14),SUMIFS(INDEX('Oxford Economics'!$A$7:$AZ$1000,0,IFERROR(MATCH(AA$5,'Oxford Economics'!$A$6:$AZ$6,0),MATCH(AA$5&amp;"",'Oxford Economics'!$A$6:$AZ$6,0))),'Oxford Economics'!$A$7:$A$1000,$C23,'Oxford Economics'!$B$7:$B$1000,Settings!$B$14)+SUMIFS(INDEX('Oxford Economics'!$A$7:$AZ$1000,0,IFERROR(MATCH(AA$5,'Oxford Economics'!$A$6:$AZ$6,0),MATCH(AA$5&amp;"",'Oxford Economics'!$A$6:$AZ$6,0))),'Oxford Economics'!$A$7:$A$1000,$C23,'Oxford Economics'!$B$7:$B$1000,Settings!$B$16)+IF(Settings!$B$18="",0,SUMIFS(INDEX('Oxford Economics'!$A$7:$AZ$1000,0,IFERROR(MATCH(AA$5,'Oxford Economics'!$A$6:$AZ$6,0),MATCH(AA$5&amp;"",'Oxford Economics'!$A$6:$AZ$6,0))),'Oxford Economics'!$A$7:$A$1000,$C23,'Oxford Economics'!$B$7:$B$1000,Settings!$B$18)))),""))</f>
        <v>85914.88</v>
      </c>
      <c r="AB23" s="37" t="n">
        <f aca="false">IF($A23="","",IFERROR(1/(1/IF($B23="Residential",SUMIFS(INDEX('Oxford Economics'!$A$7:$AZ$1000,0,IFERROR(MATCH(AB$5,'Oxford Economics'!$A$6:$AZ$6,0),MATCH(AB$5&amp;"",'Oxford Economics'!$A$6:$AZ$6,0))),'Oxford Economics'!$A$7:$A$1000,$C23,'Oxford Economics'!$B$7:$B$1000,Settings!$B$11)-SUMIFS(INDEX('Oxford Economics'!$A$7:$AZ$1000,0,IFERROR(MATCH(AB$5,'Oxford Economics'!$A$6:$AZ$6,0),MATCH(AB$5&amp;"",'Oxford Economics'!$A$6:$AZ$6,0))),'Oxford Economics'!$A$7:$A$1000,$C23,'Oxford Economics'!$B$7:$B$1000,Settings!$B$13),SUMIFS(INDEX('Oxford Economics'!$A$7:$AZ$1000,0,IFERROR(MATCH(AB$5,'Oxford Economics'!$A$6:$AZ$6,0),MATCH(AB$5&amp;"",'Oxford Economics'!$A$6:$AZ$6,0))),'Oxford Economics'!$A$7:$A$1000,$C23,'Oxford Economics'!$B$7:$B$1000,Settings!$B$13)+SUMIFS(INDEX('Oxford Economics'!$A$7:$AZ$1000,0,IFERROR(MATCH(AB$5,'Oxford Economics'!$A$6:$AZ$6,0),MATCH(AB$5&amp;"",'Oxford Economics'!$A$6:$AZ$6,0))),'Oxford Economics'!$A$7:$A$1000,$C23,'Oxford Economics'!$B$7:$B$1000,Settings!$B$15)+IF(Settings!$B$17="",0,SUMIFS(INDEX('Oxford Economics'!$A$7:$AZ$1000,0,IFERROR(MATCH(AB$5,'Oxford Economics'!$A$6:$AZ$6,0),MATCH(AB$5&amp;"",'Oxford Economics'!$A$6:$AZ$6,0))),'Oxford Economics'!$A$7:$A$1000,$C23,'Oxford Economics'!$B$7:$B$1000,Settings!$B$17)))),""))</f>
        <v>55349.36</v>
      </c>
      <c r="AC23" s="37" t="n">
        <f aca="false">IF($A23="","",IFERROR(1/(1/IF($B23="Residential",SUMIFS(INDEX('Oxford Economics'!$A$7:$AZ$1000,0,IFERROR(MATCH(AC$5,'Oxford Economics'!$A$6:$AZ$6,0),MATCH(AC$5&amp;"",'Oxford Economics'!$A$6:$AZ$6,0))),'Oxford Economics'!$A$7:$A$1000,$C23,'Oxford Economics'!$B$7:$B$1000,Settings!$B$11)-SUMIFS(INDEX('Oxford Economics'!$A$7:$AZ$1000,0,IFERROR(MATCH(AC$5,'Oxford Economics'!$A$6:$AZ$6,0),MATCH(AC$5&amp;"",'Oxford Economics'!$A$6:$AZ$6,0))),'Oxford Economics'!$A$7:$A$1000,$C23,'Oxford Economics'!$B$7:$B$1000,Settings!$B$13),SUMIFS(INDEX('Oxford Economics'!$A$7:$AZ$1000,0,IFERROR(MATCH(AC$5,'Oxford Economics'!$A$6:$AZ$6,0),MATCH(AC$5&amp;"",'Oxford Economics'!$A$6:$AZ$6,0))),'Oxford Economics'!$A$7:$A$1000,$C23,'Oxford Economics'!$B$7:$B$1000,Settings!$B$13)+SUMIFS(INDEX('Oxford Economics'!$A$7:$AZ$1000,0,IFERROR(MATCH(AC$5,'Oxford Economics'!$A$6:$AZ$6,0),MATCH(AC$5&amp;"",'Oxford Economics'!$A$6:$AZ$6,0))),'Oxford Economics'!$A$7:$A$1000,$C23,'Oxford Economics'!$B$7:$B$1000,Settings!$B$15)+IF(Settings!$B$17="",0,SUMIFS(INDEX('Oxford Economics'!$A$7:$AZ$1000,0,IFERROR(MATCH(AC$5,'Oxford Economics'!$A$6:$AZ$6,0),MATCH(AC$5&amp;"",'Oxford Economics'!$A$6:$AZ$6,0))),'Oxford Economics'!$A$7:$A$1000,$C23,'Oxford Economics'!$B$7:$B$1000,Settings!$B$17)))),""))</f>
        <v>52945.47</v>
      </c>
      <c r="AD23" s="37" t="n">
        <f aca="false">IF($A23="","",IFERROR(1/(1/IF($B23="Residential",SUMIFS(INDEX('Oxford Economics'!$A$7:$AZ$1000,0,IFERROR(MATCH(AD$5,'Oxford Economics'!$A$6:$AZ$6,0),MATCH(AD$5&amp;"",'Oxford Economics'!$A$6:$AZ$6,0))),'Oxford Economics'!$A$7:$A$1000,$C23,'Oxford Economics'!$B$7:$B$1000,Settings!$B$11)-SUMIFS(INDEX('Oxford Economics'!$A$7:$AZ$1000,0,IFERROR(MATCH(AD$5,'Oxford Economics'!$A$6:$AZ$6,0),MATCH(AD$5&amp;"",'Oxford Economics'!$A$6:$AZ$6,0))),'Oxford Economics'!$A$7:$A$1000,$C23,'Oxford Economics'!$B$7:$B$1000,Settings!$B$13),SUMIFS(INDEX('Oxford Economics'!$A$7:$AZ$1000,0,IFERROR(MATCH(AD$5,'Oxford Economics'!$A$6:$AZ$6,0),MATCH(AD$5&amp;"",'Oxford Economics'!$A$6:$AZ$6,0))),'Oxford Economics'!$A$7:$A$1000,$C23,'Oxford Economics'!$B$7:$B$1000,Settings!$B$13)+SUMIFS(INDEX('Oxford Economics'!$A$7:$AZ$1000,0,IFERROR(MATCH(AD$5,'Oxford Economics'!$A$6:$AZ$6,0),MATCH(AD$5&amp;"",'Oxford Economics'!$A$6:$AZ$6,0))),'Oxford Economics'!$A$7:$A$1000,$C23,'Oxford Economics'!$B$7:$B$1000,Settings!$B$15)+IF(Settings!$B$17="",0,SUMIFS(INDEX('Oxford Economics'!$A$7:$AZ$1000,0,IFERROR(MATCH(AD$5,'Oxford Economics'!$A$6:$AZ$6,0),MATCH(AD$5&amp;"",'Oxford Economics'!$A$6:$AZ$6,0))),'Oxford Economics'!$A$7:$A$1000,$C23,'Oxford Economics'!$B$7:$B$1000,Settings!$B$17)))),""))</f>
        <v>45188.96</v>
      </c>
      <c r="AE23" s="37" t="n">
        <f aca="false">IF($A23="","",IFERROR(1/(1/IF($B23="Residential",SUMIFS(INDEX('Oxford Economics'!$A$7:$AZ$1000,0,IFERROR(MATCH(AE$5,'Oxford Economics'!$A$6:$AZ$6,0),MATCH(AE$5&amp;"",'Oxford Economics'!$A$6:$AZ$6,0))),'Oxford Economics'!$A$7:$A$1000,$C23,'Oxford Economics'!$B$7:$B$1000,Settings!$B$11)-SUMIFS(INDEX('Oxford Economics'!$A$7:$AZ$1000,0,IFERROR(MATCH(AE$5,'Oxford Economics'!$A$6:$AZ$6,0),MATCH(AE$5&amp;"",'Oxford Economics'!$A$6:$AZ$6,0))),'Oxford Economics'!$A$7:$A$1000,$C23,'Oxford Economics'!$B$7:$B$1000,Settings!$B$13),SUMIFS(INDEX('Oxford Economics'!$A$7:$AZ$1000,0,IFERROR(MATCH(AE$5,'Oxford Economics'!$A$6:$AZ$6,0),MATCH(AE$5&amp;"",'Oxford Economics'!$A$6:$AZ$6,0))),'Oxford Economics'!$A$7:$A$1000,$C23,'Oxford Economics'!$B$7:$B$1000,Settings!$B$13)+SUMIFS(INDEX('Oxford Economics'!$A$7:$AZ$1000,0,IFERROR(MATCH(AE$5,'Oxford Economics'!$A$6:$AZ$6,0),MATCH(AE$5&amp;"",'Oxford Economics'!$A$6:$AZ$6,0))),'Oxford Economics'!$A$7:$A$1000,$C23,'Oxford Economics'!$B$7:$B$1000,Settings!$B$15)+IF(Settings!$B$17="",0,SUMIFS(INDEX('Oxford Economics'!$A$7:$AZ$1000,0,IFERROR(MATCH(AE$5,'Oxford Economics'!$A$6:$AZ$6,0),MATCH(AE$5&amp;"",'Oxford Economics'!$A$6:$AZ$6,0))),'Oxford Economics'!$A$7:$A$1000,$C23,'Oxford Economics'!$B$7:$B$1000,Settings!$B$17)))),""))</f>
        <v>45874.68</v>
      </c>
      <c r="AF23" s="37" t="n">
        <f aca="false">IF($A23="","",IFERROR(1/(1/IF($B23="Residential",SUMIFS(INDEX('Oxford Economics'!$A$7:$AZ$1000,0,IFERROR(MATCH(AF$5,'Oxford Economics'!$A$6:$AZ$6,0),MATCH(AF$5&amp;"",'Oxford Economics'!$A$6:$AZ$6,0))),'Oxford Economics'!$A$7:$A$1000,$C23,'Oxford Economics'!$B$7:$B$1000,Settings!$B$11)-SUMIFS(INDEX('Oxford Economics'!$A$7:$AZ$1000,0,IFERROR(MATCH(AF$5,'Oxford Economics'!$A$6:$AZ$6,0),MATCH(AF$5&amp;"",'Oxford Economics'!$A$6:$AZ$6,0))),'Oxford Economics'!$A$7:$A$1000,$C23,'Oxford Economics'!$B$7:$B$1000,Settings!$B$13),SUMIFS(INDEX('Oxford Economics'!$A$7:$AZ$1000,0,IFERROR(MATCH(AF$5,'Oxford Economics'!$A$6:$AZ$6,0),MATCH(AF$5&amp;"",'Oxford Economics'!$A$6:$AZ$6,0))),'Oxford Economics'!$A$7:$A$1000,$C23,'Oxford Economics'!$B$7:$B$1000,Settings!$B$13)+SUMIFS(INDEX('Oxford Economics'!$A$7:$AZ$1000,0,IFERROR(MATCH(AF$5,'Oxford Economics'!$A$6:$AZ$6,0),MATCH(AF$5&amp;"",'Oxford Economics'!$A$6:$AZ$6,0))),'Oxford Economics'!$A$7:$A$1000,$C23,'Oxford Economics'!$B$7:$B$1000,Settings!$B$15)+IF(Settings!$B$17="",0,SUMIFS(INDEX('Oxford Economics'!$A$7:$AZ$1000,0,IFERROR(MATCH(AF$5,'Oxford Economics'!$A$6:$AZ$6,0),MATCH(AF$5&amp;"",'Oxford Economics'!$A$6:$AZ$6,0))),'Oxford Economics'!$A$7:$A$1000,$C23,'Oxford Economics'!$B$7:$B$1000,Settings!$B$17)))),""))</f>
        <v>41700.71</v>
      </c>
      <c r="AG23" s="37" t="n">
        <f aca="false">IF($A23="","",IFERROR(1/(1/IF($B23="Residential",SUMIFS(INDEX('Oxford Economics'!$A$7:$AZ$1000,0,IFERROR(MATCH(AG$5,'Oxford Economics'!$A$6:$AZ$6,0),MATCH(AG$5&amp;"",'Oxford Economics'!$A$6:$AZ$6,0))),'Oxford Economics'!$A$7:$A$1000,$C23,'Oxford Economics'!$B$7:$B$1000,Settings!$B$11)-SUMIFS(INDEX('Oxford Economics'!$A$7:$AZ$1000,0,IFERROR(MATCH(AG$5,'Oxford Economics'!$A$6:$AZ$6,0),MATCH(AG$5&amp;"",'Oxford Economics'!$A$6:$AZ$6,0))),'Oxford Economics'!$A$7:$A$1000,$C23,'Oxford Economics'!$B$7:$B$1000,Settings!$B$13),SUMIFS(INDEX('Oxford Economics'!$A$7:$AZ$1000,0,IFERROR(MATCH(AG$5,'Oxford Economics'!$A$6:$AZ$6,0),MATCH(AG$5&amp;"",'Oxford Economics'!$A$6:$AZ$6,0))),'Oxford Economics'!$A$7:$A$1000,$C23,'Oxford Economics'!$B$7:$B$1000,Settings!$B$13)+SUMIFS(INDEX('Oxford Economics'!$A$7:$AZ$1000,0,IFERROR(MATCH(AG$5,'Oxford Economics'!$A$6:$AZ$6,0),MATCH(AG$5&amp;"",'Oxford Economics'!$A$6:$AZ$6,0))),'Oxford Economics'!$A$7:$A$1000,$C23,'Oxford Economics'!$B$7:$B$1000,Settings!$B$15)+IF(Settings!$B$17="",0,SUMIFS(INDEX('Oxford Economics'!$A$7:$AZ$1000,0,IFERROR(MATCH(AG$5,'Oxford Economics'!$A$6:$AZ$6,0),MATCH(AG$5&amp;"",'Oxford Economics'!$A$6:$AZ$6,0))),'Oxford Economics'!$A$7:$A$1000,$C23,'Oxford Economics'!$B$7:$B$1000,Settings!$B$17)))),""))</f>
        <v>39622.45</v>
      </c>
      <c r="AH23" s="37" t="n">
        <f aca="false">IF($A23="","",IFERROR(1/(1/IF($B23="Residential",SUMIFS(INDEX('Oxford Economics'!$A$7:$AZ$1000,0,IFERROR(MATCH(AH$5,'Oxford Economics'!$A$6:$AZ$6,0),MATCH(AH$5&amp;"",'Oxford Economics'!$A$6:$AZ$6,0))),'Oxford Economics'!$A$7:$A$1000,$C23,'Oxford Economics'!$B$7:$B$1000,Settings!$B$11)-SUMIFS(INDEX('Oxford Economics'!$A$7:$AZ$1000,0,IFERROR(MATCH(AH$5,'Oxford Economics'!$A$6:$AZ$6,0),MATCH(AH$5&amp;"",'Oxford Economics'!$A$6:$AZ$6,0))),'Oxford Economics'!$A$7:$A$1000,$C23,'Oxford Economics'!$B$7:$B$1000,Settings!$B$13),SUMIFS(INDEX('Oxford Economics'!$A$7:$AZ$1000,0,IFERROR(MATCH(AH$5,'Oxford Economics'!$A$6:$AZ$6,0),MATCH(AH$5&amp;"",'Oxford Economics'!$A$6:$AZ$6,0))),'Oxford Economics'!$A$7:$A$1000,$C23,'Oxford Economics'!$B$7:$B$1000,Settings!$B$13)+SUMIFS(INDEX('Oxford Economics'!$A$7:$AZ$1000,0,IFERROR(MATCH(AH$5,'Oxford Economics'!$A$6:$AZ$6,0),MATCH(AH$5&amp;"",'Oxford Economics'!$A$6:$AZ$6,0))),'Oxford Economics'!$A$7:$A$1000,$C23,'Oxford Economics'!$B$7:$B$1000,Settings!$B$15)+IF(Settings!$B$17="",0,SUMIFS(INDEX('Oxford Economics'!$A$7:$AZ$1000,0,IFERROR(MATCH(AH$5,'Oxford Economics'!$A$6:$AZ$6,0),MATCH(AH$5&amp;"",'Oxford Economics'!$A$6:$AZ$6,0))),'Oxford Economics'!$A$7:$A$1000,$C23,'Oxford Economics'!$B$7:$B$1000,Settings!$B$17)))),""))</f>
        <v>40814.9</v>
      </c>
      <c r="AI23" s="37" t="n">
        <f aca="false">IF($A23="","",IFERROR(1/(1/IF($B23="Residential",SUMIFS(INDEX('Oxford Economics'!$A$7:$AZ$1000,0,IFERROR(MATCH(AI$5,'Oxford Economics'!$A$6:$AZ$6,0),MATCH(AI$5&amp;"",'Oxford Economics'!$A$6:$AZ$6,0))),'Oxford Economics'!$A$7:$A$1000,$C23,'Oxford Economics'!$B$7:$B$1000,Settings!$B$11)-SUMIFS(INDEX('Oxford Economics'!$A$7:$AZ$1000,0,IFERROR(MATCH(AI$5,'Oxford Economics'!$A$6:$AZ$6,0),MATCH(AI$5&amp;"",'Oxford Economics'!$A$6:$AZ$6,0))),'Oxford Economics'!$A$7:$A$1000,$C23,'Oxford Economics'!$B$7:$B$1000,Settings!$B$13),SUMIFS(INDEX('Oxford Economics'!$A$7:$AZ$1000,0,IFERROR(MATCH(AI$5,'Oxford Economics'!$A$6:$AZ$6,0),MATCH(AI$5&amp;"",'Oxford Economics'!$A$6:$AZ$6,0))),'Oxford Economics'!$A$7:$A$1000,$C23,'Oxford Economics'!$B$7:$B$1000,Settings!$B$13)+SUMIFS(INDEX('Oxford Economics'!$A$7:$AZ$1000,0,IFERROR(MATCH(AI$5,'Oxford Economics'!$A$6:$AZ$6,0),MATCH(AI$5&amp;"",'Oxford Economics'!$A$6:$AZ$6,0))),'Oxford Economics'!$A$7:$A$1000,$C23,'Oxford Economics'!$B$7:$B$1000,Settings!$B$15)+IF(Settings!$B$17="",0,SUMIFS(INDEX('Oxford Economics'!$A$7:$AZ$1000,0,IFERROR(MATCH(AI$5,'Oxford Economics'!$A$6:$AZ$6,0),MATCH(AI$5&amp;"",'Oxford Economics'!$A$6:$AZ$6,0))),'Oxford Economics'!$A$7:$A$1000,$C23,'Oxford Economics'!$B$7:$B$1000,Settings!$B$17)))),""))</f>
        <v>42826.17</v>
      </c>
      <c r="AJ23" s="37" t="n">
        <f aca="false">IF($A23="","",IFERROR(1/(1/IF($B23="Residential",SUMIFS(INDEX('Oxford Economics'!$A$7:$AZ$1000,0,IFERROR(MATCH(AJ$5,'Oxford Economics'!$A$6:$AZ$6,0),MATCH(AJ$5&amp;"",'Oxford Economics'!$A$6:$AZ$6,0))),'Oxford Economics'!$A$7:$A$1000,$C23,'Oxford Economics'!$B$7:$B$1000,Settings!$B$11)-SUMIFS(INDEX('Oxford Economics'!$A$7:$AZ$1000,0,IFERROR(MATCH(AJ$5,'Oxford Economics'!$A$6:$AZ$6,0),MATCH(AJ$5&amp;"",'Oxford Economics'!$A$6:$AZ$6,0))),'Oxford Economics'!$A$7:$A$1000,$C23,'Oxford Economics'!$B$7:$B$1000,Settings!$B$13),SUMIFS(INDEX('Oxford Economics'!$A$7:$AZ$1000,0,IFERROR(MATCH(AJ$5,'Oxford Economics'!$A$6:$AZ$6,0),MATCH(AJ$5&amp;"",'Oxford Economics'!$A$6:$AZ$6,0))),'Oxford Economics'!$A$7:$A$1000,$C23,'Oxford Economics'!$B$7:$B$1000,Settings!$B$13)+SUMIFS(INDEX('Oxford Economics'!$A$7:$AZ$1000,0,IFERROR(MATCH(AJ$5,'Oxford Economics'!$A$6:$AZ$6,0),MATCH(AJ$5&amp;"",'Oxford Economics'!$A$6:$AZ$6,0))),'Oxford Economics'!$A$7:$A$1000,$C23,'Oxford Economics'!$B$7:$B$1000,Settings!$B$15)+IF(Settings!$B$17="",0,SUMIFS(INDEX('Oxford Economics'!$A$7:$AZ$1000,0,IFERROR(MATCH(AJ$5,'Oxford Economics'!$A$6:$AZ$6,0),MATCH(AJ$5&amp;"",'Oxford Economics'!$A$6:$AZ$6,0))),'Oxford Economics'!$A$7:$A$1000,$C23,'Oxford Economics'!$B$7:$B$1000,Settings!$B$17)))),""))</f>
        <v>44494.66</v>
      </c>
      <c r="AK23" s="37" t="n">
        <f aca="false">IF($A23="","",IFERROR(1/(1/IF($B23="Residential",SUMIFS(INDEX('Oxford Economics'!$A$7:$AZ$1000,0,IFERROR(MATCH(AK$5,'Oxford Economics'!$A$6:$AZ$6,0),MATCH(AK$5&amp;"",'Oxford Economics'!$A$6:$AZ$6,0))),'Oxford Economics'!$A$7:$A$1000,$C23,'Oxford Economics'!$B$7:$B$1000,Settings!$B$11)-SUMIFS(INDEX('Oxford Economics'!$A$7:$AZ$1000,0,IFERROR(MATCH(AK$5,'Oxford Economics'!$A$6:$AZ$6,0),MATCH(AK$5&amp;"",'Oxford Economics'!$A$6:$AZ$6,0))),'Oxford Economics'!$A$7:$A$1000,$C23,'Oxford Economics'!$B$7:$B$1000,Settings!$B$13),SUMIFS(INDEX('Oxford Economics'!$A$7:$AZ$1000,0,IFERROR(MATCH(AK$5,'Oxford Economics'!$A$6:$AZ$6,0),MATCH(AK$5&amp;"",'Oxford Economics'!$A$6:$AZ$6,0))),'Oxford Economics'!$A$7:$A$1000,$C23,'Oxford Economics'!$B$7:$B$1000,Settings!$B$13)+SUMIFS(INDEX('Oxford Economics'!$A$7:$AZ$1000,0,IFERROR(MATCH(AK$5,'Oxford Economics'!$A$6:$AZ$6,0),MATCH(AK$5&amp;"",'Oxford Economics'!$A$6:$AZ$6,0))),'Oxford Economics'!$A$7:$A$1000,$C23,'Oxford Economics'!$B$7:$B$1000,Settings!$B$15)+IF(Settings!$B$17="",0,SUMIFS(INDEX('Oxford Economics'!$A$7:$AZ$1000,0,IFERROR(MATCH(AK$5,'Oxford Economics'!$A$6:$AZ$6,0),MATCH(AK$5&amp;"",'Oxford Economics'!$A$6:$AZ$6,0))),'Oxford Economics'!$A$7:$A$1000,$C23,'Oxford Economics'!$B$7:$B$1000,Settings!$B$17)))),""))</f>
        <v>45579.38</v>
      </c>
      <c r="AL23" s="37" t="n">
        <f aca="false">IF($A23="","",IFERROR(1/(1/IF($B23="Residential",SUMIFS(INDEX('Oxford Economics'!$A$7:$AZ$1000,0,IFERROR(MATCH(AL$5,'Oxford Economics'!$A$6:$AZ$6,0),MATCH(AL$5&amp;"",'Oxford Economics'!$A$6:$AZ$6,0))),'Oxford Economics'!$A$7:$A$1000,$C23,'Oxford Economics'!$B$7:$B$1000,Settings!$B$11)-SUMIFS(INDEX('Oxford Economics'!$A$7:$AZ$1000,0,IFERROR(MATCH(AL$5,'Oxford Economics'!$A$6:$AZ$6,0),MATCH(AL$5&amp;"",'Oxford Economics'!$A$6:$AZ$6,0))),'Oxford Economics'!$A$7:$A$1000,$C23,'Oxford Economics'!$B$7:$B$1000,Settings!$B$13),SUMIFS(INDEX('Oxford Economics'!$A$7:$AZ$1000,0,IFERROR(MATCH(AL$5,'Oxford Economics'!$A$6:$AZ$6,0),MATCH(AL$5&amp;"",'Oxford Economics'!$A$6:$AZ$6,0))),'Oxford Economics'!$A$7:$A$1000,$C23,'Oxford Economics'!$B$7:$B$1000,Settings!$B$13)+SUMIFS(INDEX('Oxford Economics'!$A$7:$AZ$1000,0,IFERROR(MATCH(AL$5,'Oxford Economics'!$A$6:$AZ$6,0),MATCH(AL$5&amp;"",'Oxford Economics'!$A$6:$AZ$6,0))),'Oxford Economics'!$A$7:$A$1000,$C23,'Oxford Economics'!$B$7:$B$1000,Settings!$B$15)+IF(Settings!$B$17="",0,SUMIFS(INDEX('Oxford Economics'!$A$7:$AZ$1000,0,IFERROR(MATCH(AL$5,'Oxford Economics'!$A$6:$AZ$6,0),MATCH(AL$5&amp;"",'Oxford Economics'!$A$6:$AZ$6,0))),'Oxford Economics'!$A$7:$A$1000,$C23,'Oxford Economics'!$B$7:$B$1000,Settings!$B$17)))),""))</f>
        <v>46487.43</v>
      </c>
      <c r="AM23" s="37" t="n">
        <f aca="false">IF($A23="","",IFERROR(1/(1/IF($B23="Residential",SUMIFS(INDEX('Oxford Economics'!$A$7:$AZ$1000,0,IFERROR(MATCH(AM$5,'Oxford Economics'!$A$6:$AZ$6,0),MATCH(AM$5&amp;"",'Oxford Economics'!$A$6:$AZ$6,0))),'Oxford Economics'!$A$7:$A$1000,$C23,'Oxford Economics'!$B$7:$B$1000,Settings!$B$11)-SUMIFS(INDEX('Oxford Economics'!$A$7:$AZ$1000,0,IFERROR(MATCH(AM$5,'Oxford Economics'!$A$6:$AZ$6,0),MATCH(AM$5&amp;"",'Oxford Economics'!$A$6:$AZ$6,0))),'Oxford Economics'!$A$7:$A$1000,$C23,'Oxford Economics'!$B$7:$B$1000,Settings!$B$13),SUMIFS(INDEX('Oxford Economics'!$A$7:$AZ$1000,0,IFERROR(MATCH(AM$5,'Oxford Economics'!$A$6:$AZ$6,0),MATCH(AM$5&amp;"",'Oxford Economics'!$A$6:$AZ$6,0))),'Oxford Economics'!$A$7:$A$1000,$C23,'Oxford Economics'!$B$7:$B$1000,Settings!$B$13)+SUMIFS(INDEX('Oxford Economics'!$A$7:$AZ$1000,0,IFERROR(MATCH(AM$5,'Oxford Economics'!$A$6:$AZ$6,0),MATCH(AM$5&amp;"",'Oxford Economics'!$A$6:$AZ$6,0))),'Oxford Economics'!$A$7:$A$1000,$C23,'Oxford Economics'!$B$7:$B$1000,Settings!$B$15)+IF(Settings!$B$17="",0,SUMIFS(INDEX('Oxford Economics'!$A$7:$AZ$1000,0,IFERROR(MATCH(AM$5,'Oxford Economics'!$A$6:$AZ$6,0),MATCH(AM$5&amp;"",'Oxford Economics'!$A$6:$AZ$6,0))),'Oxford Economics'!$A$7:$A$1000,$C23,'Oxford Economics'!$B$7:$B$1000,Settings!$B$17)))),""))</f>
        <v>47342.37</v>
      </c>
    </row>
    <row r="24" customFormat="false" ht="15" hidden="false" customHeight="false" outlineLevel="0" collapsed="false">
      <c r="A24" s="36" t="str">
        <f aca="false">IF('Raw data'!$A24="","",'Raw data'!$A24)</f>
        <v>Austria</v>
      </c>
      <c r="B24" s="36" t="str">
        <f aca="false">IF($A24="","",'Raw data'!$C24)</f>
        <v>Residential</v>
      </c>
      <c r="C24" s="36" t="str">
        <f aca="false">IF($A24="","",IF('Raw data'!$D24="",$A24,'Raw data'!$D24))</f>
        <v>Austria</v>
      </c>
      <c r="D24" s="37" t="n">
        <f aca="false">IF($A24="","",IF(AND(ISNUMBER(P24),ISNUMBER(AB24)),P24+AB24,""))</f>
        <v>9490.88</v>
      </c>
      <c r="E24" s="37" t="n">
        <f aca="false">IF($A24="","",IF(AND(ISNUMBER(Q24),ISNUMBER(AC24)),Q24+AC24,""))</f>
        <v>9679.02</v>
      </c>
      <c r="F24" s="37" t="n">
        <f aca="false">IF($A24="","",IF(AND(ISNUMBER(R24),ISNUMBER(AD24)),R24+AD24,""))</f>
        <v>9877.74</v>
      </c>
      <c r="G24" s="37" t="n">
        <f aca="false">IF($A24="","",IF(AND(ISNUMBER(S24),ISNUMBER(AE24)),S24+AE24,""))</f>
        <v>8663.89</v>
      </c>
      <c r="H24" s="37" t="n">
        <f aca="false">IF($A24="","",IF(AND(ISNUMBER(T24),ISNUMBER(AF24)),T24+AF24,""))</f>
        <v>7963.21</v>
      </c>
      <c r="I24" s="37" t="n">
        <f aca="false">IF($A24="","",IF(AND(ISNUMBER(U24),ISNUMBER(AG24)),U24+AG24,""))</f>
        <v>7724.59</v>
      </c>
      <c r="J24" s="37" t="n">
        <f aca="false">IF($A24="","",IF(AND(ISNUMBER(V24),ISNUMBER(AH24)),V24+AH24,""))</f>
        <v>7917.57</v>
      </c>
      <c r="K24" s="37" t="n">
        <f aca="false">IF($A24="","",IF(AND(ISNUMBER(W24),ISNUMBER(AI24)),W24+AI24,""))</f>
        <v>8342.71</v>
      </c>
      <c r="L24" s="37" t="n">
        <f aca="false">IF($A24="","",IF(AND(ISNUMBER(X24),ISNUMBER(AJ24)),X24+AJ24,""))</f>
        <v>8783.55</v>
      </c>
      <c r="M24" s="37" t="n">
        <f aca="false">IF($A24="","",IF(AND(ISNUMBER(Y24),ISNUMBER(AK24)),Y24+AK24,""))</f>
        <v>9115.73</v>
      </c>
      <c r="N24" s="37" t="n">
        <f aca="false">IF($A24="","",IF(AND(ISNUMBER(Z24),ISNUMBER(AL24)),Z24+AL24,""))</f>
        <v>9347.44</v>
      </c>
      <c r="O24" s="37" t="n">
        <f aca="false">IF($A24="","",IF(AND(ISNUMBER(AA24),ISNUMBER(AM24)),AA24+AM24,""))</f>
        <v>9512</v>
      </c>
      <c r="P24" s="37" t="n">
        <f aca="false">IF($A24="","",IFERROR(1/(1/IF($B24="Residential",SUMIFS(INDEX('Oxford Economics'!$A$7:$AZ$1000,0,IFERROR(MATCH(P$5,'Oxford Economics'!$A$6:$AZ$6,0),MATCH(P$5&amp;"",'Oxford Economics'!$A$6:$AZ$6,0))),'Oxford Economics'!$A$7:$A$1000,$C24,'Oxford Economics'!$B$7:$B$1000,Settings!$B$12)-SUMIFS(INDEX('Oxford Economics'!$A$7:$AZ$1000,0,IFERROR(MATCH(P$5,'Oxford Economics'!$A$6:$AZ$6,0),MATCH(P$5&amp;"",'Oxford Economics'!$A$6:$AZ$6,0))),'Oxford Economics'!$A$7:$A$1000,$C24,'Oxford Economics'!$B$7:$B$1000,Settings!$B$14),SUMIFS(INDEX('Oxford Economics'!$A$7:$AZ$1000,0,IFERROR(MATCH(P$5,'Oxford Economics'!$A$6:$AZ$6,0),MATCH(P$5&amp;"",'Oxford Economics'!$A$6:$AZ$6,0))),'Oxford Economics'!$A$7:$A$1000,$C24,'Oxford Economics'!$B$7:$B$1000,Settings!$B$14)+SUMIFS(INDEX('Oxford Economics'!$A$7:$AZ$1000,0,IFERROR(MATCH(P$5,'Oxford Economics'!$A$6:$AZ$6,0),MATCH(P$5&amp;"",'Oxford Economics'!$A$6:$AZ$6,0))),'Oxford Economics'!$A$7:$A$1000,$C24,'Oxford Economics'!$B$7:$B$1000,Settings!$B$16)+IF(Settings!$B$18="",0,SUMIFS(INDEX('Oxford Economics'!$A$7:$AZ$1000,0,IFERROR(MATCH(P$5,'Oxford Economics'!$A$6:$AZ$6,0),MATCH(P$5&amp;"",'Oxford Economics'!$A$6:$AZ$6,0))),'Oxford Economics'!$A$7:$A$1000,$C24,'Oxford Economics'!$B$7:$B$1000,Settings!$B$18)))),""))</f>
        <v>3466.43</v>
      </c>
      <c r="Q24" s="37" t="n">
        <f aca="false">IF($A24="","",IFERROR(1/(1/IF($B24="Residential",SUMIFS(INDEX('Oxford Economics'!$A$7:$AZ$1000,0,IFERROR(MATCH(Q$5,'Oxford Economics'!$A$6:$AZ$6,0),MATCH(Q$5&amp;"",'Oxford Economics'!$A$6:$AZ$6,0))),'Oxford Economics'!$A$7:$A$1000,$C24,'Oxford Economics'!$B$7:$B$1000,Settings!$B$12)-SUMIFS(INDEX('Oxford Economics'!$A$7:$AZ$1000,0,IFERROR(MATCH(Q$5,'Oxford Economics'!$A$6:$AZ$6,0),MATCH(Q$5&amp;"",'Oxford Economics'!$A$6:$AZ$6,0))),'Oxford Economics'!$A$7:$A$1000,$C24,'Oxford Economics'!$B$7:$B$1000,Settings!$B$14),SUMIFS(INDEX('Oxford Economics'!$A$7:$AZ$1000,0,IFERROR(MATCH(Q$5,'Oxford Economics'!$A$6:$AZ$6,0),MATCH(Q$5&amp;"",'Oxford Economics'!$A$6:$AZ$6,0))),'Oxford Economics'!$A$7:$A$1000,$C24,'Oxford Economics'!$B$7:$B$1000,Settings!$B$14)+SUMIFS(INDEX('Oxford Economics'!$A$7:$AZ$1000,0,IFERROR(MATCH(Q$5,'Oxford Economics'!$A$6:$AZ$6,0),MATCH(Q$5&amp;"",'Oxford Economics'!$A$6:$AZ$6,0))),'Oxford Economics'!$A$7:$A$1000,$C24,'Oxford Economics'!$B$7:$B$1000,Settings!$B$16)+IF(Settings!$B$18="",0,SUMIFS(INDEX('Oxford Economics'!$A$7:$AZ$1000,0,IFERROR(MATCH(Q$5,'Oxford Economics'!$A$6:$AZ$6,0),MATCH(Q$5&amp;"",'Oxford Economics'!$A$6:$AZ$6,0))),'Oxford Economics'!$A$7:$A$1000,$C24,'Oxford Economics'!$B$7:$B$1000,Settings!$B$18)))),""))</f>
        <v>3247.65</v>
      </c>
      <c r="R24" s="37" t="n">
        <f aca="false">IF($A24="","",IFERROR(1/(1/IF($B24="Residential",SUMIFS(INDEX('Oxford Economics'!$A$7:$AZ$1000,0,IFERROR(MATCH(R$5,'Oxford Economics'!$A$6:$AZ$6,0),MATCH(R$5&amp;"",'Oxford Economics'!$A$6:$AZ$6,0))),'Oxford Economics'!$A$7:$A$1000,$C24,'Oxford Economics'!$B$7:$B$1000,Settings!$B$12)-SUMIFS(INDEX('Oxford Economics'!$A$7:$AZ$1000,0,IFERROR(MATCH(R$5,'Oxford Economics'!$A$6:$AZ$6,0),MATCH(R$5&amp;"",'Oxford Economics'!$A$6:$AZ$6,0))),'Oxford Economics'!$A$7:$A$1000,$C24,'Oxford Economics'!$B$7:$B$1000,Settings!$B$14),SUMIFS(INDEX('Oxford Economics'!$A$7:$AZ$1000,0,IFERROR(MATCH(R$5,'Oxford Economics'!$A$6:$AZ$6,0),MATCH(R$5&amp;"",'Oxford Economics'!$A$6:$AZ$6,0))),'Oxford Economics'!$A$7:$A$1000,$C24,'Oxford Economics'!$B$7:$B$1000,Settings!$B$14)+SUMIFS(INDEX('Oxford Economics'!$A$7:$AZ$1000,0,IFERROR(MATCH(R$5,'Oxford Economics'!$A$6:$AZ$6,0),MATCH(R$5&amp;"",'Oxford Economics'!$A$6:$AZ$6,0))),'Oxford Economics'!$A$7:$A$1000,$C24,'Oxford Economics'!$B$7:$B$1000,Settings!$B$16)+IF(Settings!$B$18="",0,SUMIFS(INDEX('Oxford Economics'!$A$7:$AZ$1000,0,IFERROR(MATCH(R$5,'Oxford Economics'!$A$6:$AZ$6,0),MATCH(R$5&amp;"",'Oxford Economics'!$A$6:$AZ$6,0))),'Oxford Economics'!$A$7:$A$1000,$C24,'Oxford Economics'!$B$7:$B$1000,Settings!$B$18)))),""))</f>
        <v>3242.21</v>
      </c>
      <c r="S24" s="37" t="n">
        <f aca="false">IF($A24="","",IFERROR(1/(1/IF($B24="Residential",SUMIFS(INDEX('Oxford Economics'!$A$7:$AZ$1000,0,IFERROR(MATCH(S$5,'Oxford Economics'!$A$6:$AZ$6,0),MATCH(S$5&amp;"",'Oxford Economics'!$A$6:$AZ$6,0))),'Oxford Economics'!$A$7:$A$1000,$C24,'Oxford Economics'!$B$7:$B$1000,Settings!$B$12)-SUMIFS(INDEX('Oxford Economics'!$A$7:$AZ$1000,0,IFERROR(MATCH(S$5,'Oxford Economics'!$A$6:$AZ$6,0),MATCH(S$5&amp;"",'Oxford Economics'!$A$6:$AZ$6,0))),'Oxford Economics'!$A$7:$A$1000,$C24,'Oxford Economics'!$B$7:$B$1000,Settings!$B$14),SUMIFS(INDEX('Oxford Economics'!$A$7:$AZ$1000,0,IFERROR(MATCH(S$5,'Oxford Economics'!$A$6:$AZ$6,0),MATCH(S$5&amp;"",'Oxford Economics'!$A$6:$AZ$6,0))),'Oxford Economics'!$A$7:$A$1000,$C24,'Oxford Economics'!$B$7:$B$1000,Settings!$B$14)+SUMIFS(INDEX('Oxford Economics'!$A$7:$AZ$1000,0,IFERROR(MATCH(S$5,'Oxford Economics'!$A$6:$AZ$6,0),MATCH(S$5&amp;"",'Oxford Economics'!$A$6:$AZ$6,0))),'Oxford Economics'!$A$7:$A$1000,$C24,'Oxford Economics'!$B$7:$B$1000,Settings!$B$16)+IF(Settings!$B$18="",0,SUMIFS(INDEX('Oxford Economics'!$A$7:$AZ$1000,0,IFERROR(MATCH(S$5,'Oxford Economics'!$A$6:$AZ$6,0),MATCH(S$5&amp;"",'Oxford Economics'!$A$6:$AZ$6,0))),'Oxford Economics'!$A$7:$A$1000,$C24,'Oxford Economics'!$B$7:$B$1000,Settings!$B$18)))),""))</f>
        <v>3286.98</v>
      </c>
      <c r="T24" s="37" t="n">
        <f aca="false">IF($A24="","",IFERROR(1/(1/IF($B24="Residential",SUMIFS(INDEX('Oxford Economics'!$A$7:$AZ$1000,0,IFERROR(MATCH(T$5,'Oxford Economics'!$A$6:$AZ$6,0),MATCH(T$5&amp;"",'Oxford Economics'!$A$6:$AZ$6,0))),'Oxford Economics'!$A$7:$A$1000,$C24,'Oxford Economics'!$B$7:$B$1000,Settings!$B$12)-SUMIFS(INDEX('Oxford Economics'!$A$7:$AZ$1000,0,IFERROR(MATCH(T$5,'Oxford Economics'!$A$6:$AZ$6,0),MATCH(T$5&amp;"",'Oxford Economics'!$A$6:$AZ$6,0))),'Oxford Economics'!$A$7:$A$1000,$C24,'Oxford Economics'!$B$7:$B$1000,Settings!$B$14),SUMIFS(INDEX('Oxford Economics'!$A$7:$AZ$1000,0,IFERROR(MATCH(T$5,'Oxford Economics'!$A$6:$AZ$6,0),MATCH(T$5&amp;"",'Oxford Economics'!$A$6:$AZ$6,0))),'Oxford Economics'!$A$7:$A$1000,$C24,'Oxford Economics'!$B$7:$B$1000,Settings!$B$14)+SUMIFS(INDEX('Oxford Economics'!$A$7:$AZ$1000,0,IFERROR(MATCH(T$5,'Oxford Economics'!$A$6:$AZ$6,0),MATCH(T$5&amp;"",'Oxford Economics'!$A$6:$AZ$6,0))),'Oxford Economics'!$A$7:$A$1000,$C24,'Oxford Economics'!$B$7:$B$1000,Settings!$B$16)+IF(Settings!$B$18="",0,SUMIFS(INDEX('Oxford Economics'!$A$7:$AZ$1000,0,IFERROR(MATCH(T$5,'Oxford Economics'!$A$6:$AZ$6,0),MATCH(T$5&amp;"",'Oxford Economics'!$A$6:$AZ$6,0))),'Oxford Economics'!$A$7:$A$1000,$C24,'Oxford Economics'!$B$7:$B$1000,Settings!$B$18)))),""))</f>
        <v>3402.2</v>
      </c>
      <c r="U24" s="37" t="n">
        <f aca="false">IF($A24="","",IFERROR(1/(1/IF($B24="Residential",SUMIFS(INDEX('Oxford Economics'!$A$7:$AZ$1000,0,IFERROR(MATCH(U$5,'Oxford Economics'!$A$6:$AZ$6,0),MATCH(U$5&amp;"",'Oxford Economics'!$A$6:$AZ$6,0))),'Oxford Economics'!$A$7:$A$1000,$C24,'Oxford Economics'!$B$7:$B$1000,Settings!$B$12)-SUMIFS(INDEX('Oxford Economics'!$A$7:$AZ$1000,0,IFERROR(MATCH(U$5,'Oxford Economics'!$A$6:$AZ$6,0),MATCH(U$5&amp;"",'Oxford Economics'!$A$6:$AZ$6,0))),'Oxford Economics'!$A$7:$A$1000,$C24,'Oxford Economics'!$B$7:$B$1000,Settings!$B$14),SUMIFS(INDEX('Oxford Economics'!$A$7:$AZ$1000,0,IFERROR(MATCH(U$5,'Oxford Economics'!$A$6:$AZ$6,0),MATCH(U$5&amp;"",'Oxford Economics'!$A$6:$AZ$6,0))),'Oxford Economics'!$A$7:$A$1000,$C24,'Oxford Economics'!$B$7:$B$1000,Settings!$B$14)+SUMIFS(INDEX('Oxford Economics'!$A$7:$AZ$1000,0,IFERROR(MATCH(U$5,'Oxford Economics'!$A$6:$AZ$6,0),MATCH(U$5&amp;"",'Oxford Economics'!$A$6:$AZ$6,0))),'Oxford Economics'!$A$7:$A$1000,$C24,'Oxford Economics'!$B$7:$B$1000,Settings!$B$16)+IF(Settings!$B$18="",0,SUMIFS(INDEX('Oxford Economics'!$A$7:$AZ$1000,0,IFERROR(MATCH(U$5,'Oxford Economics'!$A$6:$AZ$6,0),MATCH(U$5&amp;"",'Oxford Economics'!$A$6:$AZ$6,0))),'Oxford Economics'!$A$7:$A$1000,$C24,'Oxford Economics'!$B$7:$B$1000,Settings!$B$18)))),""))</f>
        <v>3262.66</v>
      </c>
      <c r="V24" s="37" t="n">
        <f aca="false">IF($A24="","",IFERROR(1/(1/IF($B24="Residential",SUMIFS(INDEX('Oxford Economics'!$A$7:$AZ$1000,0,IFERROR(MATCH(V$5,'Oxford Economics'!$A$6:$AZ$6,0),MATCH(V$5&amp;"",'Oxford Economics'!$A$6:$AZ$6,0))),'Oxford Economics'!$A$7:$A$1000,$C24,'Oxford Economics'!$B$7:$B$1000,Settings!$B$12)-SUMIFS(INDEX('Oxford Economics'!$A$7:$AZ$1000,0,IFERROR(MATCH(V$5,'Oxford Economics'!$A$6:$AZ$6,0),MATCH(V$5&amp;"",'Oxford Economics'!$A$6:$AZ$6,0))),'Oxford Economics'!$A$7:$A$1000,$C24,'Oxford Economics'!$B$7:$B$1000,Settings!$B$14),SUMIFS(INDEX('Oxford Economics'!$A$7:$AZ$1000,0,IFERROR(MATCH(V$5,'Oxford Economics'!$A$6:$AZ$6,0),MATCH(V$5&amp;"",'Oxford Economics'!$A$6:$AZ$6,0))),'Oxford Economics'!$A$7:$A$1000,$C24,'Oxford Economics'!$B$7:$B$1000,Settings!$B$14)+SUMIFS(INDEX('Oxford Economics'!$A$7:$AZ$1000,0,IFERROR(MATCH(V$5,'Oxford Economics'!$A$6:$AZ$6,0),MATCH(V$5&amp;"",'Oxford Economics'!$A$6:$AZ$6,0))),'Oxford Economics'!$A$7:$A$1000,$C24,'Oxford Economics'!$B$7:$B$1000,Settings!$B$16)+IF(Settings!$B$18="",0,SUMIFS(INDEX('Oxford Economics'!$A$7:$AZ$1000,0,IFERROR(MATCH(V$5,'Oxford Economics'!$A$6:$AZ$6,0),MATCH(V$5&amp;"",'Oxford Economics'!$A$6:$AZ$6,0))),'Oxford Economics'!$A$7:$A$1000,$C24,'Oxford Economics'!$B$7:$B$1000,Settings!$B$18)))),""))</f>
        <v>3287.17</v>
      </c>
      <c r="W24" s="37" t="n">
        <f aca="false">IF($A24="","",IFERROR(1/(1/IF($B24="Residential",SUMIFS(INDEX('Oxford Economics'!$A$7:$AZ$1000,0,IFERROR(MATCH(W$5,'Oxford Economics'!$A$6:$AZ$6,0),MATCH(W$5&amp;"",'Oxford Economics'!$A$6:$AZ$6,0))),'Oxford Economics'!$A$7:$A$1000,$C24,'Oxford Economics'!$B$7:$B$1000,Settings!$B$12)-SUMIFS(INDEX('Oxford Economics'!$A$7:$AZ$1000,0,IFERROR(MATCH(W$5,'Oxford Economics'!$A$6:$AZ$6,0),MATCH(W$5&amp;"",'Oxford Economics'!$A$6:$AZ$6,0))),'Oxford Economics'!$A$7:$A$1000,$C24,'Oxford Economics'!$B$7:$B$1000,Settings!$B$14),SUMIFS(INDEX('Oxford Economics'!$A$7:$AZ$1000,0,IFERROR(MATCH(W$5,'Oxford Economics'!$A$6:$AZ$6,0),MATCH(W$5&amp;"",'Oxford Economics'!$A$6:$AZ$6,0))),'Oxford Economics'!$A$7:$A$1000,$C24,'Oxford Economics'!$B$7:$B$1000,Settings!$B$14)+SUMIFS(INDEX('Oxford Economics'!$A$7:$AZ$1000,0,IFERROR(MATCH(W$5,'Oxford Economics'!$A$6:$AZ$6,0),MATCH(W$5&amp;"",'Oxford Economics'!$A$6:$AZ$6,0))),'Oxford Economics'!$A$7:$A$1000,$C24,'Oxford Economics'!$B$7:$B$1000,Settings!$B$16)+IF(Settings!$B$18="",0,SUMIFS(INDEX('Oxford Economics'!$A$7:$AZ$1000,0,IFERROR(MATCH(W$5,'Oxford Economics'!$A$6:$AZ$6,0),MATCH(W$5&amp;"",'Oxford Economics'!$A$6:$AZ$6,0))),'Oxford Economics'!$A$7:$A$1000,$C24,'Oxford Economics'!$B$7:$B$1000,Settings!$B$18)))),""))</f>
        <v>3426.71</v>
      </c>
      <c r="X24" s="37" t="n">
        <f aca="false">IF($A24="","",IFERROR(1/(1/IF($B24="Residential",SUMIFS(INDEX('Oxford Economics'!$A$7:$AZ$1000,0,IFERROR(MATCH(X$5,'Oxford Economics'!$A$6:$AZ$6,0),MATCH(X$5&amp;"",'Oxford Economics'!$A$6:$AZ$6,0))),'Oxford Economics'!$A$7:$A$1000,$C24,'Oxford Economics'!$B$7:$B$1000,Settings!$B$12)-SUMIFS(INDEX('Oxford Economics'!$A$7:$AZ$1000,0,IFERROR(MATCH(X$5,'Oxford Economics'!$A$6:$AZ$6,0),MATCH(X$5&amp;"",'Oxford Economics'!$A$6:$AZ$6,0))),'Oxford Economics'!$A$7:$A$1000,$C24,'Oxford Economics'!$B$7:$B$1000,Settings!$B$14),SUMIFS(INDEX('Oxford Economics'!$A$7:$AZ$1000,0,IFERROR(MATCH(X$5,'Oxford Economics'!$A$6:$AZ$6,0),MATCH(X$5&amp;"",'Oxford Economics'!$A$6:$AZ$6,0))),'Oxford Economics'!$A$7:$A$1000,$C24,'Oxford Economics'!$B$7:$B$1000,Settings!$B$14)+SUMIFS(INDEX('Oxford Economics'!$A$7:$AZ$1000,0,IFERROR(MATCH(X$5,'Oxford Economics'!$A$6:$AZ$6,0),MATCH(X$5&amp;"",'Oxford Economics'!$A$6:$AZ$6,0))),'Oxford Economics'!$A$7:$A$1000,$C24,'Oxford Economics'!$B$7:$B$1000,Settings!$B$16)+IF(Settings!$B$18="",0,SUMIFS(INDEX('Oxford Economics'!$A$7:$AZ$1000,0,IFERROR(MATCH(X$5,'Oxford Economics'!$A$6:$AZ$6,0),MATCH(X$5&amp;"",'Oxford Economics'!$A$6:$AZ$6,0))),'Oxford Economics'!$A$7:$A$1000,$C24,'Oxford Economics'!$B$7:$B$1000,Settings!$B$18)))),""))</f>
        <v>3626.17</v>
      </c>
      <c r="Y24" s="37" t="n">
        <f aca="false">IF($A24="","",IFERROR(1/(1/IF($B24="Residential",SUMIFS(INDEX('Oxford Economics'!$A$7:$AZ$1000,0,IFERROR(MATCH(Y$5,'Oxford Economics'!$A$6:$AZ$6,0),MATCH(Y$5&amp;"",'Oxford Economics'!$A$6:$AZ$6,0))),'Oxford Economics'!$A$7:$A$1000,$C24,'Oxford Economics'!$B$7:$B$1000,Settings!$B$12)-SUMIFS(INDEX('Oxford Economics'!$A$7:$AZ$1000,0,IFERROR(MATCH(Y$5,'Oxford Economics'!$A$6:$AZ$6,0),MATCH(Y$5&amp;"",'Oxford Economics'!$A$6:$AZ$6,0))),'Oxford Economics'!$A$7:$A$1000,$C24,'Oxford Economics'!$B$7:$B$1000,Settings!$B$14),SUMIFS(INDEX('Oxford Economics'!$A$7:$AZ$1000,0,IFERROR(MATCH(Y$5,'Oxford Economics'!$A$6:$AZ$6,0),MATCH(Y$5&amp;"",'Oxford Economics'!$A$6:$AZ$6,0))),'Oxford Economics'!$A$7:$A$1000,$C24,'Oxford Economics'!$B$7:$B$1000,Settings!$B$14)+SUMIFS(INDEX('Oxford Economics'!$A$7:$AZ$1000,0,IFERROR(MATCH(Y$5,'Oxford Economics'!$A$6:$AZ$6,0),MATCH(Y$5&amp;"",'Oxford Economics'!$A$6:$AZ$6,0))),'Oxford Economics'!$A$7:$A$1000,$C24,'Oxford Economics'!$B$7:$B$1000,Settings!$B$16)+IF(Settings!$B$18="",0,SUMIFS(INDEX('Oxford Economics'!$A$7:$AZ$1000,0,IFERROR(MATCH(Y$5,'Oxford Economics'!$A$6:$AZ$6,0),MATCH(Y$5&amp;"",'Oxford Economics'!$A$6:$AZ$6,0))),'Oxford Economics'!$A$7:$A$1000,$C24,'Oxford Economics'!$B$7:$B$1000,Settings!$B$18)))),""))</f>
        <v>3773.24</v>
      </c>
      <c r="Z24" s="37" t="n">
        <f aca="false">IF($A24="","",IFERROR(1/(1/IF($B24="Residential",SUMIFS(INDEX('Oxford Economics'!$A$7:$AZ$1000,0,IFERROR(MATCH(Z$5,'Oxford Economics'!$A$6:$AZ$6,0),MATCH(Z$5&amp;"",'Oxford Economics'!$A$6:$AZ$6,0))),'Oxford Economics'!$A$7:$A$1000,$C24,'Oxford Economics'!$B$7:$B$1000,Settings!$B$12)-SUMIFS(INDEX('Oxford Economics'!$A$7:$AZ$1000,0,IFERROR(MATCH(Z$5,'Oxford Economics'!$A$6:$AZ$6,0),MATCH(Z$5&amp;"",'Oxford Economics'!$A$6:$AZ$6,0))),'Oxford Economics'!$A$7:$A$1000,$C24,'Oxford Economics'!$B$7:$B$1000,Settings!$B$14),SUMIFS(INDEX('Oxford Economics'!$A$7:$AZ$1000,0,IFERROR(MATCH(Z$5,'Oxford Economics'!$A$6:$AZ$6,0),MATCH(Z$5&amp;"",'Oxford Economics'!$A$6:$AZ$6,0))),'Oxford Economics'!$A$7:$A$1000,$C24,'Oxford Economics'!$B$7:$B$1000,Settings!$B$14)+SUMIFS(INDEX('Oxford Economics'!$A$7:$AZ$1000,0,IFERROR(MATCH(Z$5,'Oxford Economics'!$A$6:$AZ$6,0),MATCH(Z$5&amp;"",'Oxford Economics'!$A$6:$AZ$6,0))),'Oxford Economics'!$A$7:$A$1000,$C24,'Oxford Economics'!$B$7:$B$1000,Settings!$B$16)+IF(Settings!$B$18="",0,SUMIFS(INDEX('Oxford Economics'!$A$7:$AZ$1000,0,IFERROR(MATCH(Z$5,'Oxford Economics'!$A$6:$AZ$6,0),MATCH(Z$5&amp;"",'Oxford Economics'!$A$6:$AZ$6,0))),'Oxford Economics'!$A$7:$A$1000,$C24,'Oxford Economics'!$B$7:$B$1000,Settings!$B$18)))),""))</f>
        <v>3885.24</v>
      </c>
      <c r="AA24" s="37" t="n">
        <f aca="false">IF($A24="","",IFERROR(1/(1/IF($B24="Residential",SUMIFS(INDEX('Oxford Economics'!$A$7:$AZ$1000,0,IFERROR(MATCH(AA$5,'Oxford Economics'!$A$6:$AZ$6,0),MATCH(AA$5&amp;"",'Oxford Economics'!$A$6:$AZ$6,0))),'Oxford Economics'!$A$7:$A$1000,$C24,'Oxford Economics'!$B$7:$B$1000,Settings!$B$12)-SUMIFS(INDEX('Oxford Economics'!$A$7:$AZ$1000,0,IFERROR(MATCH(AA$5,'Oxford Economics'!$A$6:$AZ$6,0),MATCH(AA$5&amp;"",'Oxford Economics'!$A$6:$AZ$6,0))),'Oxford Economics'!$A$7:$A$1000,$C24,'Oxford Economics'!$B$7:$B$1000,Settings!$B$14),SUMIFS(INDEX('Oxford Economics'!$A$7:$AZ$1000,0,IFERROR(MATCH(AA$5,'Oxford Economics'!$A$6:$AZ$6,0),MATCH(AA$5&amp;"",'Oxford Economics'!$A$6:$AZ$6,0))),'Oxford Economics'!$A$7:$A$1000,$C24,'Oxford Economics'!$B$7:$B$1000,Settings!$B$14)+SUMIFS(INDEX('Oxford Economics'!$A$7:$AZ$1000,0,IFERROR(MATCH(AA$5,'Oxford Economics'!$A$6:$AZ$6,0),MATCH(AA$5&amp;"",'Oxford Economics'!$A$6:$AZ$6,0))),'Oxford Economics'!$A$7:$A$1000,$C24,'Oxford Economics'!$B$7:$B$1000,Settings!$B$16)+IF(Settings!$B$18="",0,SUMIFS(INDEX('Oxford Economics'!$A$7:$AZ$1000,0,IFERROR(MATCH(AA$5,'Oxford Economics'!$A$6:$AZ$6,0),MATCH(AA$5&amp;"",'Oxford Economics'!$A$6:$AZ$6,0))),'Oxford Economics'!$A$7:$A$1000,$C24,'Oxford Economics'!$B$7:$B$1000,Settings!$B$18)))),""))</f>
        <v>3929.16</v>
      </c>
      <c r="AB24" s="37" t="n">
        <f aca="false">IF($A24="","",IFERROR(1/(1/IF($B24="Residential",SUMIFS(INDEX('Oxford Economics'!$A$7:$AZ$1000,0,IFERROR(MATCH(AB$5,'Oxford Economics'!$A$6:$AZ$6,0),MATCH(AB$5&amp;"",'Oxford Economics'!$A$6:$AZ$6,0))),'Oxford Economics'!$A$7:$A$1000,$C24,'Oxford Economics'!$B$7:$B$1000,Settings!$B$11)-SUMIFS(INDEX('Oxford Economics'!$A$7:$AZ$1000,0,IFERROR(MATCH(AB$5,'Oxford Economics'!$A$6:$AZ$6,0),MATCH(AB$5&amp;"",'Oxford Economics'!$A$6:$AZ$6,0))),'Oxford Economics'!$A$7:$A$1000,$C24,'Oxford Economics'!$B$7:$B$1000,Settings!$B$13),SUMIFS(INDEX('Oxford Economics'!$A$7:$AZ$1000,0,IFERROR(MATCH(AB$5,'Oxford Economics'!$A$6:$AZ$6,0),MATCH(AB$5&amp;"",'Oxford Economics'!$A$6:$AZ$6,0))),'Oxford Economics'!$A$7:$A$1000,$C24,'Oxford Economics'!$B$7:$B$1000,Settings!$B$13)+SUMIFS(INDEX('Oxford Economics'!$A$7:$AZ$1000,0,IFERROR(MATCH(AB$5,'Oxford Economics'!$A$6:$AZ$6,0),MATCH(AB$5&amp;"",'Oxford Economics'!$A$6:$AZ$6,0))),'Oxford Economics'!$A$7:$A$1000,$C24,'Oxford Economics'!$B$7:$B$1000,Settings!$B$15)+IF(Settings!$B$17="",0,SUMIFS(INDEX('Oxford Economics'!$A$7:$AZ$1000,0,IFERROR(MATCH(AB$5,'Oxford Economics'!$A$6:$AZ$6,0),MATCH(AB$5&amp;"",'Oxford Economics'!$A$6:$AZ$6,0))),'Oxford Economics'!$A$7:$A$1000,$C24,'Oxford Economics'!$B$7:$B$1000,Settings!$B$17)))),""))</f>
        <v>6024.45</v>
      </c>
      <c r="AC24" s="37" t="n">
        <f aca="false">IF($A24="","",IFERROR(1/(1/IF($B24="Residential",SUMIFS(INDEX('Oxford Economics'!$A$7:$AZ$1000,0,IFERROR(MATCH(AC$5,'Oxford Economics'!$A$6:$AZ$6,0),MATCH(AC$5&amp;"",'Oxford Economics'!$A$6:$AZ$6,0))),'Oxford Economics'!$A$7:$A$1000,$C24,'Oxford Economics'!$B$7:$B$1000,Settings!$B$11)-SUMIFS(INDEX('Oxford Economics'!$A$7:$AZ$1000,0,IFERROR(MATCH(AC$5,'Oxford Economics'!$A$6:$AZ$6,0),MATCH(AC$5&amp;"",'Oxford Economics'!$A$6:$AZ$6,0))),'Oxford Economics'!$A$7:$A$1000,$C24,'Oxford Economics'!$B$7:$B$1000,Settings!$B$13),SUMIFS(INDEX('Oxford Economics'!$A$7:$AZ$1000,0,IFERROR(MATCH(AC$5,'Oxford Economics'!$A$6:$AZ$6,0),MATCH(AC$5&amp;"",'Oxford Economics'!$A$6:$AZ$6,0))),'Oxford Economics'!$A$7:$A$1000,$C24,'Oxford Economics'!$B$7:$B$1000,Settings!$B$13)+SUMIFS(INDEX('Oxford Economics'!$A$7:$AZ$1000,0,IFERROR(MATCH(AC$5,'Oxford Economics'!$A$6:$AZ$6,0),MATCH(AC$5&amp;"",'Oxford Economics'!$A$6:$AZ$6,0))),'Oxford Economics'!$A$7:$A$1000,$C24,'Oxford Economics'!$B$7:$B$1000,Settings!$B$15)+IF(Settings!$B$17="",0,SUMIFS(INDEX('Oxford Economics'!$A$7:$AZ$1000,0,IFERROR(MATCH(AC$5,'Oxford Economics'!$A$6:$AZ$6,0),MATCH(AC$5&amp;"",'Oxford Economics'!$A$6:$AZ$6,0))),'Oxford Economics'!$A$7:$A$1000,$C24,'Oxford Economics'!$B$7:$B$1000,Settings!$B$17)))),""))</f>
        <v>6431.37</v>
      </c>
      <c r="AD24" s="37" t="n">
        <f aca="false">IF($A24="","",IFERROR(1/(1/IF($B24="Residential",SUMIFS(INDEX('Oxford Economics'!$A$7:$AZ$1000,0,IFERROR(MATCH(AD$5,'Oxford Economics'!$A$6:$AZ$6,0),MATCH(AD$5&amp;"",'Oxford Economics'!$A$6:$AZ$6,0))),'Oxford Economics'!$A$7:$A$1000,$C24,'Oxford Economics'!$B$7:$B$1000,Settings!$B$11)-SUMIFS(INDEX('Oxford Economics'!$A$7:$AZ$1000,0,IFERROR(MATCH(AD$5,'Oxford Economics'!$A$6:$AZ$6,0),MATCH(AD$5&amp;"",'Oxford Economics'!$A$6:$AZ$6,0))),'Oxford Economics'!$A$7:$A$1000,$C24,'Oxford Economics'!$B$7:$B$1000,Settings!$B$13),SUMIFS(INDEX('Oxford Economics'!$A$7:$AZ$1000,0,IFERROR(MATCH(AD$5,'Oxford Economics'!$A$6:$AZ$6,0),MATCH(AD$5&amp;"",'Oxford Economics'!$A$6:$AZ$6,0))),'Oxford Economics'!$A$7:$A$1000,$C24,'Oxford Economics'!$B$7:$B$1000,Settings!$B$13)+SUMIFS(INDEX('Oxford Economics'!$A$7:$AZ$1000,0,IFERROR(MATCH(AD$5,'Oxford Economics'!$A$6:$AZ$6,0),MATCH(AD$5&amp;"",'Oxford Economics'!$A$6:$AZ$6,0))),'Oxford Economics'!$A$7:$A$1000,$C24,'Oxford Economics'!$B$7:$B$1000,Settings!$B$15)+IF(Settings!$B$17="",0,SUMIFS(INDEX('Oxford Economics'!$A$7:$AZ$1000,0,IFERROR(MATCH(AD$5,'Oxford Economics'!$A$6:$AZ$6,0),MATCH(AD$5&amp;"",'Oxford Economics'!$A$6:$AZ$6,0))),'Oxford Economics'!$A$7:$A$1000,$C24,'Oxford Economics'!$B$7:$B$1000,Settings!$B$17)))),""))</f>
        <v>6635.53</v>
      </c>
      <c r="AE24" s="37" t="n">
        <f aca="false">IF($A24="","",IFERROR(1/(1/IF($B24="Residential",SUMIFS(INDEX('Oxford Economics'!$A$7:$AZ$1000,0,IFERROR(MATCH(AE$5,'Oxford Economics'!$A$6:$AZ$6,0),MATCH(AE$5&amp;"",'Oxford Economics'!$A$6:$AZ$6,0))),'Oxford Economics'!$A$7:$A$1000,$C24,'Oxford Economics'!$B$7:$B$1000,Settings!$B$11)-SUMIFS(INDEX('Oxford Economics'!$A$7:$AZ$1000,0,IFERROR(MATCH(AE$5,'Oxford Economics'!$A$6:$AZ$6,0),MATCH(AE$5&amp;"",'Oxford Economics'!$A$6:$AZ$6,0))),'Oxford Economics'!$A$7:$A$1000,$C24,'Oxford Economics'!$B$7:$B$1000,Settings!$B$13),SUMIFS(INDEX('Oxford Economics'!$A$7:$AZ$1000,0,IFERROR(MATCH(AE$5,'Oxford Economics'!$A$6:$AZ$6,0),MATCH(AE$5&amp;"",'Oxford Economics'!$A$6:$AZ$6,0))),'Oxford Economics'!$A$7:$A$1000,$C24,'Oxford Economics'!$B$7:$B$1000,Settings!$B$13)+SUMIFS(INDEX('Oxford Economics'!$A$7:$AZ$1000,0,IFERROR(MATCH(AE$5,'Oxford Economics'!$A$6:$AZ$6,0),MATCH(AE$5&amp;"",'Oxford Economics'!$A$6:$AZ$6,0))),'Oxford Economics'!$A$7:$A$1000,$C24,'Oxford Economics'!$B$7:$B$1000,Settings!$B$15)+IF(Settings!$B$17="",0,SUMIFS(INDEX('Oxford Economics'!$A$7:$AZ$1000,0,IFERROR(MATCH(AE$5,'Oxford Economics'!$A$6:$AZ$6,0),MATCH(AE$5&amp;"",'Oxford Economics'!$A$6:$AZ$6,0))),'Oxford Economics'!$A$7:$A$1000,$C24,'Oxford Economics'!$B$7:$B$1000,Settings!$B$17)))),""))</f>
        <v>5376.91</v>
      </c>
      <c r="AF24" s="37" t="n">
        <f aca="false">IF($A24="","",IFERROR(1/(1/IF($B24="Residential",SUMIFS(INDEX('Oxford Economics'!$A$7:$AZ$1000,0,IFERROR(MATCH(AF$5,'Oxford Economics'!$A$6:$AZ$6,0),MATCH(AF$5&amp;"",'Oxford Economics'!$A$6:$AZ$6,0))),'Oxford Economics'!$A$7:$A$1000,$C24,'Oxford Economics'!$B$7:$B$1000,Settings!$B$11)-SUMIFS(INDEX('Oxford Economics'!$A$7:$AZ$1000,0,IFERROR(MATCH(AF$5,'Oxford Economics'!$A$6:$AZ$6,0),MATCH(AF$5&amp;"",'Oxford Economics'!$A$6:$AZ$6,0))),'Oxford Economics'!$A$7:$A$1000,$C24,'Oxford Economics'!$B$7:$B$1000,Settings!$B$13),SUMIFS(INDEX('Oxford Economics'!$A$7:$AZ$1000,0,IFERROR(MATCH(AF$5,'Oxford Economics'!$A$6:$AZ$6,0),MATCH(AF$5&amp;"",'Oxford Economics'!$A$6:$AZ$6,0))),'Oxford Economics'!$A$7:$A$1000,$C24,'Oxford Economics'!$B$7:$B$1000,Settings!$B$13)+SUMIFS(INDEX('Oxford Economics'!$A$7:$AZ$1000,0,IFERROR(MATCH(AF$5,'Oxford Economics'!$A$6:$AZ$6,0),MATCH(AF$5&amp;"",'Oxford Economics'!$A$6:$AZ$6,0))),'Oxford Economics'!$A$7:$A$1000,$C24,'Oxford Economics'!$B$7:$B$1000,Settings!$B$15)+IF(Settings!$B$17="",0,SUMIFS(INDEX('Oxford Economics'!$A$7:$AZ$1000,0,IFERROR(MATCH(AF$5,'Oxford Economics'!$A$6:$AZ$6,0),MATCH(AF$5&amp;"",'Oxford Economics'!$A$6:$AZ$6,0))),'Oxford Economics'!$A$7:$A$1000,$C24,'Oxford Economics'!$B$7:$B$1000,Settings!$B$17)))),""))</f>
        <v>4561.01</v>
      </c>
      <c r="AG24" s="37" t="n">
        <f aca="false">IF($A24="","",IFERROR(1/(1/IF($B24="Residential",SUMIFS(INDEX('Oxford Economics'!$A$7:$AZ$1000,0,IFERROR(MATCH(AG$5,'Oxford Economics'!$A$6:$AZ$6,0),MATCH(AG$5&amp;"",'Oxford Economics'!$A$6:$AZ$6,0))),'Oxford Economics'!$A$7:$A$1000,$C24,'Oxford Economics'!$B$7:$B$1000,Settings!$B$11)-SUMIFS(INDEX('Oxford Economics'!$A$7:$AZ$1000,0,IFERROR(MATCH(AG$5,'Oxford Economics'!$A$6:$AZ$6,0),MATCH(AG$5&amp;"",'Oxford Economics'!$A$6:$AZ$6,0))),'Oxford Economics'!$A$7:$A$1000,$C24,'Oxford Economics'!$B$7:$B$1000,Settings!$B$13),SUMIFS(INDEX('Oxford Economics'!$A$7:$AZ$1000,0,IFERROR(MATCH(AG$5,'Oxford Economics'!$A$6:$AZ$6,0),MATCH(AG$5&amp;"",'Oxford Economics'!$A$6:$AZ$6,0))),'Oxford Economics'!$A$7:$A$1000,$C24,'Oxford Economics'!$B$7:$B$1000,Settings!$B$13)+SUMIFS(INDEX('Oxford Economics'!$A$7:$AZ$1000,0,IFERROR(MATCH(AG$5,'Oxford Economics'!$A$6:$AZ$6,0),MATCH(AG$5&amp;"",'Oxford Economics'!$A$6:$AZ$6,0))),'Oxford Economics'!$A$7:$A$1000,$C24,'Oxford Economics'!$B$7:$B$1000,Settings!$B$15)+IF(Settings!$B$17="",0,SUMIFS(INDEX('Oxford Economics'!$A$7:$AZ$1000,0,IFERROR(MATCH(AG$5,'Oxford Economics'!$A$6:$AZ$6,0),MATCH(AG$5&amp;"",'Oxford Economics'!$A$6:$AZ$6,0))),'Oxford Economics'!$A$7:$A$1000,$C24,'Oxford Economics'!$B$7:$B$1000,Settings!$B$17)))),""))</f>
        <v>4461.93</v>
      </c>
      <c r="AH24" s="37" t="n">
        <f aca="false">IF($A24="","",IFERROR(1/(1/IF($B24="Residential",SUMIFS(INDEX('Oxford Economics'!$A$7:$AZ$1000,0,IFERROR(MATCH(AH$5,'Oxford Economics'!$A$6:$AZ$6,0),MATCH(AH$5&amp;"",'Oxford Economics'!$A$6:$AZ$6,0))),'Oxford Economics'!$A$7:$A$1000,$C24,'Oxford Economics'!$B$7:$B$1000,Settings!$B$11)-SUMIFS(INDEX('Oxford Economics'!$A$7:$AZ$1000,0,IFERROR(MATCH(AH$5,'Oxford Economics'!$A$6:$AZ$6,0),MATCH(AH$5&amp;"",'Oxford Economics'!$A$6:$AZ$6,0))),'Oxford Economics'!$A$7:$A$1000,$C24,'Oxford Economics'!$B$7:$B$1000,Settings!$B$13),SUMIFS(INDEX('Oxford Economics'!$A$7:$AZ$1000,0,IFERROR(MATCH(AH$5,'Oxford Economics'!$A$6:$AZ$6,0),MATCH(AH$5&amp;"",'Oxford Economics'!$A$6:$AZ$6,0))),'Oxford Economics'!$A$7:$A$1000,$C24,'Oxford Economics'!$B$7:$B$1000,Settings!$B$13)+SUMIFS(INDEX('Oxford Economics'!$A$7:$AZ$1000,0,IFERROR(MATCH(AH$5,'Oxford Economics'!$A$6:$AZ$6,0),MATCH(AH$5&amp;"",'Oxford Economics'!$A$6:$AZ$6,0))),'Oxford Economics'!$A$7:$A$1000,$C24,'Oxford Economics'!$B$7:$B$1000,Settings!$B$15)+IF(Settings!$B$17="",0,SUMIFS(INDEX('Oxford Economics'!$A$7:$AZ$1000,0,IFERROR(MATCH(AH$5,'Oxford Economics'!$A$6:$AZ$6,0),MATCH(AH$5&amp;"",'Oxford Economics'!$A$6:$AZ$6,0))),'Oxford Economics'!$A$7:$A$1000,$C24,'Oxford Economics'!$B$7:$B$1000,Settings!$B$17)))),""))</f>
        <v>4630.4</v>
      </c>
      <c r="AI24" s="37" t="n">
        <f aca="false">IF($A24="","",IFERROR(1/(1/IF($B24="Residential",SUMIFS(INDEX('Oxford Economics'!$A$7:$AZ$1000,0,IFERROR(MATCH(AI$5,'Oxford Economics'!$A$6:$AZ$6,0),MATCH(AI$5&amp;"",'Oxford Economics'!$A$6:$AZ$6,0))),'Oxford Economics'!$A$7:$A$1000,$C24,'Oxford Economics'!$B$7:$B$1000,Settings!$B$11)-SUMIFS(INDEX('Oxford Economics'!$A$7:$AZ$1000,0,IFERROR(MATCH(AI$5,'Oxford Economics'!$A$6:$AZ$6,0),MATCH(AI$5&amp;"",'Oxford Economics'!$A$6:$AZ$6,0))),'Oxford Economics'!$A$7:$A$1000,$C24,'Oxford Economics'!$B$7:$B$1000,Settings!$B$13),SUMIFS(INDEX('Oxford Economics'!$A$7:$AZ$1000,0,IFERROR(MATCH(AI$5,'Oxford Economics'!$A$6:$AZ$6,0),MATCH(AI$5&amp;"",'Oxford Economics'!$A$6:$AZ$6,0))),'Oxford Economics'!$A$7:$A$1000,$C24,'Oxford Economics'!$B$7:$B$1000,Settings!$B$13)+SUMIFS(INDEX('Oxford Economics'!$A$7:$AZ$1000,0,IFERROR(MATCH(AI$5,'Oxford Economics'!$A$6:$AZ$6,0),MATCH(AI$5&amp;"",'Oxford Economics'!$A$6:$AZ$6,0))),'Oxford Economics'!$A$7:$A$1000,$C24,'Oxford Economics'!$B$7:$B$1000,Settings!$B$15)+IF(Settings!$B$17="",0,SUMIFS(INDEX('Oxford Economics'!$A$7:$AZ$1000,0,IFERROR(MATCH(AI$5,'Oxford Economics'!$A$6:$AZ$6,0),MATCH(AI$5&amp;"",'Oxford Economics'!$A$6:$AZ$6,0))),'Oxford Economics'!$A$7:$A$1000,$C24,'Oxford Economics'!$B$7:$B$1000,Settings!$B$17)))),""))</f>
        <v>4916</v>
      </c>
      <c r="AJ24" s="37" t="n">
        <f aca="false">IF($A24="","",IFERROR(1/(1/IF($B24="Residential",SUMIFS(INDEX('Oxford Economics'!$A$7:$AZ$1000,0,IFERROR(MATCH(AJ$5,'Oxford Economics'!$A$6:$AZ$6,0),MATCH(AJ$5&amp;"",'Oxford Economics'!$A$6:$AZ$6,0))),'Oxford Economics'!$A$7:$A$1000,$C24,'Oxford Economics'!$B$7:$B$1000,Settings!$B$11)-SUMIFS(INDEX('Oxford Economics'!$A$7:$AZ$1000,0,IFERROR(MATCH(AJ$5,'Oxford Economics'!$A$6:$AZ$6,0),MATCH(AJ$5&amp;"",'Oxford Economics'!$A$6:$AZ$6,0))),'Oxford Economics'!$A$7:$A$1000,$C24,'Oxford Economics'!$B$7:$B$1000,Settings!$B$13),SUMIFS(INDEX('Oxford Economics'!$A$7:$AZ$1000,0,IFERROR(MATCH(AJ$5,'Oxford Economics'!$A$6:$AZ$6,0),MATCH(AJ$5&amp;"",'Oxford Economics'!$A$6:$AZ$6,0))),'Oxford Economics'!$A$7:$A$1000,$C24,'Oxford Economics'!$B$7:$B$1000,Settings!$B$13)+SUMIFS(INDEX('Oxford Economics'!$A$7:$AZ$1000,0,IFERROR(MATCH(AJ$5,'Oxford Economics'!$A$6:$AZ$6,0),MATCH(AJ$5&amp;"",'Oxford Economics'!$A$6:$AZ$6,0))),'Oxford Economics'!$A$7:$A$1000,$C24,'Oxford Economics'!$B$7:$B$1000,Settings!$B$15)+IF(Settings!$B$17="",0,SUMIFS(INDEX('Oxford Economics'!$A$7:$AZ$1000,0,IFERROR(MATCH(AJ$5,'Oxford Economics'!$A$6:$AZ$6,0),MATCH(AJ$5&amp;"",'Oxford Economics'!$A$6:$AZ$6,0))),'Oxford Economics'!$A$7:$A$1000,$C24,'Oxford Economics'!$B$7:$B$1000,Settings!$B$17)))),""))</f>
        <v>5157.38</v>
      </c>
      <c r="AK24" s="37" t="n">
        <f aca="false">IF($A24="","",IFERROR(1/(1/IF($B24="Residential",SUMIFS(INDEX('Oxford Economics'!$A$7:$AZ$1000,0,IFERROR(MATCH(AK$5,'Oxford Economics'!$A$6:$AZ$6,0),MATCH(AK$5&amp;"",'Oxford Economics'!$A$6:$AZ$6,0))),'Oxford Economics'!$A$7:$A$1000,$C24,'Oxford Economics'!$B$7:$B$1000,Settings!$B$11)-SUMIFS(INDEX('Oxford Economics'!$A$7:$AZ$1000,0,IFERROR(MATCH(AK$5,'Oxford Economics'!$A$6:$AZ$6,0),MATCH(AK$5&amp;"",'Oxford Economics'!$A$6:$AZ$6,0))),'Oxford Economics'!$A$7:$A$1000,$C24,'Oxford Economics'!$B$7:$B$1000,Settings!$B$13),SUMIFS(INDEX('Oxford Economics'!$A$7:$AZ$1000,0,IFERROR(MATCH(AK$5,'Oxford Economics'!$A$6:$AZ$6,0),MATCH(AK$5&amp;"",'Oxford Economics'!$A$6:$AZ$6,0))),'Oxford Economics'!$A$7:$A$1000,$C24,'Oxford Economics'!$B$7:$B$1000,Settings!$B$13)+SUMIFS(INDEX('Oxford Economics'!$A$7:$AZ$1000,0,IFERROR(MATCH(AK$5,'Oxford Economics'!$A$6:$AZ$6,0),MATCH(AK$5&amp;"",'Oxford Economics'!$A$6:$AZ$6,0))),'Oxford Economics'!$A$7:$A$1000,$C24,'Oxford Economics'!$B$7:$B$1000,Settings!$B$15)+IF(Settings!$B$17="",0,SUMIFS(INDEX('Oxford Economics'!$A$7:$AZ$1000,0,IFERROR(MATCH(AK$5,'Oxford Economics'!$A$6:$AZ$6,0),MATCH(AK$5&amp;"",'Oxford Economics'!$A$6:$AZ$6,0))),'Oxford Economics'!$A$7:$A$1000,$C24,'Oxford Economics'!$B$7:$B$1000,Settings!$B$17)))),""))</f>
        <v>5342.49</v>
      </c>
      <c r="AL24" s="37" t="n">
        <f aca="false">IF($A24="","",IFERROR(1/(1/IF($B24="Residential",SUMIFS(INDEX('Oxford Economics'!$A$7:$AZ$1000,0,IFERROR(MATCH(AL$5,'Oxford Economics'!$A$6:$AZ$6,0),MATCH(AL$5&amp;"",'Oxford Economics'!$A$6:$AZ$6,0))),'Oxford Economics'!$A$7:$A$1000,$C24,'Oxford Economics'!$B$7:$B$1000,Settings!$B$11)-SUMIFS(INDEX('Oxford Economics'!$A$7:$AZ$1000,0,IFERROR(MATCH(AL$5,'Oxford Economics'!$A$6:$AZ$6,0),MATCH(AL$5&amp;"",'Oxford Economics'!$A$6:$AZ$6,0))),'Oxford Economics'!$A$7:$A$1000,$C24,'Oxford Economics'!$B$7:$B$1000,Settings!$B$13),SUMIFS(INDEX('Oxford Economics'!$A$7:$AZ$1000,0,IFERROR(MATCH(AL$5,'Oxford Economics'!$A$6:$AZ$6,0),MATCH(AL$5&amp;"",'Oxford Economics'!$A$6:$AZ$6,0))),'Oxford Economics'!$A$7:$A$1000,$C24,'Oxford Economics'!$B$7:$B$1000,Settings!$B$13)+SUMIFS(INDEX('Oxford Economics'!$A$7:$AZ$1000,0,IFERROR(MATCH(AL$5,'Oxford Economics'!$A$6:$AZ$6,0),MATCH(AL$5&amp;"",'Oxford Economics'!$A$6:$AZ$6,0))),'Oxford Economics'!$A$7:$A$1000,$C24,'Oxford Economics'!$B$7:$B$1000,Settings!$B$15)+IF(Settings!$B$17="",0,SUMIFS(INDEX('Oxford Economics'!$A$7:$AZ$1000,0,IFERROR(MATCH(AL$5,'Oxford Economics'!$A$6:$AZ$6,0),MATCH(AL$5&amp;"",'Oxford Economics'!$A$6:$AZ$6,0))),'Oxford Economics'!$A$7:$A$1000,$C24,'Oxford Economics'!$B$7:$B$1000,Settings!$B$17)))),""))</f>
        <v>5462.2</v>
      </c>
      <c r="AM24" s="37" t="n">
        <f aca="false">IF($A24="","",IFERROR(1/(1/IF($B24="Residential",SUMIFS(INDEX('Oxford Economics'!$A$7:$AZ$1000,0,IFERROR(MATCH(AM$5,'Oxford Economics'!$A$6:$AZ$6,0),MATCH(AM$5&amp;"",'Oxford Economics'!$A$6:$AZ$6,0))),'Oxford Economics'!$A$7:$A$1000,$C24,'Oxford Economics'!$B$7:$B$1000,Settings!$B$11)-SUMIFS(INDEX('Oxford Economics'!$A$7:$AZ$1000,0,IFERROR(MATCH(AM$5,'Oxford Economics'!$A$6:$AZ$6,0),MATCH(AM$5&amp;"",'Oxford Economics'!$A$6:$AZ$6,0))),'Oxford Economics'!$A$7:$A$1000,$C24,'Oxford Economics'!$B$7:$B$1000,Settings!$B$13),SUMIFS(INDEX('Oxford Economics'!$A$7:$AZ$1000,0,IFERROR(MATCH(AM$5,'Oxford Economics'!$A$6:$AZ$6,0),MATCH(AM$5&amp;"",'Oxford Economics'!$A$6:$AZ$6,0))),'Oxford Economics'!$A$7:$A$1000,$C24,'Oxford Economics'!$B$7:$B$1000,Settings!$B$13)+SUMIFS(INDEX('Oxford Economics'!$A$7:$AZ$1000,0,IFERROR(MATCH(AM$5,'Oxford Economics'!$A$6:$AZ$6,0),MATCH(AM$5&amp;"",'Oxford Economics'!$A$6:$AZ$6,0))),'Oxford Economics'!$A$7:$A$1000,$C24,'Oxford Economics'!$B$7:$B$1000,Settings!$B$15)+IF(Settings!$B$17="",0,SUMIFS(INDEX('Oxford Economics'!$A$7:$AZ$1000,0,IFERROR(MATCH(AM$5,'Oxford Economics'!$A$6:$AZ$6,0),MATCH(AM$5&amp;"",'Oxford Economics'!$A$6:$AZ$6,0))),'Oxford Economics'!$A$7:$A$1000,$C24,'Oxford Economics'!$B$7:$B$1000,Settings!$B$17)))),""))</f>
        <v>5582.84</v>
      </c>
    </row>
    <row r="25" customFormat="false" ht="15" hidden="false" customHeight="false" outlineLevel="0" collapsed="false">
      <c r="A25" s="36" t="str">
        <f aca="false">IF('Raw data'!$A25="","",'Raw data'!$A25)</f>
        <v>Austria</v>
      </c>
      <c r="B25" s="36" t="str">
        <f aca="false">IF($A25="","",'Raw data'!$C25)</f>
        <v>Commercial</v>
      </c>
      <c r="C25" s="36" t="str">
        <f aca="false">IF($A25="","",IF('Raw data'!$D25="",$A25,'Raw data'!$D25))</f>
        <v>Austria</v>
      </c>
      <c r="D25" s="37" t="n">
        <f aca="false">IF($A25="","",IF(AND(ISNUMBER(P25),ISNUMBER(AB25)),P25+AB25,""))</f>
        <v>28364.29</v>
      </c>
      <c r="E25" s="37" t="n">
        <f aca="false">IF($A25="","",IF(AND(ISNUMBER(Q25),ISNUMBER(AC25)),Q25+AC25,""))</f>
        <v>27421.59</v>
      </c>
      <c r="F25" s="37" t="n">
        <f aca="false">IF($A25="","",IF(AND(ISNUMBER(R25),ISNUMBER(AD25)),R25+AD25,""))</f>
        <v>26363.28</v>
      </c>
      <c r="G25" s="37" t="n">
        <f aca="false">IF($A25="","",IF(AND(ISNUMBER(S25),ISNUMBER(AE25)),S25+AE25,""))</f>
        <v>24121.99</v>
      </c>
      <c r="H25" s="37" t="n">
        <f aca="false">IF($A25="","",IF(AND(ISNUMBER(T25),ISNUMBER(AF25)),T25+AF25,""))</f>
        <v>22967.55</v>
      </c>
      <c r="I25" s="37" t="n">
        <f aca="false">IF($A25="","",IF(AND(ISNUMBER(U25),ISNUMBER(AG25)),U25+AG25,""))</f>
        <v>21958.65</v>
      </c>
      <c r="J25" s="37" t="n">
        <f aca="false">IF($A25="","",IF(AND(ISNUMBER(V25),ISNUMBER(AH25)),V25+AH25,""))</f>
        <v>22659.23</v>
      </c>
      <c r="K25" s="37" t="n">
        <f aca="false">IF($A25="","",IF(AND(ISNUMBER(W25),ISNUMBER(AI25)),W25+AI25,""))</f>
        <v>23267.17</v>
      </c>
      <c r="L25" s="37" t="n">
        <f aca="false">IF($A25="","",IF(AND(ISNUMBER(X25),ISNUMBER(AJ25)),X25+AJ25,""))</f>
        <v>23988.87</v>
      </c>
      <c r="M25" s="37" t="n">
        <f aca="false">IF($A25="","",IF(AND(ISNUMBER(Y25),ISNUMBER(AK25)),Y25+AK25,""))</f>
        <v>24640.9</v>
      </c>
      <c r="N25" s="37" t="n">
        <f aca="false">IF($A25="","",IF(AND(ISNUMBER(Z25),ISNUMBER(AL25)),Z25+AL25,""))</f>
        <v>25216.02</v>
      </c>
      <c r="O25" s="37" t="n">
        <f aca="false">IF($A25="","",IF(AND(ISNUMBER(AA25),ISNUMBER(AM25)),AA25+AM25,""))</f>
        <v>25728.42</v>
      </c>
      <c r="P25" s="37" t="n">
        <f aca="false">IF($A25="","",IFERROR(1/(1/IF($B25="Residential",SUMIFS(INDEX('Oxford Economics'!$A$7:$AZ$1000,0,IFERROR(MATCH(P$5,'Oxford Economics'!$A$6:$AZ$6,0),MATCH(P$5&amp;"",'Oxford Economics'!$A$6:$AZ$6,0))),'Oxford Economics'!$A$7:$A$1000,$C25,'Oxford Economics'!$B$7:$B$1000,Settings!$B$12)-SUMIFS(INDEX('Oxford Economics'!$A$7:$AZ$1000,0,IFERROR(MATCH(P$5,'Oxford Economics'!$A$6:$AZ$6,0),MATCH(P$5&amp;"",'Oxford Economics'!$A$6:$AZ$6,0))),'Oxford Economics'!$A$7:$A$1000,$C25,'Oxford Economics'!$B$7:$B$1000,Settings!$B$14),SUMIFS(INDEX('Oxford Economics'!$A$7:$AZ$1000,0,IFERROR(MATCH(P$5,'Oxford Economics'!$A$6:$AZ$6,0),MATCH(P$5&amp;"",'Oxford Economics'!$A$6:$AZ$6,0))),'Oxford Economics'!$A$7:$A$1000,$C25,'Oxford Economics'!$B$7:$B$1000,Settings!$B$14)+SUMIFS(INDEX('Oxford Economics'!$A$7:$AZ$1000,0,IFERROR(MATCH(P$5,'Oxford Economics'!$A$6:$AZ$6,0),MATCH(P$5&amp;"",'Oxford Economics'!$A$6:$AZ$6,0))),'Oxford Economics'!$A$7:$A$1000,$C25,'Oxford Economics'!$B$7:$B$1000,Settings!$B$16)+IF(Settings!$B$18="",0,SUMIFS(INDEX('Oxford Economics'!$A$7:$AZ$1000,0,IFERROR(MATCH(P$5,'Oxford Economics'!$A$6:$AZ$6,0),MATCH(P$5&amp;"",'Oxford Economics'!$A$6:$AZ$6,0))),'Oxford Economics'!$A$7:$A$1000,$C25,'Oxford Economics'!$B$7:$B$1000,Settings!$B$18)))),""))</f>
        <v>8264.15</v>
      </c>
      <c r="Q25" s="37" t="n">
        <f aca="false">IF($A25="","",IFERROR(1/(1/IF($B25="Residential",SUMIFS(INDEX('Oxford Economics'!$A$7:$AZ$1000,0,IFERROR(MATCH(Q$5,'Oxford Economics'!$A$6:$AZ$6,0),MATCH(Q$5&amp;"",'Oxford Economics'!$A$6:$AZ$6,0))),'Oxford Economics'!$A$7:$A$1000,$C25,'Oxford Economics'!$B$7:$B$1000,Settings!$B$12)-SUMIFS(INDEX('Oxford Economics'!$A$7:$AZ$1000,0,IFERROR(MATCH(Q$5,'Oxford Economics'!$A$6:$AZ$6,0),MATCH(Q$5&amp;"",'Oxford Economics'!$A$6:$AZ$6,0))),'Oxford Economics'!$A$7:$A$1000,$C25,'Oxford Economics'!$B$7:$B$1000,Settings!$B$14),SUMIFS(INDEX('Oxford Economics'!$A$7:$AZ$1000,0,IFERROR(MATCH(Q$5,'Oxford Economics'!$A$6:$AZ$6,0),MATCH(Q$5&amp;"",'Oxford Economics'!$A$6:$AZ$6,0))),'Oxford Economics'!$A$7:$A$1000,$C25,'Oxford Economics'!$B$7:$B$1000,Settings!$B$14)+SUMIFS(INDEX('Oxford Economics'!$A$7:$AZ$1000,0,IFERROR(MATCH(Q$5,'Oxford Economics'!$A$6:$AZ$6,0),MATCH(Q$5&amp;"",'Oxford Economics'!$A$6:$AZ$6,0))),'Oxford Economics'!$A$7:$A$1000,$C25,'Oxford Economics'!$B$7:$B$1000,Settings!$B$16)+IF(Settings!$B$18="",0,SUMIFS(INDEX('Oxford Economics'!$A$7:$AZ$1000,0,IFERROR(MATCH(Q$5,'Oxford Economics'!$A$6:$AZ$6,0),MATCH(Q$5&amp;"",'Oxford Economics'!$A$6:$AZ$6,0))),'Oxford Economics'!$A$7:$A$1000,$C25,'Oxford Economics'!$B$7:$B$1000,Settings!$B$18)))),""))</f>
        <v>8060.29</v>
      </c>
      <c r="R25" s="37" t="n">
        <f aca="false">IF($A25="","",IFERROR(1/(1/IF($B25="Residential",SUMIFS(INDEX('Oxford Economics'!$A$7:$AZ$1000,0,IFERROR(MATCH(R$5,'Oxford Economics'!$A$6:$AZ$6,0),MATCH(R$5&amp;"",'Oxford Economics'!$A$6:$AZ$6,0))),'Oxford Economics'!$A$7:$A$1000,$C25,'Oxford Economics'!$B$7:$B$1000,Settings!$B$12)-SUMIFS(INDEX('Oxford Economics'!$A$7:$AZ$1000,0,IFERROR(MATCH(R$5,'Oxford Economics'!$A$6:$AZ$6,0),MATCH(R$5&amp;"",'Oxford Economics'!$A$6:$AZ$6,0))),'Oxford Economics'!$A$7:$A$1000,$C25,'Oxford Economics'!$B$7:$B$1000,Settings!$B$14),SUMIFS(INDEX('Oxford Economics'!$A$7:$AZ$1000,0,IFERROR(MATCH(R$5,'Oxford Economics'!$A$6:$AZ$6,0),MATCH(R$5&amp;"",'Oxford Economics'!$A$6:$AZ$6,0))),'Oxford Economics'!$A$7:$A$1000,$C25,'Oxford Economics'!$B$7:$B$1000,Settings!$B$14)+SUMIFS(INDEX('Oxford Economics'!$A$7:$AZ$1000,0,IFERROR(MATCH(R$5,'Oxford Economics'!$A$6:$AZ$6,0),MATCH(R$5&amp;"",'Oxford Economics'!$A$6:$AZ$6,0))),'Oxford Economics'!$A$7:$A$1000,$C25,'Oxford Economics'!$B$7:$B$1000,Settings!$B$16)+IF(Settings!$B$18="",0,SUMIFS(INDEX('Oxford Economics'!$A$7:$AZ$1000,0,IFERROR(MATCH(R$5,'Oxford Economics'!$A$6:$AZ$6,0),MATCH(R$5&amp;"",'Oxford Economics'!$A$6:$AZ$6,0))),'Oxford Economics'!$A$7:$A$1000,$C25,'Oxford Economics'!$B$7:$B$1000,Settings!$B$18)))),""))</f>
        <v>8085.91</v>
      </c>
      <c r="S25" s="37" t="n">
        <f aca="false">IF($A25="","",IFERROR(1/(1/IF($B25="Residential",SUMIFS(INDEX('Oxford Economics'!$A$7:$AZ$1000,0,IFERROR(MATCH(S$5,'Oxford Economics'!$A$6:$AZ$6,0),MATCH(S$5&amp;"",'Oxford Economics'!$A$6:$AZ$6,0))),'Oxford Economics'!$A$7:$A$1000,$C25,'Oxford Economics'!$B$7:$B$1000,Settings!$B$12)-SUMIFS(INDEX('Oxford Economics'!$A$7:$AZ$1000,0,IFERROR(MATCH(S$5,'Oxford Economics'!$A$6:$AZ$6,0),MATCH(S$5&amp;"",'Oxford Economics'!$A$6:$AZ$6,0))),'Oxford Economics'!$A$7:$A$1000,$C25,'Oxford Economics'!$B$7:$B$1000,Settings!$B$14),SUMIFS(INDEX('Oxford Economics'!$A$7:$AZ$1000,0,IFERROR(MATCH(S$5,'Oxford Economics'!$A$6:$AZ$6,0),MATCH(S$5&amp;"",'Oxford Economics'!$A$6:$AZ$6,0))),'Oxford Economics'!$A$7:$A$1000,$C25,'Oxford Economics'!$B$7:$B$1000,Settings!$B$14)+SUMIFS(INDEX('Oxford Economics'!$A$7:$AZ$1000,0,IFERROR(MATCH(S$5,'Oxford Economics'!$A$6:$AZ$6,0),MATCH(S$5&amp;"",'Oxford Economics'!$A$6:$AZ$6,0))),'Oxford Economics'!$A$7:$A$1000,$C25,'Oxford Economics'!$B$7:$B$1000,Settings!$B$16)+IF(Settings!$B$18="",0,SUMIFS(INDEX('Oxford Economics'!$A$7:$AZ$1000,0,IFERROR(MATCH(S$5,'Oxford Economics'!$A$6:$AZ$6,0),MATCH(S$5&amp;"",'Oxford Economics'!$A$6:$AZ$6,0))),'Oxford Economics'!$A$7:$A$1000,$C25,'Oxford Economics'!$B$7:$B$1000,Settings!$B$18)))),""))</f>
        <v>7931.6</v>
      </c>
      <c r="T25" s="37" t="n">
        <f aca="false">IF($A25="","",IFERROR(1/(1/IF($B25="Residential",SUMIFS(INDEX('Oxford Economics'!$A$7:$AZ$1000,0,IFERROR(MATCH(T$5,'Oxford Economics'!$A$6:$AZ$6,0),MATCH(T$5&amp;"",'Oxford Economics'!$A$6:$AZ$6,0))),'Oxford Economics'!$A$7:$A$1000,$C25,'Oxford Economics'!$B$7:$B$1000,Settings!$B$12)-SUMIFS(INDEX('Oxford Economics'!$A$7:$AZ$1000,0,IFERROR(MATCH(T$5,'Oxford Economics'!$A$6:$AZ$6,0),MATCH(T$5&amp;"",'Oxford Economics'!$A$6:$AZ$6,0))),'Oxford Economics'!$A$7:$A$1000,$C25,'Oxford Economics'!$B$7:$B$1000,Settings!$B$14),SUMIFS(INDEX('Oxford Economics'!$A$7:$AZ$1000,0,IFERROR(MATCH(T$5,'Oxford Economics'!$A$6:$AZ$6,0),MATCH(T$5&amp;"",'Oxford Economics'!$A$6:$AZ$6,0))),'Oxford Economics'!$A$7:$A$1000,$C25,'Oxford Economics'!$B$7:$B$1000,Settings!$B$14)+SUMIFS(INDEX('Oxford Economics'!$A$7:$AZ$1000,0,IFERROR(MATCH(T$5,'Oxford Economics'!$A$6:$AZ$6,0),MATCH(T$5&amp;"",'Oxford Economics'!$A$6:$AZ$6,0))),'Oxford Economics'!$A$7:$A$1000,$C25,'Oxford Economics'!$B$7:$B$1000,Settings!$B$16)+IF(Settings!$B$18="",0,SUMIFS(INDEX('Oxford Economics'!$A$7:$AZ$1000,0,IFERROR(MATCH(T$5,'Oxford Economics'!$A$6:$AZ$6,0),MATCH(T$5&amp;"",'Oxford Economics'!$A$6:$AZ$6,0))),'Oxford Economics'!$A$7:$A$1000,$C25,'Oxford Economics'!$B$7:$B$1000,Settings!$B$18)))),""))</f>
        <v>8094.08</v>
      </c>
      <c r="U25" s="37" t="n">
        <f aca="false">IF($A25="","",IFERROR(1/(1/IF($B25="Residential",SUMIFS(INDEX('Oxford Economics'!$A$7:$AZ$1000,0,IFERROR(MATCH(U$5,'Oxford Economics'!$A$6:$AZ$6,0),MATCH(U$5&amp;"",'Oxford Economics'!$A$6:$AZ$6,0))),'Oxford Economics'!$A$7:$A$1000,$C25,'Oxford Economics'!$B$7:$B$1000,Settings!$B$12)-SUMIFS(INDEX('Oxford Economics'!$A$7:$AZ$1000,0,IFERROR(MATCH(U$5,'Oxford Economics'!$A$6:$AZ$6,0),MATCH(U$5&amp;"",'Oxford Economics'!$A$6:$AZ$6,0))),'Oxford Economics'!$A$7:$A$1000,$C25,'Oxford Economics'!$B$7:$B$1000,Settings!$B$14),SUMIFS(INDEX('Oxford Economics'!$A$7:$AZ$1000,0,IFERROR(MATCH(U$5,'Oxford Economics'!$A$6:$AZ$6,0),MATCH(U$5&amp;"",'Oxford Economics'!$A$6:$AZ$6,0))),'Oxford Economics'!$A$7:$A$1000,$C25,'Oxford Economics'!$B$7:$B$1000,Settings!$B$14)+SUMIFS(INDEX('Oxford Economics'!$A$7:$AZ$1000,0,IFERROR(MATCH(U$5,'Oxford Economics'!$A$6:$AZ$6,0),MATCH(U$5&amp;"",'Oxford Economics'!$A$6:$AZ$6,0))),'Oxford Economics'!$A$7:$A$1000,$C25,'Oxford Economics'!$B$7:$B$1000,Settings!$B$16)+IF(Settings!$B$18="",0,SUMIFS(INDEX('Oxford Economics'!$A$7:$AZ$1000,0,IFERROR(MATCH(U$5,'Oxford Economics'!$A$6:$AZ$6,0),MATCH(U$5&amp;"",'Oxford Economics'!$A$6:$AZ$6,0))),'Oxford Economics'!$A$7:$A$1000,$C25,'Oxford Economics'!$B$7:$B$1000,Settings!$B$18)))),""))</f>
        <v>8034.38</v>
      </c>
      <c r="V25" s="37" t="n">
        <f aca="false">IF($A25="","",IFERROR(1/(1/IF($B25="Residential",SUMIFS(INDEX('Oxford Economics'!$A$7:$AZ$1000,0,IFERROR(MATCH(V$5,'Oxford Economics'!$A$6:$AZ$6,0),MATCH(V$5&amp;"",'Oxford Economics'!$A$6:$AZ$6,0))),'Oxford Economics'!$A$7:$A$1000,$C25,'Oxford Economics'!$B$7:$B$1000,Settings!$B$12)-SUMIFS(INDEX('Oxford Economics'!$A$7:$AZ$1000,0,IFERROR(MATCH(V$5,'Oxford Economics'!$A$6:$AZ$6,0),MATCH(V$5&amp;"",'Oxford Economics'!$A$6:$AZ$6,0))),'Oxford Economics'!$A$7:$A$1000,$C25,'Oxford Economics'!$B$7:$B$1000,Settings!$B$14),SUMIFS(INDEX('Oxford Economics'!$A$7:$AZ$1000,0,IFERROR(MATCH(V$5,'Oxford Economics'!$A$6:$AZ$6,0),MATCH(V$5&amp;"",'Oxford Economics'!$A$6:$AZ$6,0))),'Oxford Economics'!$A$7:$A$1000,$C25,'Oxford Economics'!$B$7:$B$1000,Settings!$B$14)+SUMIFS(INDEX('Oxford Economics'!$A$7:$AZ$1000,0,IFERROR(MATCH(V$5,'Oxford Economics'!$A$6:$AZ$6,0),MATCH(V$5&amp;"",'Oxford Economics'!$A$6:$AZ$6,0))),'Oxford Economics'!$A$7:$A$1000,$C25,'Oxford Economics'!$B$7:$B$1000,Settings!$B$16)+IF(Settings!$B$18="",0,SUMIFS(INDEX('Oxford Economics'!$A$7:$AZ$1000,0,IFERROR(MATCH(V$5,'Oxford Economics'!$A$6:$AZ$6,0),MATCH(V$5&amp;"",'Oxford Economics'!$A$6:$AZ$6,0))),'Oxford Economics'!$A$7:$A$1000,$C25,'Oxford Economics'!$B$7:$B$1000,Settings!$B$18)))),""))</f>
        <v>8945.25</v>
      </c>
      <c r="W25" s="37" t="n">
        <f aca="false">IF($A25="","",IFERROR(1/(1/IF($B25="Residential",SUMIFS(INDEX('Oxford Economics'!$A$7:$AZ$1000,0,IFERROR(MATCH(W$5,'Oxford Economics'!$A$6:$AZ$6,0),MATCH(W$5&amp;"",'Oxford Economics'!$A$6:$AZ$6,0))),'Oxford Economics'!$A$7:$A$1000,$C25,'Oxford Economics'!$B$7:$B$1000,Settings!$B$12)-SUMIFS(INDEX('Oxford Economics'!$A$7:$AZ$1000,0,IFERROR(MATCH(W$5,'Oxford Economics'!$A$6:$AZ$6,0),MATCH(W$5&amp;"",'Oxford Economics'!$A$6:$AZ$6,0))),'Oxford Economics'!$A$7:$A$1000,$C25,'Oxford Economics'!$B$7:$B$1000,Settings!$B$14),SUMIFS(INDEX('Oxford Economics'!$A$7:$AZ$1000,0,IFERROR(MATCH(W$5,'Oxford Economics'!$A$6:$AZ$6,0),MATCH(W$5&amp;"",'Oxford Economics'!$A$6:$AZ$6,0))),'Oxford Economics'!$A$7:$A$1000,$C25,'Oxford Economics'!$B$7:$B$1000,Settings!$B$14)+SUMIFS(INDEX('Oxford Economics'!$A$7:$AZ$1000,0,IFERROR(MATCH(W$5,'Oxford Economics'!$A$6:$AZ$6,0),MATCH(W$5&amp;"",'Oxford Economics'!$A$6:$AZ$6,0))),'Oxford Economics'!$A$7:$A$1000,$C25,'Oxford Economics'!$B$7:$B$1000,Settings!$B$16)+IF(Settings!$B$18="",0,SUMIFS(INDEX('Oxford Economics'!$A$7:$AZ$1000,0,IFERROR(MATCH(W$5,'Oxford Economics'!$A$6:$AZ$6,0),MATCH(W$5&amp;"",'Oxford Economics'!$A$6:$AZ$6,0))),'Oxford Economics'!$A$7:$A$1000,$C25,'Oxford Economics'!$B$7:$B$1000,Settings!$B$18)))),""))</f>
        <v>9451.52</v>
      </c>
      <c r="X25" s="37" t="n">
        <f aca="false">IF($A25="","",IFERROR(1/(1/IF($B25="Residential",SUMIFS(INDEX('Oxford Economics'!$A$7:$AZ$1000,0,IFERROR(MATCH(X$5,'Oxford Economics'!$A$6:$AZ$6,0),MATCH(X$5&amp;"",'Oxford Economics'!$A$6:$AZ$6,0))),'Oxford Economics'!$A$7:$A$1000,$C25,'Oxford Economics'!$B$7:$B$1000,Settings!$B$12)-SUMIFS(INDEX('Oxford Economics'!$A$7:$AZ$1000,0,IFERROR(MATCH(X$5,'Oxford Economics'!$A$6:$AZ$6,0),MATCH(X$5&amp;"",'Oxford Economics'!$A$6:$AZ$6,0))),'Oxford Economics'!$A$7:$A$1000,$C25,'Oxford Economics'!$B$7:$B$1000,Settings!$B$14),SUMIFS(INDEX('Oxford Economics'!$A$7:$AZ$1000,0,IFERROR(MATCH(X$5,'Oxford Economics'!$A$6:$AZ$6,0),MATCH(X$5&amp;"",'Oxford Economics'!$A$6:$AZ$6,0))),'Oxford Economics'!$A$7:$A$1000,$C25,'Oxford Economics'!$B$7:$B$1000,Settings!$B$14)+SUMIFS(INDEX('Oxford Economics'!$A$7:$AZ$1000,0,IFERROR(MATCH(X$5,'Oxford Economics'!$A$6:$AZ$6,0),MATCH(X$5&amp;"",'Oxford Economics'!$A$6:$AZ$6,0))),'Oxford Economics'!$A$7:$A$1000,$C25,'Oxford Economics'!$B$7:$B$1000,Settings!$B$16)+IF(Settings!$B$18="",0,SUMIFS(INDEX('Oxford Economics'!$A$7:$AZ$1000,0,IFERROR(MATCH(X$5,'Oxford Economics'!$A$6:$AZ$6,0),MATCH(X$5&amp;"",'Oxford Economics'!$A$6:$AZ$6,0))),'Oxford Economics'!$A$7:$A$1000,$C25,'Oxford Economics'!$B$7:$B$1000,Settings!$B$18)))),""))</f>
        <v>9645.82</v>
      </c>
      <c r="Y25" s="37" t="n">
        <f aca="false">IF($A25="","",IFERROR(1/(1/IF($B25="Residential",SUMIFS(INDEX('Oxford Economics'!$A$7:$AZ$1000,0,IFERROR(MATCH(Y$5,'Oxford Economics'!$A$6:$AZ$6,0),MATCH(Y$5&amp;"",'Oxford Economics'!$A$6:$AZ$6,0))),'Oxford Economics'!$A$7:$A$1000,$C25,'Oxford Economics'!$B$7:$B$1000,Settings!$B$12)-SUMIFS(INDEX('Oxford Economics'!$A$7:$AZ$1000,0,IFERROR(MATCH(Y$5,'Oxford Economics'!$A$6:$AZ$6,0),MATCH(Y$5&amp;"",'Oxford Economics'!$A$6:$AZ$6,0))),'Oxford Economics'!$A$7:$A$1000,$C25,'Oxford Economics'!$B$7:$B$1000,Settings!$B$14),SUMIFS(INDEX('Oxford Economics'!$A$7:$AZ$1000,0,IFERROR(MATCH(Y$5,'Oxford Economics'!$A$6:$AZ$6,0),MATCH(Y$5&amp;"",'Oxford Economics'!$A$6:$AZ$6,0))),'Oxford Economics'!$A$7:$A$1000,$C25,'Oxford Economics'!$B$7:$B$1000,Settings!$B$14)+SUMIFS(INDEX('Oxford Economics'!$A$7:$AZ$1000,0,IFERROR(MATCH(Y$5,'Oxford Economics'!$A$6:$AZ$6,0),MATCH(Y$5&amp;"",'Oxford Economics'!$A$6:$AZ$6,0))),'Oxford Economics'!$A$7:$A$1000,$C25,'Oxford Economics'!$B$7:$B$1000,Settings!$B$16)+IF(Settings!$B$18="",0,SUMIFS(INDEX('Oxford Economics'!$A$7:$AZ$1000,0,IFERROR(MATCH(Y$5,'Oxford Economics'!$A$6:$AZ$6,0),MATCH(Y$5&amp;"",'Oxford Economics'!$A$6:$AZ$6,0))),'Oxford Economics'!$A$7:$A$1000,$C25,'Oxford Economics'!$B$7:$B$1000,Settings!$B$18)))),""))</f>
        <v>9772.52</v>
      </c>
      <c r="Z25" s="37" t="n">
        <f aca="false">IF($A25="","",IFERROR(1/(1/IF($B25="Residential",SUMIFS(INDEX('Oxford Economics'!$A$7:$AZ$1000,0,IFERROR(MATCH(Z$5,'Oxford Economics'!$A$6:$AZ$6,0),MATCH(Z$5&amp;"",'Oxford Economics'!$A$6:$AZ$6,0))),'Oxford Economics'!$A$7:$A$1000,$C25,'Oxford Economics'!$B$7:$B$1000,Settings!$B$12)-SUMIFS(INDEX('Oxford Economics'!$A$7:$AZ$1000,0,IFERROR(MATCH(Z$5,'Oxford Economics'!$A$6:$AZ$6,0),MATCH(Z$5&amp;"",'Oxford Economics'!$A$6:$AZ$6,0))),'Oxford Economics'!$A$7:$A$1000,$C25,'Oxford Economics'!$B$7:$B$1000,Settings!$B$14),SUMIFS(INDEX('Oxford Economics'!$A$7:$AZ$1000,0,IFERROR(MATCH(Z$5,'Oxford Economics'!$A$6:$AZ$6,0),MATCH(Z$5&amp;"",'Oxford Economics'!$A$6:$AZ$6,0))),'Oxford Economics'!$A$7:$A$1000,$C25,'Oxford Economics'!$B$7:$B$1000,Settings!$B$14)+SUMIFS(INDEX('Oxford Economics'!$A$7:$AZ$1000,0,IFERROR(MATCH(Z$5,'Oxford Economics'!$A$6:$AZ$6,0),MATCH(Z$5&amp;"",'Oxford Economics'!$A$6:$AZ$6,0))),'Oxford Economics'!$A$7:$A$1000,$C25,'Oxford Economics'!$B$7:$B$1000,Settings!$B$16)+IF(Settings!$B$18="",0,SUMIFS(INDEX('Oxford Economics'!$A$7:$AZ$1000,0,IFERROR(MATCH(Z$5,'Oxford Economics'!$A$6:$AZ$6,0),MATCH(Z$5&amp;"",'Oxford Economics'!$A$6:$AZ$6,0))),'Oxford Economics'!$A$7:$A$1000,$C25,'Oxford Economics'!$B$7:$B$1000,Settings!$B$18)))),""))</f>
        <v>9878.41</v>
      </c>
      <c r="AA25" s="37" t="n">
        <f aca="false">IF($A25="","",IFERROR(1/(1/IF($B25="Residential",SUMIFS(INDEX('Oxford Economics'!$A$7:$AZ$1000,0,IFERROR(MATCH(AA$5,'Oxford Economics'!$A$6:$AZ$6,0),MATCH(AA$5&amp;"",'Oxford Economics'!$A$6:$AZ$6,0))),'Oxford Economics'!$A$7:$A$1000,$C25,'Oxford Economics'!$B$7:$B$1000,Settings!$B$12)-SUMIFS(INDEX('Oxford Economics'!$A$7:$AZ$1000,0,IFERROR(MATCH(AA$5,'Oxford Economics'!$A$6:$AZ$6,0),MATCH(AA$5&amp;"",'Oxford Economics'!$A$6:$AZ$6,0))),'Oxford Economics'!$A$7:$A$1000,$C25,'Oxford Economics'!$B$7:$B$1000,Settings!$B$14),SUMIFS(INDEX('Oxford Economics'!$A$7:$AZ$1000,0,IFERROR(MATCH(AA$5,'Oxford Economics'!$A$6:$AZ$6,0),MATCH(AA$5&amp;"",'Oxford Economics'!$A$6:$AZ$6,0))),'Oxford Economics'!$A$7:$A$1000,$C25,'Oxford Economics'!$B$7:$B$1000,Settings!$B$14)+SUMIFS(INDEX('Oxford Economics'!$A$7:$AZ$1000,0,IFERROR(MATCH(AA$5,'Oxford Economics'!$A$6:$AZ$6,0),MATCH(AA$5&amp;"",'Oxford Economics'!$A$6:$AZ$6,0))),'Oxford Economics'!$A$7:$A$1000,$C25,'Oxford Economics'!$B$7:$B$1000,Settings!$B$16)+IF(Settings!$B$18="",0,SUMIFS(INDEX('Oxford Economics'!$A$7:$AZ$1000,0,IFERROR(MATCH(AA$5,'Oxford Economics'!$A$6:$AZ$6,0),MATCH(AA$5&amp;"",'Oxford Economics'!$A$6:$AZ$6,0))),'Oxford Economics'!$A$7:$A$1000,$C25,'Oxford Economics'!$B$7:$B$1000,Settings!$B$18)))),""))</f>
        <v>9927.33</v>
      </c>
      <c r="AB25" s="37" t="n">
        <f aca="false">IF($A25="","",IFERROR(1/(1/IF($B25="Residential",SUMIFS(INDEX('Oxford Economics'!$A$7:$AZ$1000,0,IFERROR(MATCH(AB$5,'Oxford Economics'!$A$6:$AZ$6,0),MATCH(AB$5&amp;"",'Oxford Economics'!$A$6:$AZ$6,0))),'Oxford Economics'!$A$7:$A$1000,$C25,'Oxford Economics'!$B$7:$B$1000,Settings!$B$11)-SUMIFS(INDEX('Oxford Economics'!$A$7:$AZ$1000,0,IFERROR(MATCH(AB$5,'Oxford Economics'!$A$6:$AZ$6,0),MATCH(AB$5&amp;"",'Oxford Economics'!$A$6:$AZ$6,0))),'Oxford Economics'!$A$7:$A$1000,$C25,'Oxford Economics'!$B$7:$B$1000,Settings!$B$13),SUMIFS(INDEX('Oxford Economics'!$A$7:$AZ$1000,0,IFERROR(MATCH(AB$5,'Oxford Economics'!$A$6:$AZ$6,0),MATCH(AB$5&amp;"",'Oxford Economics'!$A$6:$AZ$6,0))),'Oxford Economics'!$A$7:$A$1000,$C25,'Oxford Economics'!$B$7:$B$1000,Settings!$B$13)+SUMIFS(INDEX('Oxford Economics'!$A$7:$AZ$1000,0,IFERROR(MATCH(AB$5,'Oxford Economics'!$A$6:$AZ$6,0),MATCH(AB$5&amp;"",'Oxford Economics'!$A$6:$AZ$6,0))),'Oxford Economics'!$A$7:$A$1000,$C25,'Oxford Economics'!$B$7:$B$1000,Settings!$B$15)+IF(Settings!$B$17="",0,SUMIFS(INDEX('Oxford Economics'!$A$7:$AZ$1000,0,IFERROR(MATCH(AB$5,'Oxford Economics'!$A$6:$AZ$6,0),MATCH(AB$5&amp;"",'Oxford Economics'!$A$6:$AZ$6,0))),'Oxford Economics'!$A$7:$A$1000,$C25,'Oxford Economics'!$B$7:$B$1000,Settings!$B$17)))),""))</f>
        <v>20100.14</v>
      </c>
      <c r="AC25" s="37" t="n">
        <f aca="false">IF($A25="","",IFERROR(1/(1/IF($B25="Residential",SUMIFS(INDEX('Oxford Economics'!$A$7:$AZ$1000,0,IFERROR(MATCH(AC$5,'Oxford Economics'!$A$6:$AZ$6,0),MATCH(AC$5&amp;"",'Oxford Economics'!$A$6:$AZ$6,0))),'Oxford Economics'!$A$7:$A$1000,$C25,'Oxford Economics'!$B$7:$B$1000,Settings!$B$11)-SUMIFS(INDEX('Oxford Economics'!$A$7:$AZ$1000,0,IFERROR(MATCH(AC$5,'Oxford Economics'!$A$6:$AZ$6,0),MATCH(AC$5&amp;"",'Oxford Economics'!$A$6:$AZ$6,0))),'Oxford Economics'!$A$7:$A$1000,$C25,'Oxford Economics'!$B$7:$B$1000,Settings!$B$13),SUMIFS(INDEX('Oxford Economics'!$A$7:$AZ$1000,0,IFERROR(MATCH(AC$5,'Oxford Economics'!$A$6:$AZ$6,0),MATCH(AC$5&amp;"",'Oxford Economics'!$A$6:$AZ$6,0))),'Oxford Economics'!$A$7:$A$1000,$C25,'Oxford Economics'!$B$7:$B$1000,Settings!$B$13)+SUMIFS(INDEX('Oxford Economics'!$A$7:$AZ$1000,0,IFERROR(MATCH(AC$5,'Oxford Economics'!$A$6:$AZ$6,0),MATCH(AC$5&amp;"",'Oxford Economics'!$A$6:$AZ$6,0))),'Oxford Economics'!$A$7:$A$1000,$C25,'Oxford Economics'!$B$7:$B$1000,Settings!$B$15)+IF(Settings!$B$17="",0,SUMIFS(INDEX('Oxford Economics'!$A$7:$AZ$1000,0,IFERROR(MATCH(AC$5,'Oxford Economics'!$A$6:$AZ$6,0),MATCH(AC$5&amp;"",'Oxford Economics'!$A$6:$AZ$6,0))),'Oxford Economics'!$A$7:$A$1000,$C25,'Oxford Economics'!$B$7:$B$1000,Settings!$B$17)))),""))</f>
        <v>19361.3</v>
      </c>
      <c r="AD25" s="37" t="n">
        <f aca="false">IF($A25="","",IFERROR(1/(1/IF($B25="Residential",SUMIFS(INDEX('Oxford Economics'!$A$7:$AZ$1000,0,IFERROR(MATCH(AD$5,'Oxford Economics'!$A$6:$AZ$6,0),MATCH(AD$5&amp;"",'Oxford Economics'!$A$6:$AZ$6,0))),'Oxford Economics'!$A$7:$A$1000,$C25,'Oxford Economics'!$B$7:$B$1000,Settings!$B$11)-SUMIFS(INDEX('Oxford Economics'!$A$7:$AZ$1000,0,IFERROR(MATCH(AD$5,'Oxford Economics'!$A$6:$AZ$6,0),MATCH(AD$5&amp;"",'Oxford Economics'!$A$6:$AZ$6,0))),'Oxford Economics'!$A$7:$A$1000,$C25,'Oxford Economics'!$B$7:$B$1000,Settings!$B$13),SUMIFS(INDEX('Oxford Economics'!$A$7:$AZ$1000,0,IFERROR(MATCH(AD$5,'Oxford Economics'!$A$6:$AZ$6,0),MATCH(AD$5&amp;"",'Oxford Economics'!$A$6:$AZ$6,0))),'Oxford Economics'!$A$7:$A$1000,$C25,'Oxford Economics'!$B$7:$B$1000,Settings!$B$13)+SUMIFS(INDEX('Oxford Economics'!$A$7:$AZ$1000,0,IFERROR(MATCH(AD$5,'Oxford Economics'!$A$6:$AZ$6,0),MATCH(AD$5&amp;"",'Oxford Economics'!$A$6:$AZ$6,0))),'Oxford Economics'!$A$7:$A$1000,$C25,'Oxford Economics'!$B$7:$B$1000,Settings!$B$15)+IF(Settings!$B$17="",0,SUMIFS(INDEX('Oxford Economics'!$A$7:$AZ$1000,0,IFERROR(MATCH(AD$5,'Oxford Economics'!$A$6:$AZ$6,0),MATCH(AD$5&amp;"",'Oxford Economics'!$A$6:$AZ$6,0))),'Oxford Economics'!$A$7:$A$1000,$C25,'Oxford Economics'!$B$7:$B$1000,Settings!$B$17)))),""))</f>
        <v>18277.37</v>
      </c>
      <c r="AE25" s="37" t="n">
        <f aca="false">IF($A25="","",IFERROR(1/(1/IF($B25="Residential",SUMIFS(INDEX('Oxford Economics'!$A$7:$AZ$1000,0,IFERROR(MATCH(AE$5,'Oxford Economics'!$A$6:$AZ$6,0),MATCH(AE$5&amp;"",'Oxford Economics'!$A$6:$AZ$6,0))),'Oxford Economics'!$A$7:$A$1000,$C25,'Oxford Economics'!$B$7:$B$1000,Settings!$B$11)-SUMIFS(INDEX('Oxford Economics'!$A$7:$AZ$1000,0,IFERROR(MATCH(AE$5,'Oxford Economics'!$A$6:$AZ$6,0),MATCH(AE$5&amp;"",'Oxford Economics'!$A$6:$AZ$6,0))),'Oxford Economics'!$A$7:$A$1000,$C25,'Oxford Economics'!$B$7:$B$1000,Settings!$B$13),SUMIFS(INDEX('Oxford Economics'!$A$7:$AZ$1000,0,IFERROR(MATCH(AE$5,'Oxford Economics'!$A$6:$AZ$6,0),MATCH(AE$5&amp;"",'Oxford Economics'!$A$6:$AZ$6,0))),'Oxford Economics'!$A$7:$A$1000,$C25,'Oxford Economics'!$B$7:$B$1000,Settings!$B$13)+SUMIFS(INDEX('Oxford Economics'!$A$7:$AZ$1000,0,IFERROR(MATCH(AE$5,'Oxford Economics'!$A$6:$AZ$6,0),MATCH(AE$5&amp;"",'Oxford Economics'!$A$6:$AZ$6,0))),'Oxford Economics'!$A$7:$A$1000,$C25,'Oxford Economics'!$B$7:$B$1000,Settings!$B$15)+IF(Settings!$B$17="",0,SUMIFS(INDEX('Oxford Economics'!$A$7:$AZ$1000,0,IFERROR(MATCH(AE$5,'Oxford Economics'!$A$6:$AZ$6,0),MATCH(AE$5&amp;"",'Oxford Economics'!$A$6:$AZ$6,0))),'Oxford Economics'!$A$7:$A$1000,$C25,'Oxford Economics'!$B$7:$B$1000,Settings!$B$17)))),""))</f>
        <v>16190.39</v>
      </c>
      <c r="AF25" s="37" t="n">
        <f aca="false">IF($A25="","",IFERROR(1/(1/IF($B25="Residential",SUMIFS(INDEX('Oxford Economics'!$A$7:$AZ$1000,0,IFERROR(MATCH(AF$5,'Oxford Economics'!$A$6:$AZ$6,0),MATCH(AF$5&amp;"",'Oxford Economics'!$A$6:$AZ$6,0))),'Oxford Economics'!$A$7:$A$1000,$C25,'Oxford Economics'!$B$7:$B$1000,Settings!$B$11)-SUMIFS(INDEX('Oxford Economics'!$A$7:$AZ$1000,0,IFERROR(MATCH(AF$5,'Oxford Economics'!$A$6:$AZ$6,0),MATCH(AF$5&amp;"",'Oxford Economics'!$A$6:$AZ$6,0))),'Oxford Economics'!$A$7:$A$1000,$C25,'Oxford Economics'!$B$7:$B$1000,Settings!$B$13),SUMIFS(INDEX('Oxford Economics'!$A$7:$AZ$1000,0,IFERROR(MATCH(AF$5,'Oxford Economics'!$A$6:$AZ$6,0),MATCH(AF$5&amp;"",'Oxford Economics'!$A$6:$AZ$6,0))),'Oxford Economics'!$A$7:$A$1000,$C25,'Oxford Economics'!$B$7:$B$1000,Settings!$B$13)+SUMIFS(INDEX('Oxford Economics'!$A$7:$AZ$1000,0,IFERROR(MATCH(AF$5,'Oxford Economics'!$A$6:$AZ$6,0),MATCH(AF$5&amp;"",'Oxford Economics'!$A$6:$AZ$6,0))),'Oxford Economics'!$A$7:$A$1000,$C25,'Oxford Economics'!$B$7:$B$1000,Settings!$B$15)+IF(Settings!$B$17="",0,SUMIFS(INDEX('Oxford Economics'!$A$7:$AZ$1000,0,IFERROR(MATCH(AF$5,'Oxford Economics'!$A$6:$AZ$6,0),MATCH(AF$5&amp;"",'Oxford Economics'!$A$6:$AZ$6,0))),'Oxford Economics'!$A$7:$A$1000,$C25,'Oxford Economics'!$B$7:$B$1000,Settings!$B$17)))),""))</f>
        <v>14873.47</v>
      </c>
      <c r="AG25" s="37" t="n">
        <f aca="false">IF($A25="","",IFERROR(1/(1/IF($B25="Residential",SUMIFS(INDEX('Oxford Economics'!$A$7:$AZ$1000,0,IFERROR(MATCH(AG$5,'Oxford Economics'!$A$6:$AZ$6,0),MATCH(AG$5&amp;"",'Oxford Economics'!$A$6:$AZ$6,0))),'Oxford Economics'!$A$7:$A$1000,$C25,'Oxford Economics'!$B$7:$B$1000,Settings!$B$11)-SUMIFS(INDEX('Oxford Economics'!$A$7:$AZ$1000,0,IFERROR(MATCH(AG$5,'Oxford Economics'!$A$6:$AZ$6,0),MATCH(AG$5&amp;"",'Oxford Economics'!$A$6:$AZ$6,0))),'Oxford Economics'!$A$7:$A$1000,$C25,'Oxford Economics'!$B$7:$B$1000,Settings!$B$13),SUMIFS(INDEX('Oxford Economics'!$A$7:$AZ$1000,0,IFERROR(MATCH(AG$5,'Oxford Economics'!$A$6:$AZ$6,0),MATCH(AG$5&amp;"",'Oxford Economics'!$A$6:$AZ$6,0))),'Oxford Economics'!$A$7:$A$1000,$C25,'Oxford Economics'!$B$7:$B$1000,Settings!$B$13)+SUMIFS(INDEX('Oxford Economics'!$A$7:$AZ$1000,0,IFERROR(MATCH(AG$5,'Oxford Economics'!$A$6:$AZ$6,0),MATCH(AG$5&amp;"",'Oxford Economics'!$A$6:$AZ$6,0))),'Oxford Economics'!$A$7:$A$1000,$C25,'Oxford Economics'!$B$7:$B$1000,Settings!$B$15)+IF(Settings!$B$17="",0,SUMIFS(INDEX('Oxford Economics'!$A$7:$AZ$1000,0,IFERROR(MATCH(AG$5,'Oxford Economics'!$A$6:$AZ$6,0),MATCH(AG$5&amp;"",'Oxford Economics'!$A$6:$AZ$6,0))),'Oxford Economics'!$A$7:$A$1000,$C25,'Oxford Economics'!$B$7:$B$1000,Settings!$B$17)))),""))</f>
        <v>13924.27</v>
      </c>
      <c r="AH25" s="37" t="n">
        <f aca="false">IF($A25="","",IFERROR(1/(1/IF($B25="Residential",SUMIFS(INDEX('Oxford Economics'!$A$7:$AZ$1000,0,IFERROR(MATCH(AH$5,'Oxford Economics'!$A$6:$AZ$6,0),MATCH(AH$5&amp;"",'Oxford Economics'!$A$6:$AZ$6,0))),'Oxford Economics'!$A$7:$A$1000,$C25,'Oxford Economics'!$B$7:$B$1000,Settings!$B$11)-SUMIFS(INDEX('Oxford Economics'!$A$7:$AZ$1000,0,IFERROR(MATCH(AH$5,'Oxford Economics'!$A$6:$AZ$6,0),MATCH(AH$5&amp;"",'Oxford Economics'!$A$6:$AZ$6,0))),'Oxford Economics'!$A$7:$A$1000,$C25,'Oxford Economics'!$B$7:$B$1000,Settings!$B$13),SUMIFS(INDEX('Oxford Economics'!$A$7:$AZ$1000,0,IFERROR(MATCH(AH$5,'Oxford Economics'!$A$6:$AZ$6,0),MATCH(AH$5&amp;"",'Oxford Economics'!$A$6:$AZ$6,0))),'Oxford Economics'!$A$7:$A$1000,$C25,'Oxford Economics'!$B$7:$B$1000,Settings!$B$13)+SUMIFS(INDEX('Oxford Economics'!$A$7:$AZ$1000,0,IFERROR(MATCH(AH$5,'Oxford Economics'!$A$6:$AZ$6,0),MATCH(AH$5&amp;"",'Oxford Economics'!$A$6:$AZ$6,0))),'Oxford Economics'!$A$7:$A$1000,$C25,'Oxford Economics'!$B$7:$B$1000,Settings!$B$15)+IF(Settings!$B$17="",0,SUMIFS(INDEX('Oxford Economics'!$A$7:$AZ$1000,0,IFERROR(MATCH(AH$5,'Oxford Economics'!$A$6:$AZ$6,0),MATCH(AH$5&amp;"",'Oxford Economics'!$A$6:$AZ$6,0))),'Oxford Economics'!$A$7:$A$1000,$C25,'Oxford Economics'!$B$7:$B$1000,Settings!$B$17)))),""))</f>
        <v>13713.98</v>
      </c>
      <c r="AI25" s="37" t="n">
        <f aca="false">IF($A25="","",IFERROR(1/(1/IF($B25="Residential",SUMIFS(INDEX('Oxford Economics'!$A$7:$AZ$1000,0,IFERROR(MATCH(AI$5,'Oxford Economics'!$A$6:$AZ$6,0),MATCH(AI$5&amp;"",'Oxford Economics'!$A$6:$AZ$6,0))),'Oxford Economics'!$A$7:$A$1000,$C25,'Oxford Economics'!$B$7:$B$1000,Settings!$B$11)-SUMIFS(INDEX('Oxford Economics'!$A$7:$AZ$1000,0,IFERROR(MATCH(AI$5,'Oxford Economics'!$A$6:$AZ$6,0),MATCH(AI$5&amp;"",'Oxford Economics'!$A$6:$AZ$6,0))),'Oxford Economics'!$A$7:$A$1000,$C25,'Oxford Economics'!$B$7:$B$1000,Settings!$B$13),SUMIFS(INDEX('Oxford Economics'!$A$7:$AZ$1000,0,IFERROR(MATCH(AI$5,'Oxford Economics'!$A$6:$AZ$6,0),MATCH(AI$5&amp;"",'Oxford Economics'!$A$6:$AZ$6,0))),'Oxford Economics'!$A$7:$A$1000,$C25,'Oxford Economics'!$B$7:$B$1000,Settings!$B$13)+SUMIFS(INDEX('Oxford Economics'!$A$7:$AZ$1000,0,IFERROR(MATCH(AI$5,'Oxford Economics'!$A$6:$AZ$6,0),MATCH(AI$5&amp;"",'Oxford Economics'!$A$6:$AZ$6,0))),'Oxford Economics'!$A$7:$A$1000,$C25,'Oxford Economics'!$B$7:$B$1000,Settings!$B$15)+IF(Settings!$B$17="",0,SUMIFS(INDEX('Oxford Economics'!$A$7:$AZ$1000,0,IFERROR(MATCH(AI$5,'Oxford Economics'!$A$6:$AZ$6,0),MATCH(AI$5&amp;"",'Oxford Economics'!$A$6:$AZ$6,0))),'Oxford Economics'!$A$7:$A$1000,$C25,'Oxford Economics'!$B$7:$B$1000,Settings!$B$17)))),""))</f>
        <v>13815.65</v>
      </c>
      <c r="AJ25" s="37" t="n">
        <f aca="false">IF($A25="","",IFERROR(1/(1/IF($B25="Residential",SUMIFS(INDEX('Oxford Economics'!$A$7:$AZ$1000,0,IFERROR(MATCH(AJ$5,'Oxford Economics'!$A$6:$AZ$6,0),MATCH(AJ$5&amp;"",'Oxford Economics'!$A$6:$AZ$6,0))),'Oxford Economics'!$A$7:$A$1000,$C25,'Oxford Economics'!$B$7:$B$1000,Settings!$B$11)-SUMIFS(INDEX('Oxford Economics'!$A$7:$AZ$1000,0,IFERROR(MATCH(AJ$5,'Oxford Economics'!$A$6:$AZ$6,0),MATCH(AJ$5&amp;"",'Oxford Economics'!$A$6:$AZ$6,0))),'Oxford Economics'!$A$7:$A$1000,$C25,'Oxford Economics'!$B$7:$B$1000,Settings!$B$13),SUMIFS(INDEX('Oxford Economics'!$A$7:$AZ$1000,0,IFERROR(MATCH(AJ$5,'Oxford Economics'!$A$6:$AZ$6,0),MATCH(AJ$5&amp;"",'Oxford Economics'!$A$6:$AZ$6,0))),'Oxford Economics'!$A$7:$A$1000,$C25,'Oxford Economics'!$B$7:$B$1000,Settings!$B$13)+SUMIFS(INDEX('Oxford Economics'!$A$7:$AZ$1000,0,IFERROR(MATCH(AJ$5,'Oxford Economics'!$A$6:$AZ$6,0),MATCH(AJ$5&amp;"",'Oxford Economics'!$A$6:$AZ$6,0))),'Oxford Economics'!$A$7:$A$1000,$C25,'Oxford Economics'!$B$7:$B$1000,Settings!$B$15)+IF(Settings!$B$17="",0,SUMIFS(INDEX('Oxford Economics'!$A$7:$AZ$1000,0,IFERROR(MATCH(AJ$5,'Oxford Economics'!$A$6:$AZ$6,0),MATCH(AJ$5&amp;"",'Oxford Economics'!$A$6:$AZ$6,0))),'Oxford Economics'!$A$7:$A$1000,$C25,'Oxford Economics'!$B$7:$B$1000,Settings!$B$17)))),""))</f>
        <v>14343.05</v>
      </c>
      <c r="AK25" s="37" t="n">
        <f aca="false">IF($A25="","",IFERROR(1/(1/IF($B25="Residential",SUMIFS(INDEX('Oxford Economics'!$A$7:$AZ$1000,0,IFERROR(MATCH(AK$5,'Oxford Economics'!$A$6:$AZ$6,0),MATCH(AK$5&amp;"",'Oxford Economics'!$A$6:$AZ$6,0))),'Oxford Economics'!$A$7:$A$1000,$C25,'Oxford Economics'!$B$7:$B$1000,Settings!$B$11)-SUMIFS(INDEX('Oxford Economics'!$A$7:$AZ$1000,0,IFERROR(MATCH(AK$5,'Oxford Economics'!$A$6:$AZ$6,0),MATCH(AK$5&amp;"",'Oxford Economics'!$A$6:$AZ$6,0))),'Oxford Economics'!$A$7:$A$1000,$C25,'Oxford Economics'!$B$7:$B$1000,Settings!$B$13),SUMIFS(INDEX('Oxford Economics'!$A$7:$AZ$1000,0,IFERROR(MATCH(AK$5,'Oxford Economics'!$A$6:$AZ$6,0),MATCH(AK$5&amp;"",'Oxford Economics'!$A$6:$AZ$6,0))),'Oxford Economics'!$A$7:$A$1000,$C25,'Oxford Economics'!$B$7:$B$1000,Settings!$B$13)+SUMIFS(INDEX('Oxford Economics'!$A$7:$AZ$1000,0,IFERROR(MATCH(AK$5,'Oxford Economics'!$A$6:$AZ$6,0),MATCH(AK$5&amp;"",'Oxford Economics'!$A$6:$AZ$6,0))),'Oxford Economics'!$A$7:$A$1000,$C25,'Oxford Economics'!$B$7:$B$1000,Settings!$B$15)+IF(Settings!$B$17="",0,SUMIFS(INDEX('Oxford Economics'!$A$7:$AZ$1000,0,IFERROR(MATCH(AK$5,'Oxford Economics'!$A$6:$AZ$6,0),MATCH(AK$5&amp;"",'Oxford Economics'!$A$6:$AZ$6,0))),'Oxford Economics'!$A$7:$A$1000,$C25,'Oxford Economics'!$B$7:$B$1000,Settings!$B$17)))),""))</f>
        <v>14868.38</v>
      </c>
      <c r="AL25" s="37" t="n">
        <f aca="false">IF($A25="","",IFERROR(1/(1/IF($B25="Residential",SUMIFS(INDEX('Oxford Economics'!$A$7:$AZ$1000,0,IFERROR(MATCH(AL$5,'Oxford Economics'!$A$6:$AZ$6,0),MATCH(AL$5&amp;"",'Oxford Economics'!$A$6:$AZ$6,0))),'Oxford Economics'!$A$7:$A$1000,$C25,'Oxford Economics'!$B$7:$B$1000,Settings!$B$11)-SUMIFS(INDEX('Oxford Economics'!$A$7:$AZ$1000,0,IFERROR(MATCH(AL$5,'Oxford Economics'!$A$6:$AZ$6,0),MATCH(AL$5&amp;"",'Oxford Economics'!$A$6:$AZ$6,0))),'Oxford Economics'!$A$7:$A$1000,$C25,'Oxford Economics'!$B$7:$B$1000,Settings!$B$13),SUMIFS(INDEX('Oxford Economics'!$A$7:$AZ$1000,0,IFERROR(MATCH(AL$5,'Oxford Economics'!$A$6:$AZ$6,0),MATCH(AL$5&amp;"",'Oxford Economics'!$A$6:$AZ$6,0))),'Oxford Economics'!$A$7:$A$1000,$C25,'Oxford Economics'!$B$7:$B$1000,Settings!$B$13)+SUMIFS(INDEX('Oxford Economics'!$A$7:$AZ$1000,0,IFERROR(MATCH(AL$5,'Oxford Economics'!$A$6:$AZ$6,0),MATCH(AL$5&amp;"",'Oxford Economics'!$A$6:$AZ$6,0))),'Oxford Economics'!$A$7:$A$1000,$C25,'Oxford Economics'!$B$7:$B$1000,Settings!$B$15)+IF(Settings!$B$17="",0,SUMIFS(INDEX('Oxford Economics'!$A$7:$AZ$1000,0,IFERROR(MATCH(AL$5,'Oxford Economics'!$A$6:$AZ$6,0),MATCH(AL$5&amp;"",'Oxford Economics'!$A$6:$AZ$6,0))),'Oxford Economics'!$A$7:$A$1000,$C25,'Oxford Economics'!$B$7:$B$1000,Settings!$B$17)))),""))</f>
        <v>15337.61</v>
      </c>
      <c r="AM25" s="37" t="n">
        <f aca="false">IF($A25="","",IFERROR(1/(1/IF($B25="Residential",SUMIFS(INDEX('Oxford Economics'!$A$7:$AZ$1000,0,IFERROR(MATCH(AM$5,'Oxford Economics'!$A$6:$AZ$6,0),MATCH(AM$5&amp;"",'Oxford Economics'!$A$6:$AZ$6,0))),'Oxford Economics'!$A$7:$A$1000,$C25,'Oxford Economics'!$B$7:$B$1000,Settings!$B$11)-SUMIFS(INDEX('Oxford Economics'!$A$7:$AZ$1000,0,IFERROR(MATCH(AM$5,'Oxford Economics'!$A$6:$AZ$6,0),MATCH(AM$5&amp;"",'Oxford Economics'!$A$6:$AZ$6,0))),'Oxford Economics'!$A$7:$A$1000,$C25,'Oxford Economics'!$B$7:$B$1000,Settings!$B$13),SUMIFS(INDEX('Oxford Economics'!$A$7:$AZ$1000,0,IFERROR(MATCH(AM$5,'Oxford Economics'!$A$6:$AZ$6,0),MATCH(AM$5&amp;"",'Oxford Economics'!$A$6:$AZ$6,0))),'Oxford Economics'!$A$7:$A$1000,$C25,'Oxford Economics'!$B$7:$B$1000,Settings!$B$13)+SUMIFS(INDEX('Oxford Economics'!$A$7:$AZ$1000,0,IFERROR(MATCH(AM$5,'Oxford Economics'!$A$6:$AZ$6,0),MATCH(AM$5&amp;"",'Oxford Economics'!$A$6:$AZ$6,0))),'Oxford Economics'!$A$7:$A$1000,$C25,'Oxford Economics'!$B$7:$B$1000,Settings!$B$15)+IF(Settings!$B$17="",0,SUMIFS(INDEX('Oxford Economics'!$A$7:$AZ$1000,0,IFERROR(MATCH(AM$5,'Oxford Economics'!$A$6:$AZ$6,0),MATCH(AM$5&amp;"",'Oxford Economics'!$A$6:$AZ$6,0))),'Oxford Economics'!$A$7:$A$1000,$C25,'Oxford Economics'!$B$7:$B$1000,Settings!$B$17)))),""))</f>
        <v>15801.09</v>
      </c>
    </row>
    <row r="26" customFormat="false" ht="15" hidden="false" customHeight="false" outlineLevel="0" collapsed="false">
      <c r="A26" s="36" t="str">
        <f aca="false">IF('Raw data'!$A26="","",'Raw data'!$A26)</f>
        <v>Switzerland</v>
      </c>
      <c r="B26" s="36" t="str">
        <f aca="false">IF($A26="","",'Raw data'!$C26)</f>
        <v>Residential</v>
      </c>
      <c r="C26" s="36" t="str">
        <f aca="false">IF($A26="","",IF('Raw data'!$D26="",$A26,'Raw data'!$D26))</f>
        <v>Switzerland</v>
      </c>
      <c r="D26" s="37" t="n">
        <f aca="false">IF($A26="","",IF(AND(ISNUMBER(P26),ISNUMBER(AB26)),P26+AB26,""))</f>
        <v>6780.24</v>
      </c>
      <c r="E26" s="37" t="n">
        <f aca="false">IF($A26="","",IF(AND(ISNUMBER(Q26),ISNUMBER(AC26)),Q26+AC26,""))</f>
        <v>7167.09</v>
      </c>
      <c r="F26" s="37" t="n">
        <f aca="false">IF($A26="","",IF(AND(ISNUMBER(R26),ISNUMBER(AD26)),R26+AD26,""))</f>
        <v>7020.15</v>
      </c>
      <c r="G26" s="37" t="n">
        <f aca="false">IF($A26="","",IF(AND(ISNUMBER(S26),ISNUMBER(AE26)),S26+AE26,""))</f>
        <v>6865.73</v>
      </c>
      <c r="H26" s="37" t="n">
        <f aca="false">IF($A26="","",IF(AND(ISNUMBER(T26),ISNUMBER(AF26)),T26+AF26,""))</f>
        <v>6812.66</v>
      </c>
      <c r="I26" s="37" t="n">
        <f aca="false">IF($A26="","",IF(AND(ISNUMBER(U26),ISNUMBER(AG26)),U26+AG26,""))</f>
        <v>6790.22</v>
      </c>
      <c r="J26" s="37" t="n">
        <f aca="false">IF($A26="","",IF(AND(ISNUMBER(V26),ISNUMBER(AH26)),V26+AH26,""))</f>
        <v>6736.92</v>
      </c>
      <c r="K26" s="37" t="n">
        <f aca="false">IF($A26="","",IF(AND(ISNUMBER(W26),ISNUMBER(AI26)),W26+AI26,""))</f>
        <v>6878.64</v>
      </c>
      <c r="L26" s="37" t="n">
        <f aca="false">IF($A26="","",IF(AND(ISNUMBER(X26),ISNUMBER(AJ26)),X26+AJ26,""))</f>
        <v>7139.26</v>
      </c>
      <c r="M26" s="37" t="n">
        <f aca="false">IF($A26="","",IF(AND(ISNUMBER(Y26),ISNUMBER(AK26)),Y26+AK26,""))</f>
        <v>7041.04</v>
      </c>
      <c r="N26" s="37" t="n">
        <f aca="false">IF($A26="","",IF(AND(ISNUMBER(Z26),ISNUMBER(AL26)),Z26+AL26,""))</f>
        <v>7066.26</v>
      </c>
      <c r="O26" s="37" t="n">
        <f aca="false">IF($A26="","",IF(AND(ISNUMBER(AA26),ISNUMBER(AM26)),AA26+AM26,""))</f>
        <v>7235.03</v>
      </c>
      <c r="P26" s="37" t="n">
        <f aca="false">IF($A26="","",IFERROR(1/(1/IF($B26="Residential",SUMIFS(INDEX('Oxford Economics'!$A$7:$AZ$1000,0,IFERROR(MATCH(P$5,'Oxford Economics'!$A$6:$AZ$6,0),MATCH(P$5&amp;"",'Oxford Economics'!$A$6:$AZ$6,0))),'Oxford Economics'!$A$7:$A$1000,$C26,'Oxford Economics'!$B$7:$B$1000,Settings!$B$12)-SUMIFS(INDEX('Oxford Economics'!$A$7:$AZ$1000,0,IFERROR(MATCH(P$5,'Oxford Economics'!$A$6:$AZ$6,0),MATCH(P$5&amp;"",'Oxford Economics'!$A$6:$AZ$6,0))),'Oxford Economics'!$A$7:$A$1000,$C26,'Oxford Economics'!$B$7:$B$1000,Settings!$B$14),SUMIFS(INDEX('Oxford Economics'!$A$7:$AZ$1000,0,IFERROR(MATCH(P$5,'Oxford Economics'!$A$6:$AZ$6,0),MATCH(P$5&amp;"",'Oxford Economics'!$A$6:$AZ$6,0))),'Oxford Economics'!$A$7:$A$1000,$C26,'Oxford Economics'!$B$7:$B$1000,Settings!$B$14)+SUMIFS(INDEX('Oxford Economics'!$A$7:$AZ$1000,0,IFERROR(MATCH(P$5,'Oxford Economics'!$A$6:$AZ$6,0),MATCH(P$5&amp;"",'Oxford Economics'!$A$6:$AZ$6,0))),'Oxford Economics'!$A$7:$A$1000,$C26,'Oxford Economics'!$B$7:$B$1000,Settings!$B$16)+IF(Settings!$B$18="",0,SUMIFS(INDEX('Oxford Economics'!$A$7:$AZ$1000,0,IFERROR(MATCH(P$5,'Oxford Economics'!$A$6:$AZ$6,0),MATCH(P$5&amp;"",'Oxford Economics'!$A$6:$AZ$6,0))),'Oxford Economics'!$A$7:$A$1000,$C26,'Oxford Economics'!$B$7:$B$1000,Settings!$B$18)))),""))</f>
        <v>3028.71</v>
      </c>
      <c r="Q26" s="37" t="n">
        <f aca="false">IF($A26="","",IFERROR(1/(1/IF($B26="Residential",SUMIFS(INDEX('Oxford Economics'!$A$7:$AZ$1000,0,IFERROR(MATCH(Q$5,'Oxford Economics'!$A$6:$AZ$6,0),MATCH(Q$5&amp;"",'Oxford Economics'!$A$6:$AZ$6,0))),'Oxford Economics'!$A$7:$A$1000,$C26,'Oxford Economics'!$B$7:$B$1000,Settings!$B$12)-SUMIFS(INDEX('Oxford Economics'!$A$7:$AZ$1000,0,IFERROR(MATCH(Q$5,'Oxford Economics'!$A$6:$AZ$6,0),MATCH(Q$5&amp;"",'Oxford Economics'!$A$6:$AZ$6,0))),'Oxford Economics'!$A$7:$A$1000,$C26,'Oxford Economics'!$B$7:$B$1000,Settings!$B$14),SUMIFS(INDEX('Oxford Economics'!$A$7:$AZ$1000,0,IFERROR(MATCH(Q$5,'Oxford Economics'!$A$6:$AZ$6,0),MATCH(Q$5&amp;"",'Oxford Economics'!$A$6:$AZ$6,0))),'Oxford Economics'!$A$7:$A$1000,$C26,'Oxford Economics'!$B$7:$B$1000,Settings!$B$14)+SUMIFS(INDEX('Oxford Economics'!$A$7:$AZ$1000,0,IFERROR(MATCH(Q$5,'Oxford Economics'!$A$6:$AZ$6,0),MATCH(Q$5&amp;"",'Oxford Economics'!$A$6:$AZ$6,0))),'Oxford Economics'!$A$7:$A$1000,$C26,'Oxford Economics'!$B$7:$B$1000,Settings!$B$16)+IF(Settings!$B$18="",0,SUMIFS(INDEX('Oxford Economics'!$A$7:$AZ$1000,0,IFERROR(MATCH(Q$5,'Oxford Economics'!$A$6:$AZ$6,0),MATCH(Q$5&amp;"",'Oxford Economics'!$A$6:$AZ$6,0))),'Oxford Economics'!$A$7:$A$1000,$C26,'Oxford Economics'!$B$7:$B$1000,Settings!$B$18)))),""))</f>
        <v>3115.27</v>
      </c>
      <c r="R26" s="37" t="n">
        <f aca="false">IF($A26="","",IFERROR(1/(1/IF($B26="Residential",SUMIFS(INDEX('Oxford Economics'!$A$7:$AZ$1000,0,IFERROR(MATCH(R$5,'Oxford Economics'!$A$6:$AZ$6,0),MATCH(R$5&amp;"",'Oxford Economics'!$A$6:$AZ$6,0))),'Oxford Economics'!$A$7:$A$1000,$C26,'Oxford Economics'!$B$7:$B$1000,Settings!$B$12)-SUMIFS(INDEX('Oxford Economics'!$A$7:$AZ$1000,0,IFERROR(MATCH(R$5,'Oxford Economics'!$A$6:$AZ$6,0),MATCH(R$5&amp;"",'Oxford Economics'!$A$6:$AZ$6,0))),'Oxford Economics'!$A$7:$A$1000,$C26,'Oxford Economics'!$B$7:$B$1000,Settings!$B$14),SUMIFS(INDEX('Oxford Economics'!$A$7:$AZ$1000,0,IFERROR(MATCH(R$5,'Oxford Economics'!$A$6:$AZ$6,0),MATCH(R$5&amp;"",'Oxford Economics'!$A$6:$AZ$6,0))),'Oxford Economics'!$A$7:$A$1000,$C26,'Oxford Economics'!$B$7:$B$1000,Settings!$B$14)+SUMIFS(INDEX('Oxford Economics'!$A$7:$AZ$1000,0,IFERROR(MATCH(R$5,'Oxford Economics'!$A$6:$AZ$6,0),MATCH(R$5&amp;"",'Oxford Economics'!$A$6:$AZ$6,0))),'Oxford Economics'!$A$7:$A$1000,$C26,'Oxford Economics'!$B$7:$B$1000,Settings!$B$16)+IF(Settings!$B$18="",0,SUMIFS(INDEX('Oxford Economics'!$A$7:$AZ$1000,0,IFERROR(MATCH(R$5,'Oxford Economics'!$A$6:$AZ$6,0),MATCH(R$5&amp;"",'Oxford Economics'!$A$6:$AZ$6,0))),'Oxford Economics'!$A$7:$A$1000,$C26,'Oxford Economics'!$B$7:$B$1000,Settings!$B$18)))),""))</f>
        <v>3015.93</v>
      </c>
      <c r="S26" s="37" t="n">
        <f aca="false">IF($A26="","",IFERROR(1/(1/IF($B26="Residential",SUMIFS(INDEX('Oxford Economics'!$A$7:$AZ$1000,0,IFERROR(MATCH(S$5,'Oxford Economics'!$A$6:$AZ$6,0),MATCH(S$5&amp;"",'Oxford Economics'!$A$6:$AZ$6,0))),'Oxford Economics'!$A$7:$A$1000,$C26,'Oxford Economics'!$B$7:$B$1000,Settings!$B$12)-SUMIFS(INDEX('Oxford Economics'!$A$7:$AZ$1000,0,IFERROR(MATCH(S$5,'Oxford Economics'!$A$6:$AZ$6,0),MATCH(S$5&amp;"",'Oxford Economics'!$A$6:$AZ$6,0))),'Oxford Economics'!$A$7:$A$1000,$C26,'Oxford Economics'!$B$7:$B$1000,Settings!$B$14),SUMIFS(INDEX('Oxford Economics'!$A$7:$AZ$1000,0,IFERROR(MATCH(S$5,'Oxford Economics'!$A$6:$AZ$6,0),MATCH(S$5&amp;"",'Oxford Economics'!$A$6:$AZ$6,0))),'Oxford Economics'!$A$7:$A$1000,$C26,'Oxford Economics'!$B$7:$B$1000,Settings!$B$14)+SUMIFS(INDEX('Oxford Economics'!$A$7:$AZ$1000,0,IFERROR(MATCH(S$5,'Oxford Economics'!$A$6:$AZ$6,0),MATCH(S$5&amp;"",'Oxford Economics'!$A$6:$AZ$6,0))),'Oxford Economics'!$A$7:$A$1000,$C26,'Oxford Economics'!$B$7:$B$1000,Settings!$B$16)+IF(Settings!$B$18="",0,SUMIFS(INDEX('Oxford Economics'!$A$7:$AZ$1000,0,IFERROR(MATCH(S$5,'Oxford Economics'!$A$6:$AZ$6,0),MATCH(S$5&amp;"",'Oxford Economics'!$A$6:$AZ$6,0))),'Oxford Economics'!$A$7:$A$1000,$C26,'Oxford Economics'!$B$7:$B$1000,Settings!$B$18)))),""))</f>
        <v>2931.44</v>
      </c>
      <c r="T26" s="37" t="n">
        <f aca="false">IF($A26="","",IFERROR(1/(1/IF($B26="Residential",SUMIFS(INDEX('Oxford Economics'!$A$7:$AZ$1000,0,IFERROR(MATCH(T$5,'Oxford Economics'!$A$6:$AZ$6,0),MATCH(T$5&amp;"",'Oxford Economics'!$A$6:$AZ$6,0))),'Oxford Economics'!$A$7:$A$1000,$C26,'Oxford Economics'!$B$7:$B$1000,Settings!$B$12)-SUMIFS(INDEX('Oxford Economics'!$A$7:$AZ$1000,0,IFERROR(MATCH(T$5,'Oxford Economics'!$A$6:$AZ$6,0),MATCH(T$5&amp;"",'Oxford Economics'!$A$6:$AZ$6,0))),'Oxford Economics'!$A$7:$A$1000,$C26,'Oxford Economics'!$B$7:$B$1000,Settings!$B$14),SUMIFS(INDEX('Oxford Economics'!$A$7:$AZ$1000,0,IFERROR(MATCH(T$5,'Oxford Economics'!$A$6:$AZ$6,0),MATCH(T$5&amp;"",'Oxford Economics'!$A$6:$AZ$6,0))),'Oxford Economics'!$A$7:$A$1000,$C26,'Oxford Economics'!$B$7:$B$1000,Settings!$B$14)+SUMIFS(INDEX('Oxford Economics'!$A$7:$AZ$1000,0,IFERROR(MATCH(T$5,'Oxford Economics'!$A$6:$AZ$6,0),MATCH(T$5&amp;"",'Oxford Economics'!$A$6:$AZ$6,0))),'Oxford Economics'!$A$7:$A$1000,$C26,'Oxford Economics'!$B$7:$B$1000,Settings!$B$16)+IF(Settings!$B$18="",0,SUMIFS(INDEX('Oxford Economics'!$A$7:$AZ$1000,0,IFERROR(MATCH(T$5,'Oxford Economics'!$A$6:$AZ$6,0),MATCH(T$5&amp;"",'Oxford Economics'!$A$6:$AZ$6,0))),'Oxford Economics'!$A$7:$A$1000,$C26,'Oxford Economics'!$B$7:$B$1000,Settings!$B$18)))),""))</f>
        <v>2912.97</v>
      </c>
      <c r="U26" s="37" t="n">
        <f aca="false">IF($A26="","",IFERROR(1/(1/IF($B26="Residential",SUMIFS(INDEX('Oxford Economics'!$A$7:$AZ$1000,0,IFERROR(MATCH(U$5,'Oxford Economics'!$A$6:$AZ$6,0),MATCH(U$5&amp;"",'Oxford Economics'!$A$6:$AZ$6,0))),'Oxford Economics'!$A$7:$A$1000,$C26,'Oxford Economics'!$B$7:$B$1000,Settings!$B$12)-SUMIFS(INDEX('Oxford Economics'!$A$7:$AZ$1000,0,IFERROR(MATCH(U$5,'Oxford Economics'!$A$6:$AZ$6,0),MATCH(U$5&amp;"",'Oxford Economics'!$A$6:$AZ$6,0))),'Oxford Economics'!$A$7:$A$1000,$C26,'Oxford Economics'!$B$7:$B$1000,Settings!$B$14),SUMIFS(INDEX('Oxford Economics'!$A$7:$AZ$1000,0,IFERROR(MATCH(U$5,'Oxford Economics'!$A$6:$AZ$6,0),MATCH(U$5&amp;"",'Oxford Economics'!$A$6:$AZ$6,0))),'Oxford Economics'!$A$7:$A$1000,$C26,'Oxford Economics'!$B$7:$B$1000,Settings!$B$14)+SUMIFS(INDEX('Oxford Economics'!$A$7:$AZ$1000,0,IFERROR(MATCH(U$5,'Oxford Economics'!$A$6:$AZ$6,0),MATCH(U$5&amp;"",'Oxford Economics'!$A$6:$AZ$6,0))),'Oxford Economics'!$A$7:$A$1000,$C26,'Oxford Economics'!$B$7:$B$1000,Settings!$B$16)+IF(Settings!$B$18="",0,SUMIFS(INDEX('Oxford Economics'!$A$7:$AZ$1000,0,IFERROR(MATCH(U$5,'Oxford Economics'!$A$6:$AZ$6,0),MATCH(U$5&amp;"",'Oxford Economics'!$A$6:$AZ$6,0))),'Oxford Economics'!$A$7:$A$1000,$C26,'Oxford Economics'!$B$7:$B$1000,Settings!$B$18)))),""))</f>
        <v>2946.4</v>
      </c>
      <c r="V26" s="37" t="n">
        <f aca="false">IF($A26="","",IFERROR(1/(1/IF($B26="Residential",SUMIFS(INDEX('Oxford Economics'!$A$7:$AZ$1000,0,IFERROR(MATCH(V$5,'Oxford Economics'!$A$6:$AZ$6,0),MATCH(V$5&amp;"",'Oxford Economics'!$A$6:$AZ$6,0))),'Oxford Economics'!$A$7:$A$1000,$C26,'Oxford Economics'!$B$7:$B$1000,Settings!$B$12)-SUMIFS(INDEX('Oxford Economics'!$A$7:$AZ$1000,0,IFERROR(MATCH(V$5,'Oxford Economics'!$A$6:$AZ$6,0),MATCH(V$5&amp;"",'Oxford Economics'!$A$6:$AZ$6,0))),'Oxford Economics'!$A$7:$A$1000,$C26,'Oxford Economics'!$B$7:$B$1000,Settings!$B$14),SUMIFS(INDEX('Oxford Economics'!$A$7:$AZ$1000,0,IFERROR(MATCH(V$5,'Oxford Economics'!$A$6:$AZ$6,0),MATCH(V$5&amp;"",'Oxford Economics'!$A$6:$AZ$6,0))),'Oxford Economics'!$A$7:$A$1000,$C26,'Oxford Economics'!$B$7:$B$1000,Settings!$B$14)+SUMIFS(INDEX('Oxford Economics'!$A$7:$AZ$1000,0,IFERROR(MATCH(V$5,'Oxford Economics'!$A$6:$AZ$6,0),MATCH(V$5&amp;"",'Oxford Economics'!$A$6:$AZ$6,0))),'Oxford Economics'!$A$7:$A$1000,$C26,'Oxford Economics'!$B$7:$B$1000,Settings!$B$16)+IF(Settings!$B$18="",0,SUMIFS(INDEX('Oxford Economics'!$A$7:$AZ$1000,0,IFERROR(MATCH(V$5,'Oxford Economics'!$A$6:$AZ$6,0),MATCH(V$5&amp;"",'Oxford Economics'!$A$6:$AZ$6,0))),'Oxford Economics'!$A$7:$A$1000,$C26,'Oxford Economics'!$B$7:$B$1000,Settings!$B$18)))),""))</f>
        <v>3025.05</v>
      </c>
      <c r="W26" s="37" t="n">
        <f aca="false">IF($A26="","",IFERROR(1/(1/IF($B26="Residential",SUMIFS(INDEX('Oxford Economics'!$A$7:$AZ$1000,0,IFERROR(MATCH(W$5,'Oxford Economics'!$A$6:$AZ$6,0),MATCH(W$5&amp;"",'Oxford Economics'!$A$6:$AZ$6,0))),'Oxford Economics'!$A$7:$A$1000,$C26,'Oxford Economics'!$B$7:$B$1000,Settings!$B$12)-SUMIFS(INDEX('Oxford Economics'!$A$7:$AZ$1000,0,IFERROR(MATCH(W$5,'Oxford Economics'!$A$6:$AZ$6,0),MATCH(W$5&amp;"",'Oxford Economics'!$A$6:$AZ$6,0))),'Oxford Economics'!$A$7:$A$1000,$C26,'Oxford Economics'!$B$7:$B$1000,Settings!$B$14),SUMIFS(INDEX('Oxford Economics'!$A$7:$AZ$1000,0,IFERROR(MATCH(W$5,'Oxford Economics'!$A$6:$AZ$6,0),MATCH(W$5&amp;"",'Oxford Economics'!$A$6:$AZ$6,0))),'Oxford Economics'!$A$7:$A$1000,$C26,'Oxford Economics'!$B$7:$B$1000,Settings!$B$14)+SUMIFS(INDEX('Oxford Economics'!$A$7:$AZ$1000,0,IFERROR(MATCH(W$5,'Oxford Economics'!$A$6:$AZ$6,0),MATCH(W$5&amp;"",'Oxford Economics'!$A$6:$AZ$6,0))),'Oxford Economics'!$A$7:$A$1000,$C26,'Oxford Economics'!$B$7:$B$1000,Settings!$B$16)+IF(Settings!$B$18="",0,SUMIFS(INDEX('Oxford Economics'!$A$7:$AZ$1000,0,IFERROR(MATCH(W$5,'Oxford Economics'!$A$6:$AZ$6,0),MATCH(W$5&amp;"",'Oxford Economics'!$A$6:$AZ$6,0))),'Oxford Economics'!$A$7:$A$1000,$C26,'Oxford Economics'!$B$7:$B$1000,Settings!$B$18)))),""))</f>
        <v>3122.2</v>
      </c>
      <c r="X26" s="37" t="n">
        <f aca="false">IF($A26="","",IFERROR(1/(1/IF($B26="Residential",SUMIFS(INDEX('Oxford Economics'!$A$7:$AZ$1000,0,IFERROR(MATCH(X$5,'Oxford Economics'!$A$6:$AZ$6,0),MATCH(X$5&amp;"",'Oxford Economics'!$A$6:$AZ$6,0))),'Oxford Economics'!$A$7:$A$1000,$C26,'Oxford Economics'!$B$7:$B$1000,Settings!$B$12)-SUMIFS(INDEX('Oxford Economics'!$A$7:$AZ$1000,0,IFERROR(MATCH(X$5,'Oxford Economics'!$A$6:$AZ$6,0),MATCH(X$5&amp;"",'Oxford Economics'!$A$6:$AZ$6,0))),'Oxford Economics'!$A$7:$A$1000,$C26,'Oxford Economics'!$B$7:$B$1000,Settings!$B$14),SUMIFS(INDEX('Oxford Economics'!$A$7:$AZ$1000,0,IFERROR(MATCH(X$5,'Oxford Economics'!$A$6:$AZ$6,0),MATCH(X$5&amp;"",'Oxford Economics'!$A$6:$AZ$6,0))),'Oxford Economics'!$A$7:$A$1000,$C26,'Oxford Economics'!$B$7:$B$1000,Settings!$B$14)+SUMIFS(INDEX('Oxford Economics'!$A$7:$AZ$1000,0,IFERROR(MATCH(X$5,'Oxford Economics'!$A$6:$AZ$6,0),MATCH(X$5&amp;"",'Oxford Economics'!$A$6:$AZ$6,0))),'Oxford Economics'!$A$7:$A$1000,$C26,'Oxford Economics'!$B$7:$B$1000,Settings!$B$16)+IF(Settings!$B$18="",0,SUMIFS(INDEX('Oxford Economics'!$A$7:$AZ$1000,0,IFERROR(MATCH(X$5,'Oxford Economics'!$A$6:$AZ$6,0),MATCH(X$5&amp;"",'Oxford Economics'!$A$6:$AZ$6,0))),'Oxford Economics'!$A$7:$A$1000,$C26,'Oxford Economics'!$B$7:$B$1000,Settings!$B$18)))),""))</f>
        <v>3295.95</v>
      </c>
      <c r="Y26" s="37" t="n">
        <f aca="false">IF($A26="","",IFERROR(1/(1/IF($B26="Residential",SUMIFS(INDEX('Oxford Economics'!$A$7:$AZ$1000,0,IFERROR(MATCH(Y$5,'Oxford Economics'!$A$6:$AZ$6,0),MATCH(Y$5&amp;"",'Oxford Economics'!$A$6:$AZ$6,0))),'Oxford Economics'!$A$7:$A$1000,$C26,'Oxford Economics'!$B$7:$B$1000,Settings!$B$12)-SUMIFS(INDEX('Oxford Economics'!$A$7:$AZ$1000,0,IFERROR(MATCH(Y$5,'Oxford Economics'!$A$6:$AZ$6,0),MATCH(Y$5&amp;"",'Oxford Economics'!$A$6:$AZ$6,0))),'Oxford Economics'!$A$7:$A$1000,$C26,'Oxford Economics'!$B$7:$B$1000,Settings!$B$14),SUMIFS(INDEX('Oxford Economics'!$A$7:$AZ$1000,0,IFERROR(MATCH(Y$5,'Oxford Economics'!$A$6:$AZ$6,0),MATCH(Y$5&amp;"",'Oxford Economics'!$A$6:$AZ$6,0))),'Oxford Economics'!$A$7:$A$1000,$C26,'Oxford Economics'!$B$7:$B$1000,Settings!$B$14)+SUMIFS(INDEX('Oxford Economics'!$A$7:$AZ$1000,0,IFERROR(MATCH(Y$5,'Oxford Economics'!$A$6:$AZ$6,0),MATCH(Y$5&amp;"",'Oxford Economics'!$A$6:$AZ$6,0))),'Oxford Economics'!$A$7:$A$1000,$C26,'Oxford Economics'!$B$7:$B$1000,Settings!$B$16)+IF(Settings!$B$18="",0,SUMIFS(INDEX('Oxford Economics'!$A$7:$AZ$1000,0,IFERROR(MATCH(Y$5,'Oxford Economics'!$A$6:$AZ$6,0),MATCH(Y$5&amp;"",'Oxford Economics'!$A$6:$AZ$6,0))),'Oxford Economics'!$A$7:$A$1000,$C26,'Oxford Economics'!$B$7:$B$1000,Settings!$B$18)))),""))</f>
        <v>3316.24</v>
      </c>
      <c r="Z26" s="37" t="n">
        <f aca="false">IF($A26="","",IFERROR(1/(1/IF($B26="Residential",SUMIFS(INDEX('Oxford Economics'!$A$7:$AZ$1000,0,IFERROR(MATCH(Z$5,'Oxford Economics'!$A$6:$AZ$6,0),MATCH(Z$5&amp;"",'Oxford Economics'!$A$6:$AZ$6,0))),'Oxford Economics'!$A$7:$A$1000,$C26,'Oxford Economics'!$B$7:$B$1000,Settings!$B$12)-SUMIFS(INDEX('Oxford Economics'!$A$7:$AZ$1000,0,IFERROR(MATCH(Z$5,'Oxford Economics'!$A$6:$AZ$6,0),MATCH(Z$5&amp;"",'Oxford Economics'!$A$6:$AZ$6,0))),'Oxford Economics'!$A$7:$A$1000,$C26,'Oxford Economics'!$B$7:$B$1000,Settings!$B$14),SUMIFS(INDEX('Oxford Economics'!$A$7:$AZ$1000,0,IFERROR(MATCH(Z$5,'Oxford Economics'!$A$6:$AZ$6,0),MATCH(Z$5&amp;"",'Oxford Economics'!$A$6:$AZ$6,0))),'Oxford Economics'!$A$7:$A$1000,$C26,'Oxford Economics'!$B$7:$B$1000,Settings!$B$14)+SUMIFS(INDEX('Oxford Economics'!$A$7:$AZ$1000,0,IFERROR(MATCH(Z$5,'Oxford Economics'!$A$6:$AZ$6,0),MATCH(Z$5&amp;"",'Oxford Economics'!$A$6:$AZ$6,0))),'Oxford Economics'!$A$7:$A$1000,$C26,'Oxford Economics'!$B$7:$B$1000,Settings!$B$16)+IF(Settings!$B$18="",0,SUMIFS(INDEX('Oxford Economics'!$A$7:$AZ$1000,0,IFERROR(MATCH(Z$5,'Oxford Economics'!$A$6:$AZ$6,0),MATCH(Z$5&amp;"",'Oxford Economics'!$A$6:$AZ$6,0))),'Oxford Economics'!$A$7:$A$1000,$C26,'Oxford Economics'!$B$7:$B$1000,Settings!$B$18)))),""))</f>
        <v>3415.31</v>
      </c>
      <c r="AA26" s="37" t="n">
        <f aca="false">IF($A26="","",IFERROR(1/(1/IF($B26="Residential",SUMIFS(INDEX('Oxford Economics'!$A$7:$AZ$1000,0,IFERROR(MATCH(AA$5,'Oxford Economics'!$A$6:$AZ$6,0),MATCH(AA$5&amp;"",'Oxford Economics'!$A$6:$AZ$6,0))),'Oxford Economics'!$A$7:$A$1000,$C26,'Oxford Economics'!$B$7:$B$1000,Settings!$B$12)-SUMIFS(INDEX('Oxford Economics'!$A$7:$AZ$1000,0,IFERROR(MATCH(AA$5,'Oxford Economics'!$A$6:$AZ$6,0),MATCH(AA$5&amp;"",'Oxford Economics'!$A$6:$AZ$6,0))),'Oxford Economics'!$A$7:$A$1000,$C26,'Oxford Economics'!$B$7:$B$1000,Settings!$B$14),SUMIFS(INDEX('Oxford Economics'!$A$7:$AZ$1000,0,IFERROR(MATCH(AA$5,'Oxford Economics'!$A$6:$AZ$6,0),MATCH(AA$5&amp;"",'Oxford Economics'!$A$6:$AZ$6,0))),'Oxford Economics'!$A$7:$A$1000,$C26,'Oxford Economics'!$B$7:$B$1000,Settings!$B$14)+SUMIFS(INDEX('Oxford Economics'!$A$7:$AZ$1000,0,IFERROR(MATCH(AA$5,'Oxford Economics'!$A$6:$AZ$6,0),MATCH(AA$5&amp;"",'Oxford Economics'!$A$6:$AZ$6,0))),'Oxford Economics'!$A$7:$A$1000,$C26,'Oxford Economics'!$B$7:$B$1000,Settings!$B$16)+IF(Settings!$B$18="",0,SUMIFS(INDEX('Oxford Economics'!$A$7:$AZ$1000,0,IFERROR(MATCH(AA$5,'Oxford Economics'!$A$6:$AZ$6,0),MATCH(AA$5&amp;"",'Oxford Economics'!$A$6:$AZ$6,0))),'Oxford Economics'!$A$7:$A$1000,$C26,'Oxford Economics'!$B$7:$B$1000,Settings!$B$18)))),""))</f>
        <v>3614.59</v>
      </c>
      <c r="AB26" s="37" t="n">
        <f aca="false">IF($A26="","",IFERROR(1/(1/IF($B26="Residential",SUMIFS(INDEX('Oxford Economics'!$A$7:$AZ$1000,0,IFERROR(MATCH(AB$5,'Oxford Economics'!$A$6:$AZ$6,0),MATCH(AB$5&amp;"",'Oxford Economics'!$A$6:$AZ$6,0))),'Oxford Economics'!$A$7:$A$1000,$C26,'Oxford Economics'!$B$7:$B$1000,Settings!$B$11)-SUMIFS(INDEX('Oxford Economics'!$A$7:$AZ$1000,0,IFERROR(MATCH(AB$5,'Oxford Economics'!$A$6:$AZ$6,0),MATCH(AB$5&amp;"",'Oxford Economics'!$A$6:$AZ$6,0))),'Oxford Economics'!$A$7:$A$1000,$C26,'Oxford Economics'!$B$7:$B$1000,Settings!$B$13),SUMIFS(INDEX('Oxford Economics'!$A$7:$AZ$1000,0,IFERROR(MATCH(AB$5,'Oxford Economics'!$A$6:$AZ$6,0),MATCH(AB$5&amp;"",'Oxford Economics'!$A$6:$AZ$6,0))),'Oxford Economics'!$A$7:$A$1000,$C26,'Oxford Economics'!$B$7:$B$1000,Settings!$B$13)+SUMIFS(INDEX('Oxford Economics'!$A$7:$AZ$1000,0,IFERROR(MATCH(AB$5,'Oxford Economics'!$A$6:$AZ$6,0),MATCH(AB$5&amp;"",'Oxford Economics'!$A$6:$AZ$6,0))),'Oxford Economics'!$A$7:$A$1000,$C26,'Oxford Economics'!$B$7:$B$1000,Settings!$B$15)+IF(Settings!$B$17="",0,SUMIFS(INDEX('Oxford Economics'!$A$7:$AZ$1000,0,IFERROR(MATCH(AB$5,'Oxford Economics'!$A$6:$AZ$6,0),MATCH(AB$5&amp;"",'Oxford Economics'!$A$6:$AZ$6,0))),'Oxford Economics'!$A$7:$A$1000,$C26,'Oxford Economics'!$B$7:$B$1000,Settings!$B$17)))),""))</f>
        <v>3751.53</v>
      </c>
      <c r="AC26" s="37" t="n">
        <f aca="false">IF($A26="","",IFERROR(1/(1/IF($B26="Residential",SUMIFS(INDEX('Oxford Economics'!$A$7:$AZ$1000,0,IFERROR(MATCH(AC$5,'Oxford Economics'!$A$6:$AZ$6,0),MATCH(AC$5&amp;"",'Oxford Economics'!$A$6:$AZ$6,0))),'Oxford Economics'!$A$7:$A$1000,$C26,'Oxford Economics'!$B$7:$B$1000,Settings!$B$11)-SUMIFS(INDEX('Oxford Economics'!$A$7:$AZ$1000,0,IFERROR(MATCH(AC$5,'Oxford Economics'!$A$6:$AZ$6,0),MATCH(AC$5&amp;"",'Oxford Economics'!$A$6:$AZ$6,0))),'Oxford Economics'!$A$7:$A$1000,$C26,'Oxford Economics'!$B$7:$B$1000,Settings!$B$13),SUMIFS(INDEX('Oxford Economics'!$A$7:$AZ$1000,0,IFERROR(MATCH(AC$5,'Oxford Economics'!$A$6:$AZ$6,0),MATCH(AC$5&amp;"",'Oxford Economics'!$A$6:$AZ$6,0))),'Oxford Economics'!$A$7:$A$1000,$C26,'Oxford Economics'!$B$7:$B$1000,Settings!$B$13)+SUMIFS(INDEX('Oxford Economics'!$A$7:$AZ$1000,0,IFERROR(MATCH(AC$5,'Oxford Economics'!$A$6:$AZ$6,0),MATCH(AC$5&amp;"",'Oxford Economics'!$A$6:$AZ$6,0))),'Oxford Economics'!$A$7:$A$1000,$C26,'Oxford Economics'!$B$7:$B$1000,Settings!$B$15)+IF(Settings!$B$17="",0,SUMIFS(INDEX('Oxford Economics'!$A$7:$AZ$1000,0,IFERROR(MATCH(AC$5,'Oxford Economics'!$A$6:$AZ$6,0),MATCH(AC$5&amp;"",'Oxford Economics'!$A$6:$AZ$6,0))),'Oxford Economics'!$A$7:$A$1000,$C26,'Oxford Economics'!$B$7:$B$1000,Settings!$B$17)))),""))</f>
        <v>4051.82</v>
      </c>
      <c r="AD26" s="37" t="n">
        <f aca="false">IF($A26="","",IFERROR(1/(1/IF($B26="Residential",SUMIFS(INDEX('Oxford Economics'!$A$7:$AZ$1000,0,IFERROR(MATCH(AD$5,'Oxford Economics'!$A$6:$AZ$6,0),MATCH(AD$5&amp;"",'Oxford Economics'!$A$6:$AZ$6,0))),'Oxford Economics'!$A$7:$A$1000,$C26,'Oxford Economics'!$B$7:$B$1000,Settings!$B$11)-SUMIFS(INDEX('Oxford Economics'!$A$7:$AZ$1000,0,IFERROR(MATCH(AD$5,'Oxford Economics'!$A$6:$AZ$6,0),MATCH(AD$5&amp;"",'Oxford Economics'!$A$6:$AZ$6,0))),'Oxford Economics'!$A$7:$A$1000,$C26,'Oxford Economics'!$B$7:$B$1000,Settings!$B$13),SUMIFS(INDEX('Oxford Economics'!$A$7:$AZ$1000,0,IFERROR(MATCH(AD$5,'Oxford Economics'!$A$6:$AZ$6,0),MATCH(AD$5&amp;"",'Oxford Economics'!$A$6:$AZ$6,0))),'Oxford Economics'!$A$7:$A$1000,$C26,'Oxford Economics'!$B$7:$B$1000,Settings!$B$13)+SUMIFS(INDEX('Oxford Economics'!$A$7:$AZ$1000,0,IFERROR(MATCH(AD$5,'Oxford Economics'!$A$6:$AZ$6,0),MATCH(AD$5&amp;"",'Oxford Economics'!$A$6:$AZ$6,0))),'Oxford Economics'!$A$7:$A$1000,$C26,'Oxford Economics'!$B$7:$B$1000,Settings!$B$15)+IF(Settings!$B$17="",0,SUMIFS(INDEX('Oxford Economics'!$A$7:$AZ$1000,0,IFERROR(MATCH(AD$5,'Oxford Economics'!$A$6:$AZ$6,0),MATCH(AD$5&amp;"",'Oxford Economics'!$A$6:$AZ$6,0))),'Oxford Economics'!$A$7:$A$1000,$C26,'Oxford Economics'!$B$7:$B$1000,Settings!$B$17)))),""))</f>
        <v>4004.22</v>
      </c>
      <c r="AE26" s="37" t="n">
        <f aca="false">IF($A26="","",IFERROR(1/(1/IF($B26="Residential",SUMIFS(INDEX('Oxford Economics'!$A$7:$AZ$1000,0,IFERROR(MATCH(AE$5,'Oxford Economics'!$A$6:$AZ$6,0),MATCH(AE$5&amp;"",'Oxford Economics'!$A$6:$AZ$6,0))),'Oxford Economics'!$A$7:$A$1000,$C26,'Oxford Economics'!$B$7:$B$1000,Settings!$B$11)-SUMIFS(INDEX('Oxford Economics'!$A$7:$AZ$1000,0,IFERROR(MATCH(AE$5,'Oxford Economics'!$A$6:$AZ$6,0),MATCH(AE$5&amp;"",'Oxford Economics'!$A$6:$AZ$6,0))),'Oxford Economics'!$A$7:$A$1000,$C26,'Oxford Economics'!$B$7:$B$1000,Settings!$B$13),SUMIFS(INDEX('Oxford Economics'!$A$7:$AZ$1000,0,IFERROR(MATCH(AE$5,'Oxford Economics'!$A$6:$AZ$6,0),MATCH(AE$5&amp;"",'Oxford Economics'!$A$6:$AZ$6,0))),'Oxford Economics'!$A$7:$A$1000,$C26,'Oxford Economics'!$B$7:$B$1000,Settings!$B$13)+SUMIFS(INDEX('Oxford Economics'!$A$7:$AZ$1000,0,IFERROR(MATCH(AE$5,'Oxford Economics'!$A$6:$AZ$6,0),MATCH(AE$5&amp;"",'Oxford Economics'!$A$6:$AZ$6,0))),'Oxford Economics'!$A$7:$A$1000,$C26,'Oxford Economics'!$B$7:$B$1000,Settings!$B$15)+IF(Settings!$B$17="",0,SUMIFS(INDEX('Oxford Economics'!$A$7:$AZ$1000,0,IFERROR(MATCH(AE$5,'Oxford Economics'!$A$6:$AZ$6,0),MATCH(AE$5&amp;"",'Oxford Economics'!$A$6:$AZ$6,0))),'Oxford Economics'!$A$7:$A$1000,$C26,'Oxford Economics'!$B$7:$B$1000,Settings!$B$17)))),""))</f>
        <v>3934.29</v>
      </c>
      <c r="AF26" s="37" t="n">
        <f aca="false">IF($A26="","",IFERROR(1/(1/IF($B26="Residential",SUMIFS(INDEX('Oxford Economics'!$A$7:$AZ$1000,0,IFERROR(MATCH(AF$5,'Oxford Economics'!$A$6:$AZ$6,0),MATCH(AF$5&amp;"",'Oxford Economics'!$A$6:$AZ$6,0))),'Oxford Economics'!$A$7:$A$1000,$C26,'Oxford Economics'!$B$7:$B$1000,Settings!$B$11)-SUMIFS(INDEX('Oxford Economics'!$A$7:$AZ$1000,0,IFERROR(MATCH(AF$5,'Oxford Economics'!$A$6:$AZ$6,0),MATCH(AF$5&amp;"",'Oxford Economics'!$A$6:$AZ$6,0))),'Oxford Economics'!$A$7:$A$1000,$C26,'Oxford Economics'!$B$7:$B$1000,Settings!$B$13),SUMIFS(INDEX('Oxford Economics'!$A$7:$AZ$1000,0,IFERROR(MATCH(AF$5,'Oxford Economics'!$A$6:$AZ$6,0),MATCH(AF$5&amp;"",'Oxford Economics'!$A$6:$AZ$6,0))),'Oxford Economics'!$A$7:$A$1000,$C26,'Oxford Economics'!$B$7:$B$1000,Settings!$B$13)+SUMIFS(INDEX('Oxford Economics'!$A$7:$AZ$1000,0,IFERROR(MATCH(AF$5,'Oxford Economics'!$A$6:$AZ$6,0),MATCH(AF$5&amp;"",'Oxford Economics'!$A$6:$AZ$6,0))),'Oxford Economics'!$A$7:$A$1000,$C26,'Oxford Economics'!$B$7:$B$1000,Settings!$B$15)+IF(Settings!$B$17="",0,SUMIFS(INDEX('Oxford Economics'!$A$7:$AZ$1000,0,IFERROR(MATCH(AF$5,'Oxford Economics'!$A$6:$AZ$6,0),MATCH(AF$5&amp;"",'Oxford Economics'!$A$6:$AZ$6,0))),'Oxford Economics'!$A$7:$A$1000,$C26,'Oxford Economics'!$B$7:$B$1000,Settings!$B$17)))),""))</f>
        <v>3899.69</v>
      </c>
      <c r="AG26" s="37" t="n">
        <f aca="false">IF($A26="","",IFERROR(1/(1/IF($B26="Residential",SUMIFS(INDEX('Oxford Economics'!$A$7:$AZ$1000,0,IFERROR(MATCH(AG$5,'Oxford Economics'!$A$6:$AZ$6,0),MATCH(AG$5&amp;"",'Oxford Economics'!$A$6:$AZ$6,0))),'Oxford Economics'!$A$7:$A$1000,$C26,'Oxford Economics'!$B$7:$B$1000,Settings!$B$11)-SUMIFS(INDEX('Oxford Economics'!$A$7:$AZ$1000,0,IFERROR(MATCH(AG$5,'Oxford Economics'!$A$6:$AZ$6,0),MATCH(AG$5&amp;"",'Oxford Economics'!$A$6:$AZ$6,0))),'Oxford Economics'!$A$7:$A$1000,$C26,'Oxford Economics'!$B$7:$B$1000,Settings!$B$13),SUMIFS(INDEX('Oxford Economics'!$A$7:$AZ$1000,0,IFERROR(MATCH(AG$5,'Oxford Economics'!$A$6:$AZ$6,0),MATCH(AG$5&amp;"",'Oxford Economics'!$A$6:$AZ$6,0))),'Oxford Economics'!$A$7:$A$1000,$C26,'Oxford Economics'!$B$7:$B$1000,Settings!$B$13)+SUMIFS(INDEX('Oxford Economics'!$A$7:$AZ$1000,0,IFERROR(MATCH(AG$5,'Oxford Economics'!$A$6:$AZ$6,0),MATCH(AG$5&amp;"",'Oxford Economics'!$A$6:$AZ$6,0))),'Oxford Economics'!$A$7:$A$1000,$C26,'Oxford Economics'!$B$7:$B$1000,Settings!$B$15)+IF(Settings!$B$17="",0,SUMIFS(INDEX('Oxford Economics'!$A$7:$AZ$1000,0,IFERROR(MATCH(AG$5,'Oxford Economics'!$A$6:$AZ$6,0),MATCH(AG$5&amp;"",'Oxford Economics'!$A$6:$AZ$6,0))),'Oxford Economics'!$A$7:$A$1000,$C26,'Oxford Economics'!$B$7:$B$1000,Settings!$B$17)))),""))</f>
        <v>3843.82</v>
      </c>
      <c r="AH26" s="37" t="n">
        <f aca="false">IF($A26="","",IFERROR(1/(1/IF($B26="Residential",SUMIFS(INDEX('Oxford Economics'!$A$7:$AZ$1000,0,IFERROR(MATCH(AH$5,'Oxford Economics'!$A$6:$AZ$6,0),MATCH(AH$5&amp;"",'Oxford Economics'!$A$6:$AZ$6,0))),'Oxford Economics'!$A$7:$A$1000,$C26,'Oxford Economics'!$B$7:$B$1000,Settings!$B$11)-SUMIFS(INDEX('Oxford Economics'!$A$7:$AZ$1000,0,IFERROR(MATCH(AH$5,'Oxford Economics'!$A$6:$AZ$6,0),MATCH(AH$5&amp;"",'Oxford Economics'!$A$6:$AZ$6,0))),'Oxford Economics'!$A$7:$A$1000,$C26,'Oxford Economics'!$B$7:$B$1000,Settings!$B$13),SUMIFS(INDEX('Oxford Economics'!$A$7:$AZ$1000,0,IFERROR(MATCH(AH$5,'Oxford Economics'!$A$6:$AZ$6,0),MATCH(AH$5&amp;"",'Oxford Economics'!$A$6:$AZ$6,0))),'Oxford Economics'!$A$7:$A$1000,$C26,'Oxford Economics'!$B$7:$B$1000,Settings!$B$13)+SUMIFS(INDEX('Oxford Economics'!$A$7:$AZ$1000,0,IFERROR(MATCH(AH$5,'Oxford Economics'!$A$6:$AZ$6,0),MATCH(AH$5&amp;"",'Oxford Economics'!$A$6:$AZ$6,0))),'Oxford Economics'!$A$7:$A$1000,$C26,'Oxford Economics'!$B$7:$B$1000,Settings!$B$15)+IF(Settings!$B$17="",0,SUMIFS(INDEX('Oxford Economics'!$A$7:$AZ$1000,0,IFERROR(MATCH(AH$5,'Oxford Economics'!$A$6:$AZ$6,0),MATCH(AH$5&amp;"",'Oxford Economics'!$A$6:$AZ$6,0))),'Oxford Economics'!$A$7:$A$1000,$C26,'Oxford Economics'!$B$7:$B$1000,Settings!$B$17)))),""))</f>
        <v>3711.87</v>
      </c>
      <c r="AI26" s="37" t="n">
        <f aca="false">IF($A26="","",IFERROR(1/(1/IF($B26="Residential",SUMIFS(INDEX('Oxford Economics'!$A$7:$AZ$1000,0,IFERROR(MATCH(AI$5,'Oxford Economics'!$A$6:$AZ$6,0),MATCH(AI$5&amp;"",'Oxford Economics'!$A$6:$AZ$6,0))),'Oxford Economics'!$A$7:$A$1000,$C26,'Oxford Economics'!$B$7:$B$1000,Settings!$B$11)-SUMIFS(INDEX('Oxford Economics'!$A$7:$AZ$1000,0,IFERROR(MATCH(AI$5,'Oxford Economics'!$A$6:$AZ$6,0),MATCH(AI$5&amp;"",'Oxford Economics'!$A$6:$AZ$6,0))),'Oxford Economics'!$A$7:$A$1000,$C26,'Oxford Economics'!$B$7:$B$1000,Settings!$B$13),SUMIFS(INDEX('Oxford Economics'!$A$7:$AZ$1000,0,IFERROR(MATCH(AI$5,'Oxford Economics'!$A$6:$AZ$6,0),MATCH(AI$5&amp;"",'Oxford Economics'!$A$6:$AZ$6,0))),'Oxford Economics'!$A$7:$A$1000,$C26,'Oxford Economics'!$B$7:$B$1000,Settings!$B$13)+SUMIFS(INDEX('Oxford Economics'!$A$7:$AZ$1000,0,IFERROR(MATCH(AI$5,'Oxford Economics'!$A$6:$AZ$6,0),MATCH(AI$5&amp;"",'Oxford Economics'!$A$6:$AZ$6,0))),'Oxford Economics'!$A$7:$A$1000,$C26,'Oxford Economics'!$B$7:$B$1000,Settings!$B$15)+IF(Settings!$B$17="",0,SUMIFS(INDEX('Oxford Economics'!$A$7:$AZ$1000,0,IFERROR(MATCH(AI$5,'Oxford Economics'!$A$6:$AZ$6,0),MATCH(AI$5&amp;"",'Oxford Economics'!$A$6:$AZ$6,0))),'Oxford Economics'!$A$7:$A$1000,$C26,'Oxford Economics'!$B$7:$B$1000,Settings!$B$17)))),""))</f>
        <v>3756.44</v>
      </c>
      <c r="AJ26" s="37" t="n">
        <f aca="false">IF($A26="","",IFERROR(1/(1/IF($B26="Residential",SUMIFS(INDEX('Oxford Economics'!$A$7:$AZ$1000,0,IFERROR(MATCH(AJ$5,'Oxford Economics'!$A$6:$AZ$6,0),MATCH(AJ$5&amp;"",'Oxford Economics'!$A$6:$AZ$6,0))),'Oxford Economics'!$A$7:$A$1000,$C26,'Oxford Economics'!$B$7:$B$1000,Settings!$B$11)-SUMIFS(INDEX('Oxford Economics'!$A$7:$AZ$1000,0,IFERROR(MATCH(AJ$5,'Oxford Economics'!$A$6:$AZ$6,0),MATCH(AJ$5&amp;"",'Oxford Economics'!$A$6:$AZ$6,0))),'Oxford Economics'!$A$7:$A$1000,$C26,'Oxford Economics'!$B$7:$B$1000,Settings!$B$13),SUMIFS(INDEX('Oxford Economics'!$A$7:$AZ$1000,0,IFERROR(MATCH(AJ$5,'Oxford Economics'!$A$6:$AZ$6,0),MATCH(AJ$5&amp;"",'Oxford Economics'!$A$6:$AZ$6,0))),'Oxford Economics'!$A$7:$A$1000,$C26,'Oxford Economics'!$B$7:$B$1000,Settings!$B$13)+SUMIFS(INDEX('Oxford Economics'!$A$7:$AZ$1000,0,IFERROR(MATCH(AJ$5,'Oxford Economics'!$A$6:$AZ$6,0),MATCH(AJ$5&amp;"",'Oxford Economics'!$A$6:$AZ$6,0))),'Oxford Economics'!$A$7:$A$1000,$C26,'Oxford Economics'!$B$7:$B$1000,Settings!$B$15)+IF(Settings!$B$17="",0,SUMIFS(INDEX('Oxford Economics'!$A$7:$AZ$1000,0,IFERROR(MATCH(AJ$5,'Oxford Economics'!$A$6:$AZ$6,0),MATCH(AJ$5&amp;"",'Oxford Economics'!$A$6:$AZ$6,0))),'Oxford Economics'!$A$7:$A$1000,$C26,'Oxford Economics'!$B$7:$B$1000,Settings!$B$17)))),""))</f>
        <v>3843.31</v>
      </c>
      <c r="AK26" s="37" t="n">
        <f aca="false">IF($A26="","",IFERROR(1/(1/IF($B26="Residential",SUMIFS(INDEX('Oxford Economics'!$A$7:$AZ$1000,0,IFERROR(MATCH(AK$5,'Oxford Economics'!$A$6:$AZ$6,0),MATCH(AK$5&amp;"",'Oxford Economics'!$A$6:$AZ$6,0))),'Oxford Economics'!$A$7:$A$1000,$C26,'Oxford Economics'!$B$7:$B$1000,Settings!$B$11)-SUMIFS(INDEX('Oxford Economics'!$A$7:$AZ$1000,0,IFERROR(MATCH(AK$5,'Oxford Economics'!$A$6:$AZ$6,0),MATCH(AK$5&amp;"",'Oxford Economics'!$A$6:$AZ$6,0))),'Oxford Economics'!$A$7:$A$1000,$C26,'Oxford Economics'!$B$7:$B$1000,Settings!$B$13),SUMIFS(INDEX('Oxford Economics'!$A$7:$AZ$1000,0,IFERROR(MATCH(AK$5,'Oxford Economics'!$A$6:$AZ$6,0),MATCH(AK$5&amp;"",'Oxford Economics'!$A$6:$AZ$6,0))),'Oxford Economics'!$A$7:$A$1000,$C26,'Oxford Economics'!$B$7:$B$1000,Settings!$B$13)+SUMIFS(INDEX('Oxford Economics'!$A$7:$AZ$1000,0,IFERROR(MATCH(AK$5,'Oxford Economics'!$A$6:$AZ$6,0),MATCH(AK$5&amp;"",'Oxford Economics'!$A$6:$AZ$6,0))),'Oxford Economics'!$A$7:$A$1000,$C26,'Oxford Economics'!$B$7:$B$1000,Settings!$B$15)+IF(Settings!$B$17="",0,SUMIFS(INDEX('Oxford Economics'!$A$7:$AZ$1000,0,IFERROR(MATCH(AK$5,'Oxford Economics'!$A$6:$AZ$6,0),MATCH(AK$5&amp;"",'Oxford Economics'!$A$6:$AZ$6,0))),'Oxford Economics'!$A$7:$A$1000,$C26,'Oxford Economics'!$B$7:$B$1000,Settings!$B$17)))),""))</f>
        <v>3724.8</v>
      </c>
      <c r="AL26" s="37" t="n">
        <f aca="false">IF($A26="","",IFERROR(1/(1/IF($B26="Residential",SUMIFS(INDEX('Oxford Economics'!$A$7:$AZ$1000,0,IFERROR(MATCH(AL$5,'Oxford Economics'!$A$6:$AZ$6,0),MATCH(AL$5&amp;"",'Oxford Economics'!$A$6:$AZ$6,0))),'Oxford Economics'!$A$7:$A$1000,$C26,'Oxford Economics'!$B$7:$B$1000,Settings!$B$11)-SUMIFS(INDEX('Oxford Economics'!$A$7:$AZ$1000,0,IFERROR(MATCH(AL$5,'Oxford Economics'!$A$6:$AZ$6,0),MATCH(AL$5&amp;"",'Oxford Economics'!$A$6:$AZ$6,0))),'Oxford Economics'!$A$7:$A$1000,$C26,'Oxford Economics'!$B$7:$B$1000,Settings!$B$13),SUMIFS(INDEX('Oxford Economics'!$A$7:$AZ$1000,0,IFERROR(MATCH(AL$5,'Oxford Economics'!$A$6:$AZ$6,0),MATCH(AL$5&amp;"",'Oxford Economics'!$A$6:$AZ$6,0))),'Oxford Economics'!$A$7:$A$1000,$C26,'Oxford Economics'!$B$7:$B$1000,Settings!$B$13)+SUMIFS(INDEX('Oxford Economics'!$A$7:$AZ$1000,0,IFERROR(MATCH(AL$5,'Oxford Economics'!$A$6:$AZ$6,0),MATCH(AL$5&amp;"",'Oxford Economics'!$A$6:$AZ$6,0))),'Oxford Economics'!$A$7:$A$1000,$C26,'Oxford Economics'!$B$7:$B$1000,Settings!$B$15)+IF(Settings!$B$17="",0,SUMIFS(INDEX('Oxford Economics'!$A$7:$AZ$1000,0,IFERROR(MATCH(AL$5,'Oxford Economics'!$A$6:$AZ$6,0),MATCH(AL$5&amp;"",'Oxford Economics'!$A$6:$AZ$6,0))),'Oxford Economics'!$A$7:$A$1000,$C26,'Oxford Economics'!$B$7:$B$1000,Settings!$B$17)))),""))</f>
        <v>3650.95</v>
      </c>
      <c r="AM26" s="37" t="n">
        <f aca="false">IF($A26="","",IFERROR(1/(1/IF($B26="Residential",SUMIFS(INDEX('Oxford Economics'!$A$7:$AZ$1000,0,IFERROR(MATCH(AM$5,'Oxford Economics'!$A$6:$AZ$6,0),MATCH(AM$5&amp;"",'Oxford Economics'!$A$6:$AZ$6,0))),'Oxford Economics'!$A$7:$A$1000,$C26,'Oxford Economics'!$B$7:$B$1000,Settings!$B$11)-SUMIFS(INDEX('Oxford Economics'!$A$7:$AZ$1000,0,IFERROR(MATCH(AM$5,'Oxford Economics'!$A$6:$AZ$6,0),MATCH(AM$5&amp;"",'Oxford Economics'!$A$6:$AZ$6,0))),'Oxford Economics'!$A$7:$A$1000,$C26,'Oxford Economics'!$B$7:$B$1000,Settings!$B$13),SUMIFS(INDEX('Oxford Economics'!$A$7:$AZ$1000,0,IFERROR(MATCH(AM$5,'Oxford Economics'!$A$6:$AZ$6,0),MATCH(AM$5&amp;"",'Oxford Economics'!$A$6:$AZ$6,0))),'Oxford Economics'!$A$7:$A$1000,$C26,'Oxford Economics'!$B$7:$B$1000,Settings!$B$13)+SUMIFS(INDEX('Oxford Economics'!$A$7:$AZ$1000,0,IFERROR(MATCH(AM$5,'Oxford Economics'!$A$6:$AZ$6,0),MATCH(AM$5&amp;"",'Oxford Economics'!$A$6:$AZ$6,0))),'Oxford Economics'!$A$7:$A$1000,$C26,'Oxford Economics'!$B$7:$B$1000,Settings!$B$15)+IF(Settings!$B$17="",0,SUMIFS(INDEX('Oxford Economics'!$A$7:$AZ$1000,0,IFERROR(MATCH(AM$5,'Oxford Economics'!$A$6:$AZ$6,0),MATCH(AM$5&amp;"",'Oxford Economics'!$A$6:$AZ$6,0))),'Oxford Economics'!$A$7:$A$1000,$C26,'Oxford Economics'!$B$7:$B$1000,Settings!$B$17)))),""))</f>
        <v>3620.44</v>
      </c>
    </row>
    <row r="27" customFormat="false" ht="15" hidden="false" customHeight="false" outlineLevel="0" collapsed="false">
      <c r="A27" s="36" t="str">
        <f aca="false">IF('Raw data'!$A27="","",'Raw data'!$A27)</f>
        <v>Switzerland</v>
      </c>
      <c r="B27" s="36" t="str">
        <f aca="false">IF($A27="","",'Raw data'!$C27)</f>
        <v>Commercial</v>
      </c>
      <c r="C27" s="36" t="str">
        <f aca="false">IF($A27="","",IF('Raw data'!$D27="",$A27,'Raw data'!$D27))</f>
        <v>Switzerland</v>
      </c>
      <c r="D27" s="37" t="n">
        <f aca="false">IF($A27="","",IF(AND(ISNUMBER(P27),ISNUMBER(AB27)),P27+AB27,""))</f>
        <v>33945.3</v>
      </c>
      <c r="E27" s="37" t="n">
        <f aca="false">IF($A27="","",IF(AND(ISNUMBER(Q27),ISNUMBER(AC27)),Q27+AC27,""))</f>
        <v>34578.91</v>
      </c>
      <c r="F27" s="37" t="n">
        <f aca="false">IF($A27="","",IF(AND(ISNUMBER(R27),ISNUMBER(AD27)),R27+AD27,""))</f>
        <v>33818.55</v>
      </c>
      <c r="G27" s="37" t="n">
        <f aca="false">IF($A27="","",IF(AND(ISNUMBER(S27),ISNUMBER(AE27)),S27+AE27,""))</f>
        <v>33090.05</v>
      </c>
      <c r="H27" s="37" t="n">
        <f aca="false">IF($A27="","",IF(AND(ISNUMBER(T27),ISNUMBER(AF27)),T27+AF27,""))</f>
        <v>32827.01</v>
      </c>
      <c r="I27" s="37" t="n">
        <f aca="false">IF($A27="","",IF(AND(ISNUMBER(U27),ISNUMBER(AG27)),U27+AG27,""))</f>
        <v>33602.22</v>
      </c>
      <c r="J27" s="37" t="n">
        <f aca="false">IF($A27="","",IF(AND(ISNUMBER(V27),ISNUMBER(AH27)),V27+AH27,""))</f>
        <v>34354.69</v>
      </c>
      <c r="K27" s="37" t="n">
        <f aca="false">IF($A27="","",IF(AND(ISNUMBER(W27),ISNUMBER(AI27)),W27+AI27,""))</f>
        <v>35563.44</v>
      </c>
      <c r="L27" s="37" t="n">
        <f aca="false">IF($A27="","",IF(AND(ISNUMBER(X27),ISNUMBER(AJ27)),X27+AJ27,""))</f>
        <v>37110.55</v>
      </c>
      <c r="M27" s="37" t="n">
        <f aca="false">IF($A27="","",IF(AND(ISNUMBER(Y27),ISNUMBER(AK27)),Y27+AK27,""))</f>
        <v>37920.78</v>
      </c>
      <c r="N27" s="37" t="n">
        <f aca="false">IF($A27="","",IF(AND(ISNUMBER(Z27),ISNUMBER(AL27)),Z27+AL27,""))</f>
        <v>38564.81</v>
      </c>
      <c r="O27" s="37" t="n">
        <f aca="false">IF($A27="","",IF(AND(ISNUMBER(AA27),ISNUMBER(AM27)),AA27+AM27,""))</f>
        <v>39576.14</v>
      </c>
      <c r="P27" s="37" t="n">
        <f aca="false">IF($A27="","",IFERROR(1/(1/IF($B27="Residential",SUMIFS(INDEX('Oxford Economics'!$A$7:$AZ$1000,0,IFERROR(MATCH(P$5,'Oxford Economics'!$A$6:$AZ$6,0),MATCH(P$5&amp;"",'Oxford Economics'!$A$6:$AZ$6,0))),'Oxford Economics'!$A$7:$A$1000,$C27,'Oxford Economics'!$B$7:$B$1000,Settings!$B$12)-SUMIFS(INDEX('Oxford Economics'!$A$7:$AZ$1000,0,IFERROR(MATCH(P$5,'Oxford Economics'!$A$6:$AZ$6,0),MATCH(P$5&amp;"",'Oxford Economics'!$A$6:$AZ$6,0))),'Oxford Economics'!$A$7:$A$1000,$C27,'Oxford Economics'!$B$7:$B$1000,Settings!$B$14),SUMIFS(INDEX('Oxford Economics'!$A$7:$AZ$1000,0,IFERROR(MATCH(P$5,'Oxford Economics'!$A$6:$AZ$6,0),MATCH(P$5&amp;"",'Oxford Economics'!$A$6:$AZ$6,0))),'Oxford Economics'!$A$7:$A$1000,$C27,'Oxford Economics'!$B$7:$B$1000,Settings!$B$14)+SUMIFS(INDEX('Oxford Economics'!$A$7:$AZ$1000,0,IFERROR(MATCH(P$5,'Oxford Economics'!$A$6:$AZ$6,0),MATCH(P$5&amp;"",'Oxford Economics'!$A$6:$AZ$6,0))),'Oxford Economics'!$A$7:$A$1000,$C27,'Oxford Economics'!$B$7:$B$1000,Settings!$B$16)+IF(Settings!$B$18="",0,SUMIFS(INDEX('Oxford Economics'!$A$7:$AZ$1000,0,IFERROR(MATCH(P$5,'Oxford Economics'!$A$6:$AZ$6,0),MATCH(P$5&amp;"",'Oxford Economics'!$A$6:$AZ$6,0))),'Oxford Economics'!$A$7:$A$1000,$C27,'Oxford Economics'!$B$7:$B$1000,Settings!$B$18)))),""))</f>
        <v>10898.99</v>
      </c>
      <c r="Q27" s="37" t="n">
        <f aca="false">IF($A27="","",IFERROR(1/(1/IF($B27="Residential",SUMIFS(INDEX('Oxford Economics'!$A$7:$AZ$1000,0,IFERROR(MATCH(Q$5,'Oxford Economics'!$A$6:$AZ$6,0),MATCH(Q$5&amp;"",'Oxford Economics'!$A$6:$AZ$6,0))),'Oxford Economics'!$A$7:$A$1000,$C27,'Oxford Economics'!$B$7:$B$1000,Settings!$B$12)-SUMIFS(INDEX('Oxford Economics'!$A$7:$AZ$1000,0,IFERROR(MATCH(Q$5,'Oxford Economics'!$A$6:$AZ$6,0),MATCH(Q$5&amp;"",'Oxford Economics'!$A$6:$AZ$6,0))),'Oxford Economics'!$A$7:$A$1000,$C27,'Oxford Economics'!$B$7:$B$1000,Settings!$B$14),SUMIFS(INDEX('Oxford Economics'!$A$7:$AZ$1000,0,IFERROR(MATCH(Q$5,'Oxford Economics'!$A$6:$AZ$6,0),MATCH(Q$5&amp;"",'Oxford Economics'!$A$6:$AZ$6,0))),'Oxford Economics'!$A$7:$A$1000,$C27,'Oxford Economics'!$B$7:$B$1000,Settings!$B$14)+SUMIFS(INDEX('Oxford Economics'!$A$7:$AZ$1000,0,IFERROR(MATCH(Q$5,'Oxford Economics'!$A$6:$AZ$6,0),MATCH(Q$5&amp;"",'Oxford Economics'!$A$6:$AZ$6,0))),'Oxford Economics'!$A$7:$A$1000,$C27,'Oxford Economics'!$B$7:$B$1000,Settings!$B$16)+IF(Settings!$B$18="",0,SUMIFS(INDEX('Oxford Economics'!$A$7:$AZ$1000,0,IFERROR(MATCH(Q$5,'Oxford Economics'!$A$6:$AZ$6,0),MATCH(Q$5&amp;"",'Oxford Economics'!$A$6:$AZ$6,0))),'Oxford Economics'!$A$7:$A$1000,$C27,'Oxford Economics'!$B$7:$B$1000,Settings!$B$18)))),""))</f>
        <v>11680.42</v>
      </c>
      <c r="R27" s="37" t="n">
        <f aca="false">IF($A27="","",IFERROR(1/(1/IF($B27="Residential",SUMIFS(INDEX('Oxford Economics'!$A$7:$AZ$1000,0,IFERROR(MATCH(R$5,'Oxford Economics'!$A$6:$AZ$6,0),MATCH(R$5&amp;"",'Oxford Economics'!$A$6:$AZ$6,0))),'Oxford Economics'!$A$7:$A$1000,$C27,'Oxford Economics'!$B$7:$B$1000,Settings!$B$12)-SUMIFS(INDEX('Oxford Economics'!$A$7:$AZ$1000,0,IFERROR(MATCH(R$5,'Oxford Economics'!$A$6:$AZ$6,0),MATCH(R$5&amp;"",'Oxford Economics'!$A$6:$AZ$6,0))),'Oxford Economics'!$A$7:$A$1000,$C27,'Oxford Economics'!$B$7:$B$1000,Settings!$B$14),SUMIFS(INDEX('Oxford Economics'!$A$7:$AZ$1000,0,IFERROR(MATCH(R$5,'Oxford Economics'!$A$6:$AZ$6,0),MATCH(R$5&amp;"",'Oxford Economics'!$A$6:$AZ$6,0))),'Oxford Economics'!$A$7:$A$1000,$C27,'Oxford Economics'!$B$7:$B$1000,Settings!$B$14)+SUMIFS(INDEX('Oxford Economics'!$A$7:$AZ$1000,0,IFERROR(MATCH(R$5,'Oxford Economics'!$A$6:$AZ$6,0),MATCH(R$5&amp;"",'Oxford Economics'!$A$6:$AZ$6,0))),'Oxford Economics'!$A$7:$A$1000,$C27,'Oxford Economics'!$B$7:$B$1000,Settings!$B$16)+IF(Settings!$B$18="",0,SUMIFS(INDEX('Oxford Economics'!$A$7:$AZ$1000,0,IFERROR(MATCH(R$5,'Oxford Economics'!$A$6:$AZ$6,0),MATCH(R$5&amp;"",'Oxford Economics'!$A$6:$AZ$6,0))),'Oxford Economics'!$A$7:$A$1000,$C27,'Oxford Economics'!$B$7:$B$1000,Settings!$B$18)))),""))</f>
        <v>11928.08</v>
      </c>
      <c r="S27" s="37" t="n">
        <f aca="false">IF($A27="","",IFERROR(1/(1/IF($B27="Residential",SUMIFS(INDEX('Oxford Economics'!$A$7:$AZ$1000,0,IFERROR(MATCH(S$5,'Oxford Economics'!$A$6:$AZ$6,0),MATCH(S$5&amp;"",'Oxford Economics'!$A$6:$AZ$6,0))),'Oxford Economics'!$A$7:$A$1000,$C27,'Oxford Economics'!$B$7:$B$1000,Settings!$B$12)-SUMIFS(INDEX('Oxford Economics'!$A$7:$AZ$1000,0,IFERROR(MATCH(S$5,'Oxford Economics'!$A$6:$AZ$6,0),MATCH(S$5&amp;"",'Oxford Economics'!$A$6:$AZ$6,0))),'Oxford Economics'!$A$7:$A$1000,$C27,'Oxford Economics'!$B$7:$B$1000,Settings!$B$14),SUMIFS(INDEX('Oxford Economics'!$A$7:$AZ$1000,0,IFERROR(MATCH(S$5,'Oxford Economics'!$A$6:$AZ$6,0),MATCH(S$5&amp;"",'Oxford Economics'!$A$6:$AZ$6,0))),'Oxford Economics'!$A$7:$A$1000,$C27,'Oxford Economics'!$B$7:$B$1000,Settings!$B$14)+SUMIFS(INDEX('Oxford Economics'!$A$7:$AZ$1000,0,IFERROR(MATCH(S$5,'Oxford Economics'!$A$6:$AZ$6,0),MATCH(S$5&amp;"",'Oxford Economics'!$A$6:$AZ$6,0))),'Oxford Economics'!$A$7:$A$1000,$C27,'Oxford Economics'!$B$7:$B$1000,Settings!$B$16)+IF(Settings!$B$18="",0,SUMIFS(INDEX('Oxford Economics'!$A$7:$AZ$1000,0,IFERROR(MATCH(S$5,'Oxford Economics'!$A$6:$AZ$6,0),MATCH(S$5&amp;"",'Oxford Economics'!$A$6:$AZ$6,0))),'Oxford Economics'!$A$7:$A$1000,$C27,'Oxford Economics'!$B$7:$B$1000,Settings!$B$18)))),""))</f>
        <v>11824.3</v>
      </c>
      <c r="T27" s="37" t="n">
        <f aca="false">IF($A27="","",IFERROR(1/(1/IF($B27="Residential",SUMIFS(INDEX('Oxford Economics'!$A$7:$AZ$1000,0,IFERROR(MATCH(T$5,'Oxford Economics'!$A$6:$AZ$6,0),MATCH(T$5&amp;"",'Oxford Economics'!$A$6:$AZ$6,0))),'Oxford Economics'!$A$7:$A$1000,$C27,'Oxford Economics'!$B$7:$B$1000,Settings!$B$12)-SUMIFS(INDEX('Oxford Economics'!$A$7:$AZ$1000,0,IFERROR(MATCH(T$5,'Oxford Economics'!$A$6:$AZ$6,0),MATCH(T$5&amp;"",'Oxford Economics'!$A$6:$AZ$6,0))),'Oxford Economics'!$A$7:$A$1000,$C27,'Oxford Economics'!$B$7:$B$1000,Settings!$B$14),SUMIFS(INDEX('Oxford Economics'!$A$7:$AZ$1000,0,IFERROR(MATCH(T$5,'Oxford Economics'!$A$6:$AZ$6,0),MATCH(T$5&amp;"",'Oxford Economics'!$A$6:$AZ$6,0))),'Oxford Economics'!$A$7:$A$1000,$C27,'Oxford Economics'!$B$7:$B$1000,Settings!$B$14)+SUMIFS(INDEX('Oxford Economics'!$A$7:$AZ$1000,0,IFERROR(MATCH(T$5,'Oxford Economics'!$A$6:$AZ$6,0),MATCH(T$5&amp;"",'Oxford Economics'!$A$6:$AZ$6,0))),'Oxford Economics'!$A$7:$A$1000,$C27,'Oxford Economics'!$B$7:$B$1000,Settings!$B$16)+IF(Settings!$B$18="",0,SUMIFS(INDEX('Oxford Economics'!$A$7:$AZ$1000,0,IFERROR(MATCH(T$5,'Oxford Economics'!$A$6:$AZ$6,0),MATCH(T$5&amp;"",'Oxford Economics'!$A$6:$AZ$6,0))),'Oxford Economics'!$A$7:$A$1000,$C27,'Oxford Economics'!$B$7:$B$1000,Settings!$B$18)))),""))</f>
        <v>11812.62</v>
      </c>
      <c r="U27" s="37" t="n">
        <f aca="false">IF($A27="","",IFERROR(1/(1/IF($B27="Residential",SUMIFS(INDEX('Oxford Economics'!$A$7:$AZ$1000,0,IFERROR(MATCH(U$5,'Oxford Economics'!$A$6:$AZ$6,0),MATCH(U$5&amp;"",'Oxford Economics'!$A$6:$AZ$6,0))),'Oxford Economics'!$A$7:$A$1000,$C27,'Oxford Economics'!$B$7:$B$1000,Settings!$B$12)-SUMIFS(INDEX('Oxford Economics'!$A$7:$AZ$1000,0,IFERROR(MATCH(U$5,'Oxford Economics'!$A$6:$AZ$6,0),MATCH(U$5&amp;"",'Oxford Economics'!$A$6:$AZ$6,0))),'Oxford Economics'!$A$7:$A$1000,$C27,'Oxford Economics'!$B$7:$B$1000,Settings!$B$14),SUMIFS(INDEX('Oxford Economics'!$A$7:$AZ$1000,0,IFERROR(MATCH(U$5,'Oxford Economics'!$A$6:$AZ$6,0),MATCH(U$5&amp;"",'Oxford Economics'!$A$6:$AZ$6,0))),'Oxford Economics'!$A$7:$A$1000,$C27,'Oxford Economics'!$B$7:$B$1000,Settings!$B$14)+SUMIFS(INDEX('Oxford Economics'!$A$7:$AZ$1000,0,IFERROR(MATCH(U$5,'Oxford Economics'!$A$6:$AZ$6,0),MATCH(U$5&amp;"",'Oxford Economics'!$A$6:$AZ$6,0))),'Oxford Economics'!$A$7:$A$1000,$C27,'Oxford Economics'!$B$7:$B$1000,Settings!$B$16)+IF(Settings!$B$18="",0,SUMIFS(INDEX('Oxford Economics'!$A$7:$AZ$1000,0,IFERROR(MATCH(U$5,'Oxford Economics'!$A$6:$AZ$6,0),MATCH(U$5&amp;"",'Oxford Economics'!$A$6:$AZ$6,0))),'Oxford Economics'!$A$7:$A$1000,$C27,'Oxford Economics'!$B$7:$B$1000,Settings!$B$18)))),""))</f>
        <v>11664.33</v>
      </c>
      <c r="V27" s="37" t="n">
        <f aca="false">IF($A27="","",IFERROR(1/(1/IF($B27="Residential",SUMIFS(INDEX('Oxford Economics'!$A$7:$AZ$1000,0,IFERROR(MATCH(V$5,'Oxford Economics'!$A$6:$AZ$6,0),MATCH(V$5&amp;"",'Oxford Economics'!$A$6:$AZ$6,0))),'Oxford Economics'!$A$7:$A$1000,$C27,'Oxford Economics'!$B$7:$B$1000,Settings!$B$12)-SUMIFS(INDEX('Oxford Economics'!$A$7:$AZ$1000,0,IFERROR(MATCH(V$5,'Oxford Economics'!$A$6:$AZ$6,0),MATCH(V$5&amp;"",'Oxford Economics'!$A$6:$AZ$6,0))),'Oxford Economics'!$A$7:$A$1000,$C27,'Oxford Economics'!$B$7:$B$1000,Settings!$B$14),SUMIFS(INDEX('Oxford Economics'!$A$7:$AZ$1000,0,IFERROR(MATCH(V$5,'Oxford Economics'!$A$6:$AZ$6,0),MATCH(V$5&amp;"",'Oxford Economics'!$A$6:$AZ$6,0))),'Oxford Economics'!$A$7:$A$1000,$C27,'Oxford Economics'!$B$7:$B$1000,Settings!$B$14)+SUMIFS(INDEX('Oxford Economics'!$A$7:$AZ$1000,0,IFERROR(MATCH(V$5,'Oxford Economics'!$A$6:$AZ$6,0),MATCH(V$5&amp;"",'Oxford Economics'!$A$6:$AZ$6,0))),'Oxford Economics'!$A$7:$A$1000,$C27,'Oxford Economics'!$B$7:$B$1000,Settings!$B$16)+IF(Settings!$B$18="",0,SUMIFS(INDEX('Oxford Economics'!$A$7:$AZ$1000,0,IFERROR(MATCH(V$5,'Oxford Economics'!$A$6:$AZ$6,0),MATCH(V$5&amp;"",'Oxford Economics'!$A$6:$AZ$6,0))),'Oxford Economics'!$A$7:$A$1000,$C27,'Oxford Economics'!$B$7:$B$1000,Settings!$B$18)))),""))</f>
        <v>11407.7</v>
      </c>
      <c r="W27" s="37" t="n">
        <f aca="false">IF($A27="","",IFERROR(1/(1/IF($B27="Residential",SUMIFS(INDEX('Oxford Economics'!$A$7:$AZ$1000,0,IFERROR(MATCH(W$5,'Oxford Economics'!$A$6:$AZ$6,0),MATCH(W$5&amp;"",'Oxford Economics'!$A$6:$AZ$6,0))),'Oxford Economics'!$A$7:$A$1000,$C27,'Oxford Economics'!$B$7:$B$1000,Settings!$B$12)-SUMIFS(INDEX('Oxford Economics'!$A$7:$AZ$1000,0,IFERROR(MATCH(W$5,'Oxford Economics'!$A$6:$AZ$6,0),MATCH(W$5&amp;"",'Oxford Economics'!$A$6:$AZ$6,0))),'Oxford Economics'!$A$7:$A$1000,$C27,'Oxford Economics'!$B$7:$B$1000,Settings!$B$14),SUMIFS(INDEX('Oxford Economics'!$A$7:$AZ$1000,0,IFERROR(MATCH(W$5,'Oxford Economics'!$A$6:$AZ$6,0),MATCH(W$5&amp;"",'Oxford Economics'!$A$6:$AZ$6,0))),'Oxford Economics'!$A$7:$A$1000,$C27,'Oxford Economics'!$B$7:$B$1000,Settings!$B$14)+SUMIFS(INDEX('Oxford Economics'!$A$7:$AZ$1000,0,IFERROR(MATCH(W$5,'Oxford Economics'!$A$6:$AZ$6,0),MATCH(W$5&amp;"",'Oxford Economics'!$A$6:$AZ$6,0))),'Oxford Economics'!$A$7:$A$1000,$C27,'Oxford Economics'!$B$7:$B$1000,Settings!$B$16)+IF(Settings!$B$18="",0,SUMIFS(INDEX('Oxford Economics'!$A$7:$AZ$1000,0,IFERROR(MATCH(W$5,'Oxford Economics'!$A$6:$AZ$6,0),MATCH(W$5&amp;"",'Oxford Economics'!$A$6:$AZ$6,0))),'Oxford Economics'!$A$7:$A$1000,$C27,'Oxford Economics'!$B$7:$B$1000,Settings!$B$18)))),""))</f>
        <v>11452.77</v>
      </c>
      <c r="X27" s="37" t="n">
        <f aca="false">IF($A27="","",IFERROR(1/(1/IF($B27="Residential",SUMIFS(INDEX('Oxford Economics'!$A$7:$AZ$1000,0,IFERROR(MATCH(X$5,'Oxford Economics'!$A$6:$AZ$6,0),MATCH(X$5&amp;"",'Oxford Economics'!$A$6:$AZ$6,0))),'Oxford Economics'!$A$7:$A$1000,$C27,'Oxford Economics'!$B$7:$B$1000,Settings!$B$12)-SUMIFS(INDEX('Oxford Economics'!$A$7:$AZ$1000,0,IFERROR(MATCH(X$5,'Oxford Economics'!$A$6:$AZ$6,0),MATCH(X$5&amp;"",'Oxford Economics'!$A$6:$AZ$6,0))),'Oxford Economics'!$A$7:$A$1000,$C27,'Oxford Economics'!$B$7:$B$1000,Settings!$B$14),SUMIFS(INDEX('Oxford Economics'!$A$7:$AZ$1000,0,IFERROR(MATCH(X$5,'Oxford Economics'!$A$6:$AZ$6,0),MATCH(X$5&amp;"",'Oxford Economics'!$A$6:$AZ$6,0))),'Oxford Economics'!$A$7:$A$1000,$C27,'Oxford Economics'!$B$7:$B$1000,Settings!$B$14)+SUMIFS(INDEX('Oxford Economics'!$A$7:$AZ$1000,0,IFERROR(MATCH(X$5,'Oxford Economics'!$A$6:$AZ$6,0),MATCH(X$5&amp;"",'Oxford Economics'!$A$6:$AZ$6,0))),'Oxford Economics'!$A$7:$A$1000,$C27,'Oxford Economics'!$B$7:$B$1000,Settings!$B$16)+IF(Settings!$B$18="",0,SUMIFS(INDEX('Oxford Economics'!$A$7:$AZ$1000,0,IFERROR(MATCH(X$5,'Oxford Economics'!$A$6:$AZ$6,0),MATCH(X$5&amp;"",'Oxford Economics'!$A$6:$AZ$6,0))),'Oxford Economics'!$A$7:$A$1000,$C27,'Oxford Economics'!$B$7:$B$1000,Settings!$B$18)))),""))</f>
        <v>11648.99</v>
      </c>
      <c r="Y27" s="37" t="n">
        <f aca="false">IF($A27="","",IFERROR(1/(1/IF($B27="Residential",SUMIFS(INDEX('Oxford Economics'!$A$7:$AZ$1000,0,IFERROR(MATCH(Y$5,'Oxford Economics'!$A$6:$AZ$6,0),MATCH(Y$5&amp;"",'Oxford Economics'!$A$6:$AZ$6,0))),'Oxford Economics'!$A$7:$A$1000,$C27,'Oxford Economics'!$B$7:$B$1000,Settings!$B$12)-SUMIFS(INDEX('Oxford Economics'!$A$7:$AZ$1000,0,IFERROR(MATCH(Y$5,'Oxford Economics'!$A$6:$AZ$6,0),MATCH(Y$5&amp;"",'Oxford Economics'!$A$6:$AZ$6,0))),'Oxford Economics'!$A$7:$A$1000,$C27,'Oxford Economics'!$B$7:$B$1000,Settings!$B$14),SUMIFS(INDEX('Oxford Economics'!$A$7:$AZ$1000,0,IFERROR(MATCH(Y$5,'Oxford Economics'!$A$6:$AZ$6,0),MATCH(Y$5&amp;"",'Oxford Economics'!$A$6:$AZ$6,0))),'Oxford Economics'!$A$7:$A$1000,$C27,'Oxford Economics'!$B$7:$B$1000,Settings!$B$14)+SUMIFS(INDEX('Oxford Economics'!$A$7:$AZ$1000,0,IFERROR(MATCH(Y$5,'Oxford Economics'!$A$6:$AZ$6,0),MATCH(Y$5&amp;"",'Oxford Economics'!$A$6:$AZ$6,0))),'Oxford Economics'!$A$7:$A$1000,$C27,'Oxford Economics'!$B$7:$B$1000,Settings!$B$16)+IF(Settings!$B$18="",0,SUMIFS(INDEX('Oxford Economics'!$A$7:$AZ$1000,0,IFERROR(MATCH(Y$5,'Oxford Economics'!$A$6:$AZ$6,0),MATCH(Y$5&amp;"",'Oxford Economics'!$A$6:$AZ$6,0))),'Oxford Economics'!$A$7:$A$1000,$C27,'Oxford Economics'!$B$7:$B$1000,Settings!$B$18)))),""))</f>
        <v>11734.78</v>
      </c>
      <c r="Z27" s="37" t="n">
        <f aca="false">IF($A27="","",IFERROR(1/(1/IF($B27="Residential",SUMIFS(INDEX('Oxford Economics'!$A$7:$AZ$1000,0,IFERROR(MATCH(Z$5,'Oxford Economics'!$A$6:$AZ$6,0),MATCH(Z$5&amp;"",'Oxford Economics'!$A$6:$AZ$6,0))),'Oxford Economics'!$A$7:$A$1000,$C27,'Oxford Economics'!$B$7:$B$1000,Settings!$B$12)-SUMIFS(INDEX('Oxford Economics'!$A$7:$AZ$1000,0,IFERROR(MATCH(Z$5,'Oxford Economics'!$A$6:$AZ$6,0),MATCH(Z$5&amp;"",'Oxford Economics'!$A$6:$AZ$6,0))),'Oxford Economics'!$A$7:$A$1000,$C27,'Oxford Economics'!$B$7:$B$1000,Settings!$B$14),SUMIFS(INDEX('Oxford Economics'!$A$7:$AZ$1000,0,IFERROR(MATCH(Z$5,'Oxford Economics'!$A$6:$AZ$6,0),MATCH(Z$5&amp;"",'Oxford Economics'!$A$6:$AZ$6,0))),'Oxford Economics'!$A$7:$A$1000,$C27,'Oxford Economics'!$B$7:$B$1000,Settings!$B$14)+SUMIFS(INDEX('Oxford Economics'!$A$7:$AZ$1000,0,IFERROR(MATCH(Z$5,'Oxford Economics'!$A$6:$AZ$6,0),MATCH(Z$5&amp;"",'Oxford Economics'!$A$6:$AZ$6,0))),'Oxford Economics'!$A$7:$A$1000,$C27,'Oxford Economics'!$B$7:$B$1000,Settings!$B$16)+IF(Settings!$B$18="",0,SUMIFS(INDEX('Oxford Economics'!$A$7:$AZ$1000,0,IFERROR(MATCH(Z$5,'Oxford Economics'!$A$6:$AZ$6,0),MATCH(Z$5&amp;"",'Oxford Economics'!$A$6:$AZ$6,0))),'Oxford Economics'!$A$7:$A$1000,$C27,'Oxford Economics'!$B$7:$B$1000,Settings!$B$18)))),""))</f>
        <v>11792.48</v>
      </c>
      <c r="AA27" s="37" t="n">
        <f aca="false">IF($A27="","",IFERROR(1/(1/IF($B27="Residential",SUMIFS(INDEX('Oxford Economics'!$A$7:$AZ$1000,0,IFERROR(MATCH(AA$5,'Oxford Economics'!$A$6:$AZ$6,0),MATCH(AA$5&amp;"",'Oxford Economics'!$A$6:$AZ$6,0))),'Oxford Economics'!$A$7:$A$1000,$C27,'Oxford Economics'!$B$7:$B$1000,Settings!$B$12)-SUMIFS(INDEX('Oxford Economics'!$A$7:$AZ$1000,0,IFERROR(MATCH(AA$5,'Oxford Economics'!$A$6:$AZ$6,0),MATCH(AA$5&amp;"",'Oxford Economics'!$A$6:$AZ$6,0))),'Oxford Economics'!$A$7:$A$1000,$C27,'Oxford Economics'!$B$7:$B$1000,Settings!$B$14),SUMIFS(INDEX('Oxford Economics'!$A$7:$AZ$1000,0,IFERROR(MATCH(AA$5,'Oxford Economics'!$A$6:$AZ$6,0),MATCH(AA$5&amp;"",'Oxford Economics'!$A$6:$AZ$6,0))),'Oxford Economics'!$A$7:$A$1000,$C27,'Oxford Economics'!$B$7:$B$1000,Settings!$B$14)+SUMIFS(INDEX('Oxford Economics'!$A$7:$AZ$1000,0,IFERROR(MATCH(AA$5,'Oxford Economics'!$A$6:$AZ$6,0),MATCH(AA$5&amp;"",'Oxford Economics'!$A$6:$AZ$6,0))),'Oxford Economics'!$A$7:$A$1000,$C27,'Oxford Economics'!$B$7:$B$1000,Settings!$B$16)+IF(Settings!$B$18="",0,SUMIFS(INDEX('Oxford Economics'!$A$7:$AZ$1000,0,IFERROR(MATCH(AA$5,'Oxford Economics'!$A$6:$AZ$6,0),MATCH(AA$5&amp;"",'Oxford Economics'!$A$6:$AZ$6,0))),'Oxford Economics'!$A$7:$A$1000,$C27,'Oxford Economics'!$B$7:$B$1000,Settings!$B$18)))),""))</f>
        <v>11942.62</v>
      </c>
      <c r="AB27" s="37" t="n">
        <f aca="false">IF($A27="","",IFERROR(1/(1/IF($B27="Residential",SUMIFS(INDEX('Oxford Economics'!$A$7:$AZ$1000,0,IFERROR(MATCH(AB$5,'Oxford Economics'!$A$6:$AZ$6,0),MATCH(AB$5&amp;"",'Oxford Economics'!$A$6:$AZ$6,0))),'Oxford Economics'!$A$7:$A$1000,$C27,'Oxford Economics'!$B$7:$B$1000,Settings!$B$11)-SUMIFS(INDEX('Oxford Economics'!$A$7:$AZ$1000,0,IFERROR(MATCH(AB$5,'Oxford Economics'!$A$6:$AZ$6,0),MATCH(AB$5&amp;"",'Oxford Economics'!$A$6:$AZ$6,0))),'Oxford Economics'!$A$7:$A$1000,$C27,'Oxford Economics'!$B$7:$B$1000,Settings!$B$13),SUMIFS(INDEX('Oxford Economics'!$A$7:$AZ$1000,0,IFERROR(MATCH(AB$5,'Oxford Economics'!$A$6:$AZ$6,0),MATCH(AB$5&amp;"",'Oxford Economics'!$A$6:$AZ$6,0))),'Oxford Economics'!$A$7:$A$1000,$C27,'Oxford Economics'!$B$7:$B$1000,Settings!$B$13)+SUMIFS(INDEX('Oxford Economics'!$A$7:$AZ$1000,0,IFERROR(MATCH(AB$5,'Oxford Economics'!$A$6:$AZ$6,0),MATCH(AB$5&amp;"",'Oxford Economics'!$A$6:$AZ$6,0))),'Oxford Economics'!$A$7:$A$1000,$C27,'Oxford Economics'!$B$7:$B$1000,Settings!$B$15)+IF(Settings!$B$17="",0,SUMIFS(INDEX('Oxford Economics'!$A$7:$AZ$1000,0,IFERROR(MATCH(AB$5,'Oxford Economics'!$A$6:$AZ$6,0),MATCH(AB$5&amp;"",'Oxford Economics'!$A$6:$AZ$6,0))),'Oxford Economics'!$A$7:$A$1000,$C27,'Oxford Economics'!$B$7:$B$1000,Settings!$B$17)))),""))</f>
        <v>23046.31</v>
      </c>
      <c r="AC27" s="37" t="n">
        <f aca="false">IF($A27="","",IFERROR(1/(1/IF($B27="Residential",SUMIFS(INDEX('Oxford Economics'!$A$7:$AZ$1000,0,IFERROR(MATCH(AC$5,'Oxford Economics'!$A$6:$AZ$6,0),MATCH(AC$5&amp;"",'Oxford Economics'!$A$6:$AZ$6,0))),'Oxford Economics'!$A$7:$A$1000,$C27,'Oxford Economics'!$B$7:$B$1000,Settings!$B$11)-SUMIFS(INDEX('Oxford Economics'!$A$7:$AZ$1000,0,IFERROR(MATCH(AC$5,'Oxford Economics'!$A$6:$AZ$6,0),MATCH(AC$5&amp;"",'Oxford Economics'!$A$6:$AZ$6,0))),'Oxford Economics'!$A$7:$A$1000,$C27,'Oxford Economics'!$B$7:$B$1000,Settings!$B$13),SUMIFS(INDEX('Oxford Economics'!$A$7:$AZ$1000,0,IFERROR(MATCH(AC$5,'Oxford Economics'!$A$6:$AZ$6,0),MATCH(AC$5&amp;"",'Oxford Economics'!$A$6:$AZ$6,0))),'Oxford Economics'!$A$7:$A$1000,$C27,'Oxford Economics'!$B$7:$B$1000,Settings!$B$13)+SUMIFS(INDEX('Oxford Economics'!$A$7:$AZ$1000,0,IFERROR(MATCH(AC$5,'Oxford Economics'!$A$6:$AZ$6,0),MATCH(AC$5&amp;"",'Oxford Economics'!$A$6:$AZ$6,0))),'Oxford Economics'!$A$7:$A$1000,$C27,'Oxford Economics'!$B$7:$B$1000,Settings!$B$15)+IF(Settings!$B$17="",0,SUMIFS(INDEX('Oxford Economics'!$A$7:$AZ$1000,0,IFERROR(MATCH(AC$5,'Oxford Economics'!$A$6:$AZ$6,0),MATCH(AC$5&amp;"",'Oxford Economics'!$A$6:$AZ$6,0))),'Oxford Economics'!$A$7:$A$1000,$C27,'Oxford Economics'!$B$7:$B$1000,Settings!$B$17)))),""))</f>
        <v>22898.49</v>
      </c>
      <c r="AD27" s="37" t="n">
        <f aca="false">IF($A27="","",IFERROR(1/(1/IF($B27="Residential",SUMIFS(INDEX('Oxford Economics'!$A$7:$AZ$1000,0,IFERROR(MATCH(AD$5,'Oxford Economics'!$A$6:$AZ$6,0),MATCH(AD$5&amp;"",'Oxford Economics'!$A$6:$AZ$6,0))),'Oxford Economics'!$A$7:$A$1000,$C27,'Oxford Economics'!$B$7:$B$1000,Settings!$B$11)-SUMIFS(INDEX('Oxford Economics'!$A$7:$AZ$1000,0,IFERROR(MATCH(AD$5,'Oxford Economics'!$A$6:$AZ$6,0),MATCH(AD$5&amp;"",'Oxford Economics'!$A$6:$AZ$6,0))),'Oxford Economics'!$A$7:$A$1000,$C27,'Oxford Economics'!$B$7:$B$1000,Settings!$B$13),SUMIFS(INDEX('Oxford Economics'!$A$7:$AZ$1000,0,IFERROR(MATCH(AD$5,'Oxford Economics'!$A$6:$AZ$6,0),MATCH(AD$5&amp;"",'Oxford Economics'!$A$6:$AZ$6,0))),'Oxford Economics'!$A$7:$A$1000,$C27,'Oxford Economics'!$B$7:$B$1000,Settings!$B$13)+SUMIFS(INDEX('Oxford Economics'!$A$7:$AZ$1000,0,IFERROR(MATCH(AD$5,'Oxford Economics'!$A$6:$AZ$6,0),MATCH(AD$5&amp;"",'Oxford Economics'!$A$6:$AZ$6,0))),'Oxford Economics'!$A$7:$A$1000,$C27,'Oxford Economics'!$B$7:$B$1000,Settings!$B$15)+IF(Settings!$B$17="",0,SUMIFS(INDEX('Oxford Economics'!$A$7:$AZ$1000,0,IFERROR(MATCH(AD$5,'Oxford Economics'!$A$6:$AZ$6,0),MATCH(AD$5&amp;"",'Oxford Economics'!$A$6:$AZ$6,0))),'Oxford Economics'!$A$7:$A$1000,$C27,'Oxford Economics'!$B$7:$B$1000,Settings!$B$17)))),""))</f>
        <v>21890.47</v>
      </c>
      <c r="AE27" s="37" t="n">
        <f aca="false">IF($A27="","",IFERROR(1/(1/IF($B27="Residential",SUMIFS(INDEX('Oxford Economics'!$A$7:$AZ$1000,0,IFERROR(MATCH(AE$5,'Oxford Economics'!$A$6:$AZ$6,0),MATCH(AE$5&amp;"",'Oxford Economics'!$A$6:$AZ$6,0))),'Oxford Economics'!$A$7:$A$1000,$C27,'Oxford Economics'!$B$7:$B$1000,Settings!$B$11)-SUMIFS(INDEX('Oxford Economics'!$A$7:$AZ$1000,0,IFERROR(MATCH(AE$5,'Oxford Economics'!$A$6:$AZ$6,0),MATCH(AE$5&amp;"",'Oxford Economics'!$A$6:$AZ$6,0))),'Oxford Economics'!$A$7:$A$1000,$C27,'Oxford Economics'!$B$7:$B$1000,Settings!$B$13),SUMIFS(INDEX('Oxford Economics'!$A$7:$AZ$1000,0,IFERROR(MATCH(AE$5,'Oxford Economics'!$A$6:$AZ$6,0),MATCH(AE$5&amp;"",'Oxford Economics'!$A$6:$AZ$6,0))),'Oxford Economics'!$A$7:$A$1000,$C27,'Oxford Economics'!$B$7:$B$1000,Settings!$B$13)+SUMIFS(INDEX('Oxford Economics'!$A$7:$AZ$1000,0,IFERROR(MATCH(AE$5,'Oxford Economics'!$A$6:$AZ$6,0),MATCH(AE$5&amp;"",'Oxford Economics'!$A$6:$AZ$6,0))),'Oxford Economics'!$A$7:$A$1000,$C27,'Oxford Economics'!$B$7:$B$1000,Settings!$B$15)+IF(Settings!$B$17="",0,SUMIFS(INDEX('Oxford Economics'!$A$7:$AZ$1000,0,IFERROR(MATCH(AE$5,'Oxford Economics'!$A$6:$AZ$6,0),MATCH(AE$5&amp;"",'Oxford Economics'!$A$6:$AZ$6,0))),'Oxford Economics'!$A$7:$A$1000,$C27,'Oxford Economics'!$B$7:$B$1000,Settings!$B$17)))),""))</f>
        <v>21265.75</v>
      </c>
      <c r="AF27" s="37" t="n">
        <f aca="false">IF($A27="","",IFERROR(1/(1/IF($B27="Residential",SUMIFS(INDEX('Oxford Economics'!$A$7:$AZ$1000,0,IFERROR(MATCH(AF$5,'Oxford Economics'!$A$6:$AZ$6,0),MATCH(AF$5&amp;"",'Oxford Economics'!$A$6:$AZ$6,0))),'Oxford Economics'!$A$7:$A$1000,$C27,'Oxford Economics'!$B$7:$B$1000,Settings!$B$11)-SUMIFS(INDEX('Oxford Economics'!$A$7:$AZ$1000,0,IFERROR(MATCH(AF$5,'Oxford Economics'!$A$6:$AZ$6,0),MATCH(AF$5&amp;"",'Oxford Economics'!$A$6:$AZ$6,0))),'Oxford Economics'!$A$7:$A$1000,$C27,'Oxford Economics'!$B$7:$B$1000,Settings!$B$13),SUMIFS(INDEX('Oxford Economics'!$A$7:$AZ$1000,0,IFERROR(MATCH(AF$5,'Oxford Economics'!$A$6:$AZ$6,0),MATCH(AF$5&amp;"",'Oxford Economics'!$A$6:$AZ$6,0))),'Oxford Economics'!$A$7:$A$1000,$C27,'Oxford Economics'!$B$7:$B$1000,Settings!$B$13)+SUMIFS(INDEX('Oxford Economics'!$A$7:$AZ$1000,0,IFERROR(MATCH(AF$5,'Oxford Economics'!$A$6:$AZ$6,0),MATCH(AF$5&amp;"",'Oxford Economics'!$A$6:$AZ$6,0))),'Oxford Economics'!$A$7:$A$1000,$C27,'Oxford Economics'!$B$7:$B$1000,Settings!$B$15)+IF(Settings!$B$17="",0,SUMIFS(INDEX('Oxford Economics'!$A$7:$AZ$1000,0,IFERROR(MATCH(AF$5,'Oxford Economics'!$A$6:$AZ$6,0),MATCH(AF$5&amp;"",'Oxford Economics'!$A$6:$AZ$6,0))),'Oxford Economics'!$A$7:$A$1000,$C27,'Oxford Economics'!$B$7:$B$1000,Settings!$B$17)))),""))</f>
        <v>21014.39</v>
      </c>
      <c r="AG27" s="37" t="n">
        <f aca="false">IF($A27="","",IFERROR(1/(1/IF($B27="Residential",SUMIFS(INDEX('Oxford Economics'!$A$7:$AZ$1000,0,IFERROR(MATCH(AG$5,'Oxford Economics'!$A$6:$AZ$6,0),MATCH(AG$5&amp;"",'Oxford Economics'!$A$6:$AZ$6,0))),'Oxford Economics'!$A$7:$A$1000,$C27,'Oxford Economics'!$B$7:$B$1000,Settings!$B$11)-SUMIFS(INDEX('Oxford Economics'!$A$7:$AZ$1000,0,IFERROR(MATCH(AG$5,'Oxford Economics'!$A$6:$AZ$6,0),MATCH(AG$5&amp;"",'Oxford Economics'!$A$6:$AZ$6,0))),'Oxford Economics'!$A$7:$A$1000,$C27,'Oxford Economics'!$B$7:$B$1000,Settings!$B$13),SUMIFS(INDEX('Oxford Economics'!$A$7:$AZ$1000,0,IFERROR(MATCH(AG$5,'Oxford Economics'!$A$6:$AZ$6,0),MATCH(AG$5&amp;"",'Oxford Economics'!$A$6:$AZ$6,0))),'Oxford Economics'!$A$7:$A$1000,$C27,'Oxford Economics'!$B$7:$B$1000,Settings!$B$13)+SUMIFS(INDEX('Oxford Economics'!$A$7:$AZ$1000,0,IFERROR(MATCH(AG$5,'Oxford Economics'!$A$6:$AZ$6,0),MATCH(AG$5&amp;"",'Oxford Economics'!$A$6:$AZ$6,0))),'Oxford Economics'!$A$7:$A$1000,$C27,'Oxford Economics'!$B$7:$B$1000,Settings!$B$15)+IF(Settings!$B$17="",0,SUMIFS(INDEX('Oxford Economics'!$A$7:$AZ$1000,0,IFERROR(MATCH(AG$5,'Oxford Economics'!$A$6:$AZ$6,0),MATCH(AG$5&amp;"",'Oxford Economics'!$A$6:$AZ$6,0))),'Oxford Economics'!$A$7:$A$1000,$C27,'Oxford Economics'!$B$7:$B$1000,Settings!$B$17)))),""))</f>
        <v>21937.89</v>
      </c>
      <c r="AH27" s="37" t="n">
        <f aca="false">IF($A27="","",IFERROR(1/(1/IF($B27="Residential",SUMIFS(INDEX('Oxford Economics'!$A$7:$AZ$1000,0,IFERROR(MATCH(AH$5,'Oxford Economics'!$A$6:$AZ$6,0),MATCH(AH$5&amp;"",'Oxford Economics'!$A$6:$AZ$6,0))),'Oxford Economics'!$A$7:$A$1000,$C27,'Oxford Economics'!$B$7:$B$1000,Settings!$B$11)-SUMIFS(INDEX('Oxford Economics'!$A$7:$AZ$1000,0,IFERROR(MATCH(AH$5,'Oxford Economics'!$A$6:$AZ$6,0),MATCH(AH$5&amp;"",'Oxford Economics'!$A$6:$AZ$6,0))),'Oxford Economics'!$A$7:$A$1000,$C27,'Oxford Economics'!$B$7:$B$1000,Settings!$B$13),SUMIFS(INDEX('Oxford Economics'!$A$7:$AZ$1000,0,IFERROR(MATCH(AH$5,'Oxford Economics'!$A$6:$AZ$6,0),MATCH(AH$5&amp;"",'Oxford Economics'!$A$6:$AZ$6,0))),'Oxford Economics'!$A$7:$A$1000,$C27,'Oxford Economics'!$B$7:$B$1000,Settings!$B$13)+SUMIFS(INDEX('Oxford Economics'!$A$7:$AZ$1000,0,IFERROR(MATCH(AH$5,'Oxford Economics'!$A$6:$AZ$6,0),MATCH(AH$5&amp;"",'Oxford Economics'!$A$6:$AZ$6,0))),'Oxford Economics'!$A$7:$A$1000,$C27,'Oxford Economics'!$B$7:$B$1000,Settings!$B$15)+IF(Settings!$B$17="",0,SUMIFS(INDEX('Oxford Economics'!$A$7:$AZ$1000,0,IFERROR(MATCH(AH$5,'Oxford Economics'!$A$6:$AZ$6,0),MATCH(AH$5&amp;"",'Oxford Economics'!$A$6:$AZ$6,0))),'Oxford Economics'!$A$7:$A$1000,$C27,'Oxford Economics'!$B$7:$B$1000,Settings!$B$17)))),""))</f>
        <v>22946.99</v>
      </c>
      <c r="AI27" s="37" t="n">
        <f aca="false">IF($A27="","",IFERROR(1/(1/IF($B27="Residential",SUMIFS(INDEX('Oxford Economics'!$A$7:$AZ$1000,0,IFERROR(MATCH(AI$5,'Oxford Economics'!$A$6:$AZ$6,0),MATCH(AI$5&amp;"",'Oxford Economics'!$A$6:$AZ$6,0))),'Oxford Economics'!$A$7:$A$1000,$C27,'Oxford Economics'!$B$7:$B$1000,Settings!$B$11)-SUMIFS(INDEX('Oxford Economics'!$A$7:$AZ$1000,0,IFERROR(MATCH(AI$5,'Oxford Economics'!$A$6:$AZ$6,0),MATCH(AI$5&amp;"",'Oxford Economics'!$A$6:$AZ$6,0))),'Oxford Economics'!$A$7:$A$1000,$C27,'Oxford Economics'!$B$7:$B$1000,Settings!$B$13),SUMIFS(INDEX('Oxford Economics'!$A$7:$AZ$1000,0,IFERROR(MATCH(AI$5,'Oxford Economics'!$A$6:$AZ$6,0),MATCH(AI$5&amp;"",'Oxford Economics'!$A$6:$AZ$6,0))),'Oxford Economics'!$A$7:$A$1000,$C27,'Oxford Economics'!$B$7:$B$1000,Settings!$B$13)+SUMIFS(INDEX('Oxford Economics'!$A$7:$AZ$1000,0,IFERROR(MATCH(AI$5,'Oxford Economics'!$A$6:$AZ$6,0),MATCH(AI$5&amp;"",'Oxford Economics'!$A$6:$AZ$6,0))),'Oxford Economics'!$A$7:$A$1000,$C27,'Oxford Economics'!$B$7:$B$1000,Settings!$B$15)+IF(Settings!$B$17="",0,SUMIFS(INDEX('Oxford Economics'!$A$7:$AZ$1000,0,IFERROR(MATCH(AI$5,'Oxford Economics'!$A$6:$AZ$6,0),MATCH(AI$5&amp;"",'Oxford Economics'!$A$6:$AZ$6,0))),'Oxford Economics'!$A$7:$A$1000,$C27,'Oxford Economics'!$B$7:$B$1000,Settings!$B$17)))),""))</f>
        <v>24110.67</v>
      </c>
      <c r="AJ27" s="37" t="n">
        <f aca="false">IF($A27="","",IFERROR(1/(1/IF($B27="Residential",SUMIFS(INDEX('Oxford Economics'!$A$7:$AZ$1000,0,IFERROR(MATCH(AJ$5,'Oxford Economics'!$A$6:$AZ$6,0),MATCH(AJ$5&amp;"",'Oxford Economics'!$A$6:$AZ$6,0))),'Oxford Economics'!$A$7:$A$1000,$C27,'Oxford Economics'!$B$7:$B$1000,Settings!$B$11)-SUMIFS(INDEX('Oxford Economics'!$A$7:$AZ$1000,0,IFERROR(MATCH(AJ$5,'Oxford Economics'!$A$6:$AZ$6,0),MATCH(AJ$5&amp;"",'Oxford Economics'!$A$6:$AZ$6,0))),'Oxford Economics'!$A$7:$A$1000,$C27,'Oxford Economics'!$B$7:$B$1000,Settings!$B$13),SUMIFS(INDEX('Oxford Economics'!$A$7:$AZ$1000,0,IFERROR(MATCH(AJ$5,'Oxford Economics'!$A$6:$AZ$6,0),MATCH(AJ$5&amp;"",'Oxford Economics'!$A$6:$AZ$6,0))),'Oxford Economics'!$A$7:$A$1000,$C27,'Oxford Economics'!$B$7:$B$1000,Settings!$B$13)+SUMIFS(INDEX('Oxford Economics'!$A$7:$AZ$1000,0,IFERROR(MATCH(AJ$5,'Oxford Economics'!$A$6:$AZ$6,0),MATCH(AJ$5&amp;"",'Oxford Economics'!$A$6:$AZ$6,0))),'Oxford Economics'!$A$7:$A$1000,$C27,'Oxford Economics'!$B$7:$B$1000,Settings!$B$15)+IF(Settings!$B$17="",0,SUMIFS(INDEX('Oxford Economics'!$A$7:$AZ$1000,0,IFERROR(MATCH(AJ$5,'Oxford Economics'!$A$6:$AZ$6,0),MATCH(AJ$5&amp;"",'Oxford Economics'!$A$6:$AZ$6,0))),'Oxford Economics'!$A$7:$A$1000,$C27,'Oxford Economics'!$B$7:$B$1000,Settings!$B$17)))),""))</f>
        <v>25461.56</v>
      </c>
      <c r="AK27" s="37" t="n">
        <f aca="false">IF($A27="","",IFERROR(1/(1/IF($B27="Residential",SUMIFS(INDEX('Oxford Economics'!$A$7:$AZ$1000,0,IFERROR(MATCH(AK$5,'Oxford Economics'!$A$6:$AZ$6,0),MATCH(AK$5&amp;"",'Oxford Economics'!$A$6:$AZ$6,0))),'Oxford Economics'!$A$7:$A$1000,$C27,'Oxford Economics'!$B$7:$B$1000,Settings!$B$11)-SUMIFS(INDEX('Oxford Economics'!$A$7:$AZ$1000,0,IFERROR(MATCH(AK$5,'Oxford Economics'!$A$6:$AZ$6,0),MATCH(AK$5&amp;"",'Oxford Economics'!$A$6:$AZ$6,0))),'Oxford Economics'!$A$7:$A$1000,$C27,'Oxford Economics'!$B$7:$B$1000,Settings!$B$13),SUMIFS(INDEX('Oxford Economics'!$A$7:$AZ$1000,0,IFERROR(MATCH(AK$5,'Oxford Economics'!$A$6:$AZ$6,0),MATCH(AK$5&amp;"",'Oxford Economics'!$A$6:$AZ$6,0))),'Oxford Economics'!$A$7:$A$1000,$C27,'Oxford Economics'!$B$7:$B$1000,Settings!$B$13)+SUMIFS(INDEX('Oxford Economics'!$A$7:$AZ$1000,0,IFERROR(MATCH(AK$5,'Oxford Economics'!$A$6:$AZ$6,0),MATCH(AK$5&amp;"",'Oxford Economics'!$A$6:$AZ$6,0))),'Oxford Economics'!$A$7:$A$1000,$C27,'Oxford Economics'!$B$7:$B$1000,Settings!$B$15)+IF(Settings!$B$17="",0,SUMIFS(INDEX('Oxford Economics'!$A$7:$AZ$1000,0,IFERROR(MATCH(AK$5,'Oxford Economics'!$A$6:$AZ$6,0),MATCH(AK$5&amp;"",'Oxford Economics'!$A$6:$AZ$6,0))),'Oxford Economics'!$A$7:$A$1000,$C27,'Oxford Economics'!$B$7:$B$1000,Settings!$B$17)))),""))</f>
        <v>26186</v>
      </c>
      <c r="AL27" s="37" t="n">
        <f aca="false">IF($A27="","",IFERROR(1/(1/IF($B27="Residential",SUMIFS(INDEX('Oxford Economics'!$A$7:$AZ$1000,0,IFERROR(MATCH(AL$5,'Oxford Economics'!$A$6:$AZ$6,0),MATCH(AL$5&amp;"",'Oxford Economics'!$A$6:$AZ$6,0))),'Oxford Economics'!$A$7:$A$1000,$C27,'Oxford Economics'!$B$7:$B$1000,Settings!$B$11)-SUMIFS(INDEX('Oxford Economics'!$A$7:$AZ$1000,0,IFERROR(MATCH(AL$5,'Oxford Economics'!$A$6:$AZ$6,0),MATCH(AL$5&amp;"",'Oxford Economics'!$A$6:$AZ$6,0))),'Oxford Economics'!$A$7:$A$1000,$C27,'Oxford Economics'!$B$7:$B$1000,Settings!$B$13),SUMIFS(INDEX('Oxford Economics'!$A$7:$AZ$1000,0,IFERROR(MATCH(AL$5,'Oxford Economics'!$A$6:$AZ$6,0),MATCH(AL$5&amp;"",'Oxford Economics'!$A$6:$AZ$6,0))),'Oxford Economics'!$A$7:$A$1000,$C27,'Oxford Economics'!$B$7:$B$1000,Settings!$B$13)+SUMIFS(INDEX('Oxford Economics'!$A$7:$AZ$1000,0,IFERROR(MATCH(AL$5,'Oxford Economics'!$A$6:$AZ$6,0),MATCH(AL$5&amp;"",'Oxford Economics'!$A$6:$AZ$6,0))),'Oxford Economics'!$A$7:$A$1000,$C27,'Oxford Economics'!$B$7:$B$1000,Settings!$B$15)+IF(Settings!$B$17="",0,SUMIFS(INDEX('Oxford Economics'!$A$7:$AZ$1000,0,IFERROR(MATCH(AL$5,'Oxford Economics'!$A$6:$AZ$6,0),MATCH(AL$5&amp;"",'Oxford Economics'!$A$6:$AZ$6,0))),'Oxford Economics'!$A$7:$A$1000,$C27,'Oxford Economics'!$B$7:$B$1000,Settings!$B$17)))),""))</f>
        <v>26772.33</v>
      </c>
      <c r="AM27" s="37" t="n">
        <f aca="false">IF($A27="","",IFERROR(1/(1/IF($B27="Residential",SUMIFS(INDEX('Oxford Economics'!$A$7:$AZ$1000,0,IFERROR(MATCH(AM$5,'Oxford Economics'!$A$6:$AZ$6,0),MATCH(AM$5&amp;"",'Oxford Economics'!$A$6:$AZ$6,0))),'Oxford Economics'!$A$7:$A$1000,$C27,'Oxford Economics'!$B$7:$B$1000,Settings!$B$11)-SUMIFS(INDEX('Oxford Economics'!$A$7:$AZ$1000,0,IFERROR(MATCH(AM$5,'Oxford Economics'!$A$6:$AZ$6,0),MATCH(AM$5&amp;"",'Oxford Economics'!$A$6:$AZ$6,0))),'Oxford Economics'!$A$7:$A$1000,$C27,'Oxford Economics'!$B$7:$B$1000,Settings!$B$13),SUMIFS(INDEX('Oxford Economics'!$A$7:$AZ$1000,0,IFERROR(MATCH(AM$5,'Oxford Economics'!$A$6:$AZ$6,0),MATCH(AM$5&amp;"",'Oxford Economics'!$A$6:$AZ$6,0))),'Oxford Economics'!$A$7:$A$1000,$C27,'Oxford Economics'!$B$7:$B$1000,Settings!$B$13)+SUMIFS(INDEX('Oxford Economics'!$A$7:$AZ$1000,0,IFERROR(MATCH(AM$5,'Oxford Economics'!$A$6:$AZ$6,0),MATCH(AM$5&amp;"",'Oxford Economics'!$A$6:$AZ$6,0))),'Oxford Economics'!$A$7:$A$1000,$C27,'Oxford Economics'!$B$7:$B$1000,Settings!$B$15)+IF(Settings!$B$17="",0,SUMIFS(INDEX('Oxford Economics'!$A$7:$AZ$1000,0,IFERROR(MATCH(AM$5,'Oxford Economics'!$A$6:$AZ$6,0),MATCH(AM$5&amp;"",'Oxford Economics'!$A$6:$AZ$6,0))),'Oxford Economics'!$A$7:$A$1000,$C27,'Oxford Economics'!$B$7:$B$1000,Settings!$B$17)))),""))</f>
        <v>27633.52</v>
      </c>
    </row>
    <row r="28" customFormat="false" ht="15" hidden="false" customHeight="false" outlineLevel="0" collapsed="false">
      <c r="A28" s="36" t="str">
        <f aca="false">IF('Raw data'!$A28="","",'Raw data'!$A28)</f>
        <v>United Kingdom</v>
      </c>
      <c r="B28" s="36" t="str">
        <f aca="false">IF($A28="","",'Raw data'!$C28)</f>
        <v>Residential</v>
      </c>
      <c r="C28" s="36" t="str">
        <f aca="false">IF($A28="","",IF('Raw data'!$D28="",$A28,'Raw data'!$D28))</f>
        <v>United Kingdom</v>
      </c>
      <c r="D28" s="37" t="n">
        <f aca="false">IF($A28="","",IF(AND(ISNUMBER(P28),ISNUMBER(AB28)),P28+AB28,""))</f>
        <v>71856.63</v>
      </c>
      <c r="E28" s="37" t="n">
        <f aca="false">IF($A28="","",IF(AND(ISNUMBER(Q28),ISNUMBER(AC28)),Q28+AC28,""))</f>
        <v>85374.84</v>
      </c>
      <c r="F28" s="37" t="n">
        <f aca="false">IF($A28="","",IF(AND(ISNUMBER(R28),ISNUMBER(AD28)),R28+AD28,""))</f>
        <v>94129.61</v>
      </c>
      <c r="G28" s="37" t="n">
        <f aca="false">IF($A28="","",IF(AND(ISNUMBER(S28),ISNUMBER(AE28)),S28+AE28,""))</f>
        <v>89786.14</v>
      </c>
      <c r="H28" s="37" t="n">
        <f aca="false">IF($A28="","",IF(AND(ISNUMBER(T28),ISNUMBER(AF28)),T28+AF28,""))</f>
        <v>90226.58</v>
      </c>
      <c r="I28" s="37" t="n">
        <f aca="false">IF($A28="","",IF(AND(ISNUMBER(U28),ISNUMBER(AG28)),U28+AG28,""))</f>
        <v>91052.98</v>
      </c>
      <c r="J28" s="37" t="n">
        <f aca="false">IF($A28="","",IF(AND(ISNUMBER(V28),ISNUMBER(AH28)),V28+AH28,""))</f>
        <v>91931.91</v>
      </c>
      <c r="K28" s="37" t="n">
        <f aca="false">IF($A28="","",IF(AND(ISNUMBER(W28),ISNUMBER(AI28)),W28+AI28,""))</f>
        <v>94932.4</v>
      </c>
      <c r="L28" s="37" t="n">
        <f aca="false">IF($A28="","",IF(AND(ISNUMBER(X28),ISNUMBER(AJ28)),X28+AJ28,""))</f>
        <v>100185.24</v>
      </c>
      <c r="M28" s="37" t="n">
        <f aca="false">IF($A28="","",IF(AND(ISNUMBER(Y28),ISNUMBER(AK28)),Y28+AK28,""))</f>
        <v>105072.08</v>
      </c>
      <c r="N28" s="37" t="n">
        <f aca="false">IF($A28="","",IF(AND(ISNUMBER(Z28),ISNUMBER(AL28)),Z28+AL28,""))</f>
        <v>109831.59</v>
      </c>
      <c r="O28" s="37" t="n">
        <f aca="false">IF($A28="","",IF(AND(ISNUMBER(AA28),ISNUMBER(AM28)),AA28+AM28,""))</f>
        <v>113107.53</v>
      </c>
      <c r="P28" s="37" t="n">
        <f aca="false">IF($A28="","",IFERROR(1/(1/IF($B28="Residential",SUMIFS(INDEX('Oxford Economics'!$A$7:$AZ$1000,0,IFERROR(MATCH(P$5,'Oxford Economics'!$A$6:$AZ$6,0),MATCH(P$5&amp;"",'Oxford Economics'!$A$6:$AZ$6,0))),'Oxford Economics'!$A$7:$A$1000,$C28,'Oxford Economics'!$B$7:$B$1000,Settings!$B$12)-SUMIFS(INDEX('Oxford Economics'!$A$7:$AZ$1000,0,IFERROR(MATCH(P$5,'Oxford Economics'!$A$6:$AZ$6,0),MATCH(P$5&amp;"",'Oxford Economics'!$A$6:$AZ$6,0))),'Oxford Economics'!$A$7:$A$1000,$C28,'Oxford Economics'!$B$7:$B$1000,Settings!$B$14),SUMIFS(INDEX('Oxford Economics'!$A$7:$AZ$1000,0,IFERROR(MATCH(P$5,'Oxford Economics'!$A$6:$AZ$6,0),MATCH(P$5&amp;"",'Oxford Economics'!$A$6:$AZ$6,0))),'Oxford Economics'!$A$7:$A$1000,$C28,'Oxford Economics'!$B$7:$B$1000,Settings!$B$14)+SUMIFS(INDEX('Oxford Economics'!$A$7:$AZ$1000,0,IFERROR(MATCH(P$5,'Oxford Economics'!$A$6:$AZ$6,0),MATCH(P$5&amp;"",'Oxford Economics'!$A$6:$AZ$6,0))),'Oxford Economics'!$A$7:$A$1000,$C28,'Oxford Economics'!$B$7:$B$1000,Settings!$B$16)+IF(Settings!$B$18="",0,SUMIFS(INDEX('Oxford Economics'!$A$7:$AZ$1000,0,IFERROR(MATCH(P$5,'Oxford Economics'!$A$6:$AZ$6,0),MATCH(P$5&amp;"",'Oxford Economics'!$A$6:$AZ$6,0))),'Oxford Economics'!$A$7:$A$1000,$C28,'Oxford Economics'!$B$7:$B$1000,Settings!$B$18)))),""))</f>
        <v>29788.05</v>
      </c>
      <c r="Q28" s="37" t="n">
        <f aca="false">IF($A28="","",IFERROR(1/(1/IF($B28="Residential",SUMIFS(INDEX('Oxford Economics'!$A$7:$AZ$1000,0,IFERROR(MATCH(Q$5,'Oxford Economics'!$A$6:$AZ$6,0),MATCH(Q$5&amp;"",'Oxford Economics'!$A$6:$AZ$6,0))),'Oxford Economics'!$A$7:$A$1000,$C28,'Oxford Economics'!$B$7:$B$1000,Settings!$B$12)-SUMIFS(INDEX('Oxford Economics'!$A$7:$AZ$1000,0,IFERROR(MATCH(Q$5,'Oxford Economics'!$A$6:$AZ$6,0),MATCH(Q$5&amp;"",'Oxford Economics'!$A$6:$AZ$6,0))),'Oxford Economics'!$A$7:$A$1000,$C28,'Oxford Economics'!$B$7:$B$1000,Settings!$B$14),SUMIFS(INDEX('Oxford Economics'!$A$7:$AZ$1000,0,IFERROR(MATCH(Q$5,'Oxford Economics'!$A$6:$AZ$6,0),MATCH(Q$5&amp;"",'Oxford Economics'!$A$6:$AZ$6,0))),'Oxford Economics'!$A$7:$A$1000,$C28,'Oxford Economics'!$B$7:$B$1000,Settings!$B$14)+SUMIFS(INDEX('Oxford Economics'!$A$7:$AZ$1000,0,IFERROR(MATCH(Q$5,'Oxford Economics'!$A$6:$AZ$6,0),MATCH(Q$5&amp;"",'Oxford Economics'!$A$6:$AZ$6,0))),'Oxford Economics'!$A$7:$A$1000,$C28,'Oxford Economics'!$B$7:$B$1000,Settings!$B$16)+IF(Settings!$B$18="",0,SUMIFS(INDEX('Oxford Economics'!$A$7:$AZ$1000,0,IFERROR(MATCH(Q$5,'Oxford Economics'!$A$6:$AZ$6,0),MATCH(Q$5&amp;"",'Oxford Economics'!$A$6:$AZ$6,0))),'Oxford Economics'!$A$7:$A$1000,$C28,'Oxford Economics'!$B$7:$B$1000,Settings!$B$18)))),""))</f>
        <v>35851.7</v>
      </c>
      <c r="R28" s="37" t="n">
        <f aca="false">IF($A28="","",IFERROR(1/(1/IF($B28="Residential",SUMIFS(INDEX('Oxford Economics'!$A$7:$AZ$1000,0,IFERROR(MATCH(R$5,'Oxford Economics'!$A$6:$AZ$6,0),MATCH(R$5&amp;"",'Oxford Economics'!$A$6:$AZ$6,0))),'Oxford Economics'!$A$7:$A$1000,$C28,'Oxford Economics'!$B$7:$B$1000,Settings!$B$12)-SUMIFS(INDEX('Oxford Economics'!$A$7:$AZ$1000,0,IFERROR(MATCH(R$5,'Oxford Economics'!$A$6:$AZ$6,0),MATCH(R$5&amp;"",'Oxford Economics'!$A$6:$AZ$6,0))),'Oxford Economics'!$A$7:$A$1000,$C28,'Oxford Economics'!$B$7:$B$1000,Settings!$B$14),SUMIFS(INDEX('Oxford Economics'!$A$7:$AZ$1000,0,IFERROR(MATCH(R$5,'Oxford Economics'!$A$6:$AZ$6,0),MATCH(R$5&amp;"",'Oxford Economics'!$A$6:$AZ$6,0))),'Oxford Economics'!$A$7:$A$1000,$C28,'Oxford Economics'!$B$7:$B$1000,Settings!$B$14)+SUMIFS(INDEX('Oxford Economics'!$A$7:$AZ$1000,0,IFERROR(MATCH(R$5,'Oxford Economics'!$A$6:$AZ$6,0),MATCH(R$5&amp;"",'Oxford Economics'!$A$6:$AZ$6,0))),'Oxford Economics'!$A$7:$A$1000,$C28,'Oxford Economics'!$B$7:$B$1000,Settings!$B$16)+IF(Settings!$B$18="",0,SUMIFS(INDEX('Oxford Economics'!$A$7:$AZ$1000,0,IFERROR(MATCH(R$5,'Oxford Economics'!$A$6:$AZ$6,0),MATCH(R$5&amp;"",'Oxford Economics'!$A$6:$AZ$6,0))),'Oxford Economics'!$A$7:$A$1000,$C28,'Oxford Economics'!$B$7:$B$1000,Settings!$B$18)))),""))</f>
        <v>38236.67</v>
      </c>
      <c r="S28" s="37" t="n">
        <f aca="false">IF($A28="","",IFERROR(1/(1/IF($B28="Residential",SUMIFS(INDEX('Oxford Economics'!$A$7:$AZ$1000,0,IFERROR(MATCH(S$5,'Oxford Economics'!$A$6:$AZ$6,0),MATCH(S$5&amp;"",'Oxford Economics'!$A$6:$AZ$6,0))),'Oxford Economics'!$A$7:$A$1000,$C28,'Oxford Economics'!$B$7:$B$1000,Settings!$B$12)-SUMIFS(INDEX('Oxford Economics'!$A$7:$AZ$1000,0,IFERROR(MATCH(S$5,'Oxford Economics'!$A$6:$AZ$6,0),MATCH(S$5&amp;"",'Oxford Economics'!$A$6:$AZ$6,0))),'Oxford Economics'!$A$7:$A$1000,$C28,'Oxford Economics'!$B$7:$B$1000,Settings!$B$14),SUMIFS(INDEX('Oxford Economics'!$A$7:$AZ$1000,0,IFERROR(MATCH(S$5,'Oxford Economics'!$A$6:$AZ$6,0),MATCH(S$5&amp;"",'Oxford Economics'!$A$6:$AZ$6,0))),'Oxford Economics'!$A$7:$A$1000,$C28,'Oxford Economics'!$B$7:$B$1000,Settings!$B$14)+SUMIFS(INDEX('Oxford Economics'!$A$7:$AZ$1000,0,IFERROR(MATCH(S$5,'Oxford Economics'!$A$6:$AZ$6,0),MATCH(S$5&amp;"",'Oxford Economics'!$A$6:$AZ$6,0))),'Oxford Economics'!$A$7:$A$1000,$C28,'Oxford Economics'!$B$7:$B$1000,Settings!$B$16)+IF(Settings!$B$18="",0,SUMIFS(INDEX('Oxford Economics'!$A$7:$AZ$1000,0,IFERROR(MATCH(S$5,'Oxford Economics'!$A$6:$AZ$6,0),MATCH(S$5&amp;"",'Oxford Economics'!$A$6:$AZ$6,0))),'Oxford Economics'!$A$7:$A$1000,$C28,'Oxford Economics'!$B$7:$B$1000,Settings!$B$18)))),""))</f>
        <v>39838.1</v>
      </c>
      <c r="T28" s="37" t="n">
        <f aca="false">IF($A28="","",IFERROR(1/(1/IF($B28="Residential",SUMIFS(INDEX('Oxford Economics'!$A$7:$AZ$1000,0,IFERROR(MATCH(T$5,'Oxford Economics'!$A$6:$AZ$6,0),MATCH(T$5&amp;"",'Oxford Economics'!$A$6:$AZ$6,0))),'Oxford Economics'!$A$7:$A$1000,$C28,'Oxford Economics'!$B$7:$B$1000,Settings!$B$12)-SUMIFS(INDEX('Oxford Economics'!$A$7:$AZ$1000,0,IFERROR(MATCH(T$5,'Oxford Economics'!$A$6:$AZ$6,0),MATCH(T$5&amp;"",'Oxford Economics'!$A$6:$AZ$6,0))),'Oxford Economics'!$A$7:$A$1000,$C28,'Oxford Economics'!$B$7:$B$1000,Settings!$B$14),SUMIFS(INDEX('Oxford Economics'!$A$7:$AZ$1000,0,IFERROR(MATCH(T$5,'Oxford Economics'!$A$6:$AZ$6,0),MATCH(T$5&amp;"",'Oxford Economics'!$A$6:$AZ$6,0))),'Oxford Economics'!$A$7:$A$1000,$C28,'Oxford Economics'!$B$7:$B$1000,Settings!$B$14)+SUMIFS(INDEX('Oxford Economics'!$A$7:$AZ$1000,0,IFERROR(MATCH(T$5,'Oxford Economics'!$A$6:$AZ$6,0),MATCH(T$5&amp;"",'Oxford Economics'!$A$6:$AZ$6,0))),'Oxford Economics'!$A$7:$A$1000,$C28,'Oxford Economics'!$B$7:$B$1000,Settings!$B$16)+IF(Settings!$B$18="",0,SUMIFS(INDEX('Oxford Economics'!$A$7:$AZ$1000,0,IFERROR(MATCH(T$5,'Oxford Economics'!$A$6:$AZ$6,0),MATCH(T$5&amp;"",'Oxford Economics'!$A$6:$AZ$6,0))),'Oxford Economics'!$A$7:$A$1000,$C28,'Oxford Economics'!$B$7:$B$1000,Settings!$B$18)))),""))</f>
        <v>42717.87</v>
      </c>
      <c r="U28" s="37" t="n">
        <f aca="false">IF($A28="","",IFERROR(1/(1/IF($B28="Residential",SUMIFS(INDEX('Oxford Economics'!$A$7:$AZ$1000,0,IFERROR(MATCH(U$5,'Oxford Economics'!$A$6:$AZ$6,0),MATCH(U$5&amp;"",'Oxford Economics'!$A$6:$AZ$6,0))),'Oxford Economics'!$A$7:$A$1000,$C28,'Oxford Economics'!$B$7:$B$1000,Settings!$B$12)-SUMIFS(INDEX('Oxford Economics'!$A$7:$AZ$1000,0,IFERROR(MATCH(U$5,'Oxford Economics'!$A$6:$AZ$6,0),MATCH(U$5&amp;"",'Oxford Economics'!$A$6:$AZ$6,0))),'Oxford Economics'!$A$7:$A$1000,$C28,'Oxford Economics'!$B$7:$B$1000,Settings!$B$14),SUMIFS(INDEX('Oxford Economics'!$A$7:$AZ$1000,0,IFERROR(MATCH(U$5,'Oxford Economics'!$A$6:$AZ$6,0),MATCH(U$5&amp;"",'Oxford Economics'!$A$6:$AZ$6,0))),'Oxford Economics'!$A$7:$A$1000,$C28,'Oxford Economics'!$B$7:$B$1000,Settings!$B$14)+SUMIFS(INDEX('Oxford Economics'!$A$7:$AZ$1000,0,IFERROR(MATCH(U$5,'Oxford Economics'!$A$6:$AZ$6,0),MATCH(U$5&amp;"",'Oxford Economics'!$A$6:$AZ$6,0))),'Oxford Economics'!$A$7:$A$1000,$C28,'Oxford Economics'!$B$7:$B$1000,Settings!$B$16)+IF(Settings!$B$18="",0,SUMIFS(INDEX('Oxford Economics'!$A$7:$AZ$1000,0,IFERROR(MATCH(U$5,'Oxford Economics'!$A$6:$AZ$6,0),MATCH(U$5&amp;"",'Oxford Economics'!$A$6:$AZ$6,0))),'Oxford Economics'!$A$7:$A$1000,$C28,'Oxford Economics'!$B$7:$B$1000,Settings!$B$18)))),""))</f>
        <v>43377.35</v>
      </c>
      <c r="V28" s="37" t="n">
        <f aca="false">IF($A28="","",IFERROR(1/(1/IF($B28="Residential",SUMIFS(INDEX('Oxford Economics'!$A$7:$AZ$1000,0,IFERROR(MATCH(V$5,'Oxford Economics'!$A$6:$AZ$6,0),MATCH(V$5&amp;"",'Oxford Economics'!$A$6:$AZ$6,0))),'Oxford Economics'!$A$7:$A$1000,$C28,'Oxford Economics'!$B$7:$B$1000,Settings!$B$12)-SUMIFS(INDEX('Oxford Economics'!$A$7:$AZ$1000,0,IFERROR(MATCH(V$5,'Oxford Economics'!$A$6:$AZ$6,0),MATCH(V$5&amp;"",'Oxford Economics'!$A$6:$AZ$6,0))),'Oxford Economics'!$A$7:$A$1000,$C28,'Oxford Economics'!$B$7:$B$1000,Settings!$B$14),SUMIFS(INDEX('Oxford Economics'!$A$7:$AZ$1000,0,IFERROR(MATCH(V$5,'Oxford Economics'!$A$6:$AZ$6,0),MATCH(V$5&amp;"",'Oxford Economics'!$A$6:$AZ$6,0))),'Oxford Economics'!$A$7:$A$1000,$C28,'Oxford Economics'!$B$7:$B$1000,Settings!$B$14)+SUMIFS(INDEX('Oxford Economics'!$A$7:$AZ$1000,0,IFERROR(MATCH(V$5,'Oxford Economics'!$A$6:$AZ$6,0),MATCH(V$5&amp;"",'Oxford Economics'!$A$6:$AZ$6,0))),'Oxford Economics'!$A$7:$A$1000,$C28,'Oxford Economics'!$B$7:$B$1000,Settings!$B$16)+IF(Settings!$B$18="",0,SUMIFS(INDEX('Oxford Economics'!$A$7:$AZ$1000,0,IFERROR(MATCH(V$5,'Oxford Economics'!$A$6:$AZ$6,0),MATCH(V$5&amp;"",'Oxford Economics'!$A$6:$AZ$6,0))),'Oxford Economics'!$A$7:$A$1000,$C28,'Oxford Economics'!$B$7:$B$1000,Settings!$B$18)))),""))</f>
        <v>42110.67</v>
      </c>
      <c r="W28" s="37" t="n">
        <f aca="false">IF($A28="","",IFERROR(1/(1/IF($B28="Residential",SUMIFS(INDEX('Oxford Economics'!$A$7:$AZ$1000,0,IFERROR(MATCH(W$5,'Oxford Economics'!$A$6:$AZ$6,0),MATCH(W$5&amp;"",'Oxford Economics'!$A$6:$AZ$6,0))),'Oxford Economics'!$A$7:$A$1000,$C28,'Oxford Economics'!$B$7:$B$1000,Settings!$B$12)-SUMIFS(INDEX('Oxford Economics'!$A$7:$AZ$1000,0,IFERROR(MATCH(W$5,'Oxford Economics'!$A$6:$AZ$6,0),MATCH(W$5&amp;"",'Oxford Economics'!$A$6:$AZ$6,0))),'Oxford Economics'!$A$7:$A$1000,$C28,'Oxford Economics'!$B$7:$B$1000,Settings!$B$14),SUMIFS(INDEX('Oxford Economics'!$A$7:$AZ$1000,0,IFERROR(MATCH(W$5,'Oxford Economics'!$A$6:$AZ$6,0),MATCH(W$5&amp;"",'Oxford Economics'!$A$6:$AZ$6,0))),'Oxford Economics'!$A$7:$A$1000,$C28,'Oxford Economics'!$B$7:$B$1000,Settings!$B$14)+SUMIFS(INDEX('Oxford Economics'!$A$7:$AZ$1000,0,IFERROR(MATCH(W$5,'Oxford Economics'!$A$6:$AZ$6,0),MATCH(W$5&amp;"",'Oxford Economics'!$A$6:$AZ$6,0))),'Oxford Economics'!$A$7:$A$1000,$C28,'Oxford Economics'!$B$7:$B$1000,Settings!$B$16)+IF(Settings!$B$18="",0,SUMIFS(INDEX('Oxford Economics'!$A$7:$AZ$1000,0,IFERROR(MATCH(W$5,'Oxford Economics'!$A$6:$AZ$6,0),MATCH(W$5&amp;"",'Oxford Economics'!$A$6:$AZ$6,0))),'Oxford Economics'!$A$7:$A$1000,$C28,'Oxford Economics'!$B$7:$B$1000,Settings!$B$18)))),""))</f>
        <v>42460.1</v>
      </c>
      <c r="X28" s="37" t="n">
        <f aca="false">IF($A28="","",IFERROR(1/(1/IF($B28="Residential",SUMIFS(INDEX('Oxford Economics'!$A$7:$AZ$1000,0,IFERROR(MATCH(X$5,'Oxford Economics'!$A$6:$AZ$6,0),MATCH(X$5&amp;"",'Oxford Economics'!$A$6:$AZ$6,0))),'Oxford Economics'!$A$7:$A$1000,$C28,'Oxford Economics'!$B$7:$B$1000,Settings!$B$12)-SUMIFS(INDEX('Oxford Economics'!$A$7:$AZ$1000,0,IFERROR(MATCH(X$5,'Oxford Economics'!$A$6:$AZ$6,0),MATCH(X$5&amp;"",'Oxford Economics'!$A$6:$AZ$6,0))),'Oxford Economics'!$A$7:$A$1000,$C28,'Oxford Economics'!$B$7:$B$1000,Settings!$B$14),SUMIFS(INDEX('Oxford Economics'!$A$7:$AZ$1000,0,IFERROR(MATCH(X$5,'Oxford Economics'!$A$6:$AZ$6,0),MATCH(X$5&amp;"",'Oxford Economics'!$A$6:$AZ$6,0))),'Oxford Economics'!$A$7:$A$1000,$C28,'Oxford Economics'!$B$7:$B$1000,Settings!$B$14)+SUMIFS(INDEX('Oxford Economics'!$A$7:$AZ$1000,0,IFERROR(MATCH(X$5,'Oxford Economics'!$A$6:$AZ$6,0),MATCH(X$5&amp;"",'Oxford Economics'!$A$6:$AZ$6,0))),'Oxford Economics'!$A$7:$A$1000,$C28,'Oxford Economics'!$B$7:$B$1000,Settings!$B$16)+IF(Settings!$B$18="",0,SUMIFS(INDEX('Oxford Economics'!$A$7:$AZ$1000,0,IFERROR(MATCH(X$5,'Oxford Economics'!$A$6:$AZ$6,0),MATCH(X$5&amp;"",'Oxford Economics'!$A$6:$AZ$6,0))),'Oxford Economics'!$A$7:$A$1000,$C28,'Oxford Economics'!$B$7:$B$1000,Settings!$B$18)))),""))</f>
        <v>44717.35</v>
      </c>
      <c r="Y28" s="37" t="n">
        <f aca="false">IF($A28="","",IFERROR(1/(1/IF($B28="Residential",SUMIFS(INDEX('Oxford Economics'!$A$7:$AZ$1000,0,IFERROR(MATCH(Y$5,'Oxford Economics'!$A$6:$AZ$6,0),MATCH(Y$5&amp;"",'Oxford Economics'!$A$6:$AZ$6,0))),'Oxford Economics'!$A$7:$A$1000,$C28,'Oxford Economics'!$B$7:$B$1000,Settings!$B$12)-SUMIFS(INDEX('Oxford Economics'!$A$7:$AZ$1000,0,IFERROR(MATCH(Y$5,'Oxford Economics'!$A$6:$AZ$6,0),MATCH(Y$5&amp;"",'Oxford Economics'!$A$6:$AZ$6,0))),'Oxford Economics'!$A$7:$A$1000,$C28,'Oxford Economics'!$B$7:$B$1000,Settings!$B$14),SUMIFS(INDEX('Oxford Economics'!$A$7:$AZ$1000,0,IFERROR(MATCH(Y$5,'Oxford Economics'!$A$6:$AZ$6,0),MATCH(Y$5&amp;"",'Oxford Economics'!$A$6:$AZ$6,0))),'Oxford Economics'!$A$7:$A$1000,$C28,'Oxford Economics'!$B$7:$B$1000,Settings!$B$14)+SUMIFS(INDEX('Oxford Economics'!$A$7:$AZ$1000,0,IFERROR(MATCH(Y$5,'Oxford Economics'!$A$6:$AZ$6,0),MATCH(Y$5&amp;"",'Oxford Economics'!$A$6:$AZ$6,0))),'Oxford Economics'!$A$7:$A$1000,$C28,'Oxford Economics'!$B$7:$B$1000,Settings!$B$16)+IF(Settings!$B$18="",0,SUMIFS(INDEX('Oxford Economics'!$A$7:$AZ$1000,0,IFERROR(MATCH(Y$5,'Oxford Economics'!$A$6:$AZ$6,0),MATCH(Y$5&amp;"",'Oxford Economics'!$A$6:$AZ$6,0))),'Oxford Economics'!$A$7:$A$1000,$C28,'Oxford Economics'!$B$7:$B$1000,Settings!$B$18)))),""))</f>
        <v>46775.42</v>
      </c>
      <c r="Z28" s="37" t="n">
        <f aca="false">IF($A28="","",IFERROR(1/(1/IF($B28="Residential",SUMIFS(INDEX('Oxford Economics'!$A$7:$AZ$1000,0,IFERROR(MATCH(Z$5,'Oxford Economics'!$A$6:$AZ$6,0),MATCH(Z$5&amp;"",'Oxford Economics'!$A$6:$AZ$6,0))),'Oxford Economics'!$A$7:$A$1000,$C28,'Oxford Economics'!$B$7:$B$1000,Settings!$B$12)-SUMIFS(INDEX('Oxford Economics'!$A$7:$AZ$1000,0,IFERROR(MATCH(Z$5,'Oxford Economics'!$A$6:$AZ$6,0),MATCH(Z$5&amp;"",'Oxford Economics'!$A$6:$AZ$6,0))),'Oxford Economics'!$A$7:$A$1000,$C28,'Oxford Economics'!$B$7:$B$1000,Settings!$B$14),SUMIFS(INDEX('Oxford Economics'!$A$7:$AZ$1000,0,IFERROR(MATCH(Z$5,'Oxford Economics'!$A$6:$AZ$6,0),MATCH(Z$5&amp;"",'Oxford Economics'!$A$6:$AZ$6,0))),'Oxford Economics'!$A$7:$A$1000,$C28,'Oxford Economics'!$B$7:$B$1000,Settings!$B$14)+SUMIFS(INDEX('Oxford Economics'!$A$7:$AZ$1000,0,IFERROR(MATCH(Z$5,'Oxford Economics'!$A$6:$AZ$6,0),MATCH(Z$5&amp;"",'Oxford Economics'!$A$6:$AZ$6,0))),'Oxford Economics'!$A$7:$A$1000,$C28,'Oxford Economics'!$B$7:$B$1000,Settings!$B$16)+IF(Settings!$B$18="",0,SUMIFS(INDEX('Oxford Economics'!$A$7:$AZ$1000,0,IFERROR(MATCH(Z$5,'Oxford Economics'!$A$6:$AZ$6,0),MATCH(Z$5&amp;"",'Oxford Economics'!$A$6:$AZ$6,0))),'Oxford Economics'!$A$7:$A$1000,$C28,'Oxford Economics'!$B$7:$B$1000,Settings!$B$18)))),""))</f>
        <v>48745.1</v>
      </c>
      <c r="AA28" s="37" t="n">
        <f aca="false">IF($A28="","",IFERROR(1/(1/IF($B28="Residential",SUMIFS(INDEX('Oxford Economics'!$A$7:$AZ$1000,0,IFERROR(MATCH(AA$5,'Oxford Economics'!$A$6:$AZ$6,0),MATCH(AA$5&amp;"",'Oxford Economics'!$A$6:$AZ$6,0))),'Oxford Economics'!$A$7:$A$1000,$C28,'Oxford Economics'!$B$7:$B$1000,Settings!$B$12)-SUMIFS(INDEX('Oxford Economics'!$A$7:$AZ$1000,0,IFERROR(MATCH(AA$5,'Oxford Economics'!$A$6:$AZ$6,0),MATCH(AA$5&amp;"",'Oxford Economics'!$A$6:$AZ$6,0))),'Oxford Economics'!$A$7:$A$1000,$C28,'Oxford Economics'!$B$7:$B$1000,Settings!$B$14),SUMIFS(INDEX('Oxford Economics'!$A$7:$AZ$1000,0,IFERROR(MATCH(AA$5,'Oxford Economics'!$A$6:$AZ$6,0),MATCH(AA$5&amp;"",'Oxford Economics'!$A$6:$AZ$6,0))),'Oxford Economics'!$A$7:$A$1000,$C28,'Oxford Economics'!$B$7:$B$1000,Settings!$B$14)+SUMIFS(INDEX('Oxford Economics'!$A$7:$AZ$1000,0,IFERROR(MATCH(AA$5,'Oxford Economics'!$A$6:$AZ$6,0),MATCH(AA$5&amp;"",'Oxford Economics'!$A$6:$AZ$6,0))),'Oxford Economics'!$A$7:$A$1000,$C28,'Oxford Economics'!$B$7:$B$1000,Settings!$B$16)+IF(Settings!$B$18="",0,SUMIFS(INDEX('Oxford Economics'!$A$7:$AZ$1000,0,IFERROR(MATCH(AA$5,'Oxford Economics'!$A$6:$AZ$6,0),MATCH(AA$5&amp;"",'Oxford Economics'!$A$6:$AZ$6,0))),'Oxford Economics'!$A$7:$A$1000,$C28,'Oxford Economics'!$B$7:$B$1000,Settings!$B$18)))),""))</f>
        <v>49955.34</v>
      </c>
      <c r="AB28" s="37" t="n">
        <f aca="false">IF($A28="","",IFERROR(1/(1/IF($B28="Residential",SUMIFS(INDEX('Oxford Economics'!$A$7:$AZ$1000,0,IFERROR(MATCH(AB$5,'Oxford Economics'!$A$6:$AZ$6,0),MATCH(AB$5&amp;"",'Oxford Economics'!$A$6:$AZ$6,0))),'Oxford Economics'!$A$7:$A$1000,$C28,'Oxford Economics'!$B$7:$B$1000,Settings!$B$11)-SUMIFS(INDEX('Oxford Economics'!$A$7:$AZ$1000,0,IFERROR(MATCH(AB$5,'Oxford Economics'!$A$6:$AZ$6,0),MATCH(AB$5&amp;"",'Oxford Economics'!$A$6:$AZ$6,0))),'Oxford Economics'!$A$7:$A$1000,$C28,'Oxford Economics'!$B$7:$B$1000,Settings!$B$13),SUMIFS(INDEX('Oxford Economics'!$A$7:$AZ$1000,0,IFERROR(MATCH(AB$5,'Oxford Economics'!$A$6:$AZ$6,0),MATCH(AB$5&amp;"",'Oxford Economics'!$A$6:$AZ$6,0))),'Oxford Economics'!$A$7:$A$1000,$C28,'Oxford Economics'!$B$7:$B$1000,Settings!$B$13)+SUMIFS(INDEX('Oxford Economics'!$A$7:$AZ$1000,0,IFERROR(MATCH(AB$5,'Oxford Economics'!$A$6:$AZ$6,0),MATCH(AB$5&amp;"",'Oxford Economics'!$A$6:$AZ$6,0))),'Oxford Economics'!$A$7:$A$1000,$C28,'Oxford Economics'!$B$7:$B$1000,Settings!$B$15)+IF(Settings!$B$17="",0,SUMIFS(INDEX('Oxford Economics'!$A$7:$AZ$1000,0,IFERROR(MATCH(AB$5,'Oxford Economics'!$A$6:$AZ$6,0),MATCH(AB$5&amp;"",'Oxford Economics'!$A$6:$AZ$6,0))),'Oxford Economics'!$A$7:$A$1000,$C28,'Oxford Economics'!$B$7:$B$1000,Settings!$B$17)))),""))</f>
        <v>42068.58</v>
      </c>
      <c r="AC28" s="37" t="n">
        <f aca="false">IF($A28="","",IFERROR(1/(1/IF($B28="Residential",SUMIFS(INDEX('Oxford Economics'!$A$7:$AZ$1000,0,IFERROR(MATCH(AC$5,'Oxford Economics'!$A$6:$AZ$6,0),MATCH(AC$5&amp;"",'Oxford Economics'!$A$6:$AZ$6,0))),'Oxford Economics'!$A$7:$A$1000,$C28,'Oxford Economics'!$B$7:$B$1000,Settings!$B$11)-SUMIFS(INDEX('Oxford Economics'!$A$7:$AZ$1000,0,IFERROR(MATCH(AC$5,'Oxford Economics'!$A$6:$AZ$6,0),MATCH(AC$5&amp;"",'Oxford Economics'!$A$6:$AZ$6,0))),'Oxford Economics'!$A$7:$A$1000,$C28,'Oxford Economics'!$B$7:$B$1000,Settings!$B$13),SUMIFS(INDEX('Oxford Economics'!$A$7:$AZ$1000,0,IFERROR(MATCH(AC$5,'Oxford Economics'!$A$6:$AZ$6,0),MATCH(AC$5&amp;"",'Oxford Economics'!$A$6:$AZ$6,0))),'Oxford Economics'!$A$7:$A$1000,$C28,'Oxford Economics'!$B$7:$B$1000,Settings!$B$13)+SUMIFS(INDEX('Oxford Economics'!$A$7:$AZ$1000,0,IFERROR(MATCH(AC$5,'Oxford Economics'!$A$6:$AZ$6,0),MATCH(AC$5&amp;"",'Oxford Economics'!$A$6:$AZ$6,0))),'Oxford Economics'!$A$7:$A$1000,$C28,'Oxford Economics'!$B$7:$B$1000,Settings!$B$15)+IF(Settings!$B$17="",0,SUMIFS(INDEX('Oxford Economics'!$A$7:$AZ$1000,0,IFERROR(MATCH(AC$5,'Oxford Economics'!$A$6:$AZ$6,0),MATCH(AC$5&amp;"",'Oxford Economics'!$A$6:$AZ$6,0))),'Oxford Economics'!$A$7:$A$1000,$C28,'Oxford Economics'!$B$7:$B$1000,Settings!$B$17)))),""))</f>
        <v>49523.14</v>
      </c>
      <c r="AD28" s="37" t="n">
        <f aca="false">IF($A28="","",IFERROR(1/(1/IF($B28="Residential",SUMIFS(INDEX('Oxford Economics'!$A$7:$AZ$1000,0,IFERROR(MATCH(AD$5,'Oxford Economics'!$A$6:$AZ$6,0),MATCH(AD$5&amp;"",'Oxford Economics'!$A$6:$AZ$6,0))),'Oxford Economics'!$A$7:$A$1000,$C28,'Oxford Economics'!$B$7:$B$1000,Settings!$B$11)-SUMIFS(INDEX('Oxford Economics'!$A$7:$AZ$1000,0,IFERROR(MATCH(AD$5,'Oxford Economics'!$A$6:$AZ$6,0),MATCH(AD$5&amp;"",'Oxford Economics'!$A$6:$AZ$6,0))),'Oxford Economics'!$A$7:$A$1000,$C28,'Oxford Economics'!$B$7:$B$1000,Settings!$B$13),SUMIFS(INDEX('Oxford Economics'!$A$7:$AZ$1000,0,IFERROR(MATCH(AD$5,'Oxford Economics'!$A$6:$AZ$6,0),MATCH(AD$5&amp;"",'Oxford Economics'!$A$6:$AZ$6,0))),'Oxford Economics'!$A$7:$A$1000,$C28,'Oxford Economics'!$B$7:$B$1000,Settings!$B$13)+SUMIFS(INDEX('Oxford Economics'!$A$7:$AZ$1000,0,IFERROR(MATCH(AD$5,'Oxford Economics'!$A$6:$AZ$6,0),MATCH(AD$5&amp;"",'Oxford Economics'!$A$6:$AZ$6,0))),'Oxford Economics'!$A$7:$A$1000,$C28,'Oxford Economics'!$B$7:$B$1000,Settings!$B$15)+IF(Settings!$B$17="",0,SUMIFS(INDEX('Oxford Economics'!$A$7:$AZ$1000,0,IFERROR(MATCH(AD$5,'Oxford Economics'!$A$6:$AZ$6,0),MATCH(AD$5&amp;"",'Oxford Economics'!$A$6:$AZ$6,0))),'Oxford Economics'!$A$7:$A$1000,$C28,'Oxford Economics'!$B$7:$B$1000,Settings!$B$17)))),""))</f>
        <v>55892.94</v>
      </c>
      <c r="AE28" s="37" t="n">
        <f aca="false">IF($A28="","",IFERROR(1/(1/IF($B28="Residential",SUMIFS(INDEX('Oxford Economics'!$A$7:$AZ$1000,0,IFERROR(MATCH(AE$5,'Oxford Economics'!$A$6:$AZ$6,0),MATCH(AE$5&amp;"",'Oxford Economics'!$A$6:$AZ$6,0))),'Oxford Economics'!$A$7:$A$1000,$C28,'Oxford Economics'!$B$7:$B$1000,Settings!$B$11)-SUMIFS(INDEX('Oxford Economics'!$A$7:$AZ$1000,0,IFERROR(MATCH(AE$5,'Oxford Economics'!$A$6:$AZ$6,0),MATCH(AE$5&amp;"",'Oxford Economics'!$A$6:$AZ$6,0))),'Oxford Economics'!$A$7:$A$1000,$C28,'Oxford Economics'!$B$7:$B$1000,Settings!$B$13),SUMIFS(INDEX('Oxford Economics'!$A$7:$AZ$1000,0,IFERROR(MATCH(AE$5,'Oxford Economics'!$A$6:$AZ$6,0),MATCH(AE$5&amp;"",'Oxford Economics'!$A$6:$AZ$6,0))),'Oxford Economics'!$A$7:$A$1000,$C28,'Oxford Economics'!$B$7:$B$1000,Settings!$B$13)+SUMIFS(INDEX('Oxford Economics'!$A$7:$AZ$1000,0,IFERROR(MATCH(AE$5,'Oxford Economics'!$A$6:$AZ$6,0),MATCH(AE$5&amp;"",'Oxford Economics'!$A$6:$AZ$6,0))),'Oxford Economics'!$A$7:$A$1000,$C28,'Oxford Economics'!$B$7:$B$1000,Settings!$B$15)+IF(Settings!$B$17="",0,SUMIFS(INDEX('Oxford Economics'!$A$7:$AZ$1000,0,IFERROR(MATCH(AE$5,'Oxford Economics'!$A$6:$AZ$6,0),MATCH(AE$5&amp;"",'Oxford Economics'!$A$6:$AZ$6,0))),'Oxford Economics'!$A$7:$A$1000,$C28,'Oxford Economics'!$B$7:$B$1000,Settings!$B$17)))),""))</f>
        <v>49948.04</v>
      </c>
      <c r="AF28" s="37" t="n">
        <f aca="false">IF($A28="","",IFERROR(1/(1/IF($B28="Residential",SUMIFS(INDEX('Oxford Economics'!$A$7:$AZ$1000,0,IFERROR(MATCH(AF$5,'Oxford Economics'!$A$6:$AZ$6,0),MATCH(AF$5&amp;"",'Oxford Economics'!$A$6:$AZ$6,0))),'Oxford Economics'!$A$7:$A$1000,$C28,'Oxford Economics'!$B$7:$B$1000,Settings!$B$11)-SUMIFS(INDEX('Oxford Economics'!$A$7:$AZ$1000,0,IFERROR(MATCH(AF$5,'Oxford Economics'!$A$6:$AZ$6,0),MATCH(AF$5&amp;"",'Oxford Economics'!$A$6:$AZ$6,0))),'Oxford Economics'!$A$7:$A$1000,$C28,'Oxford Economics'!$B$7:$B$1000,Settings!$B$13),SUMIFS(INDEX('Oxford Economics'!$A$7:$AZ$1000,0,IFERROR(MATCH(AF$5,'Oxford Economics'!$A$6:$AZ$6,0),MATCH(AF$5&amp;"",'Oxford Economics'!$A$6:$AZ$6,0))),'Oxford Economics'!$A$7:$A$1000,$C28,'Oxford Economics'!$B$7:$B$1000,Settings!$B$13)+SUMIFS(INDEX('Oxford Economics'!$A$7:$AZ$1000,0,IFERROR(MATCH(AF$5,'Oxford Economics'!$A$6:$AZ$6,0),MATCH(AF$5&amp;"",'Oxford Economics'!$A$6:$AZ$6,0))),'Oxford Economics'!$A$7:$A$1000,$C28,'Oxford Economics'!$B$7:$B$1000,Settings!$B$15)+IF(Settings!$B$17="",0,SUMIFS(INDEX('Oxford Economics'!$A$7:$AZ$1000,0,IFERROR(MATCH(AF$5,'Oxford Economics'!$A$6:$AZ$6,0),MATCH(AF$5&amp;"",'Oxford Economics'!$A$6:$AZ$6,0))),'Oxford Economics'!$A$7:$A$1000,$C28,'Oxford Economics'!$B$7:$B$1000,Settings!$B$17)))),""))</f>
        <v>47508.71</v>
      </c>
      <c r="AG28" s="37" t="n">
        <f aca="false">IF($A28="","",IFERROR(1/(1/IF($B28="Residential",SUMIFS(INDEX('Oxford Economics'!$A$7:$AZ$1000,0,IFERROR(MATCH(AG$5,'Oxford Economics'!$A$6:$AZ$6,0),MATCH(AG$5&amp;"",'Oxford Economics'!$A$6:$AZ$6,0))),'Oxford Economics'!$A$7:$A$1000,$C28,'Oxford Economics'!$B$7:$B$1000,Settings!$B$11)-SUMIFS(INDEX('Oxford Economics'!$A$7:$AZ$1000,0,IFERROR(MATCH(AG$5,'Oxford Economics'!$A$6:$AZ$6,0),MATCH(AG$5&amp;"",'Oxford Economics'!$A$6:$AZ$6,0))),'Oxford Economics'!$A$7:$A$1000,$C28,'Oxford Economics'!$B$7:$B$1000,Settings!$B$13),SUMIFS(INDEX('Oxford Economics'!$A$7:$AZ$1000,0,IFERROR(MATCH(AG$5,'Oxford Economics'!$A$6:$AZ$6,0),MATCH(AG$5&amp;"",'Oxford Economics'!$A$6:$AZ$6,0))),'Oxford Economics'!$A$7:$A$1000,$C28,'Oxford Economics'!$B$7:$B$1000,Settings!$B$13)+SUMIFS(INDEX('Oxford Economics'!$A$7:$AZ$1000,0,IFERROR(MATCH(AG$5,'Oxford Economics'!$A$6:$AZ$6,0),MATCH(AG$5&amp;"",'Oxford Economics'!$A$6:$AZ$6,0))),'Oxford Economics'!$A$7:$A$1000,$C28,'Oxford Economics'!$B$7:$B$1000,Settings!$B$15)+IF(Settings!$B$17="",0,SUMIFS(INDEX('Oxford Economics'!$A$7:$AZ$1000,0,IFERROR(MATCH(AG$5,'Oxford Economics'!$A$6:$AZ$6,0),MATCH(AG$5&amp;"",'Oxford Economics'!$A$6:$AZ$6,0))),'Oxford Economics'!$A$7:$A$1000,$C28,'Oxford Economics'!$B$7:$B$1000,Settings!$B$17)))),""))</f>
        <v>47675.63</v>
      </c>
      <c r="AH28" s="37" t="n">
        <f aca="false">IF($A28="","",IFERROR(1/(1/IF($B28="Residential",SUMIFS(INDEX('Oxford Economics'!$A$7:$AZ$1000,0,IFERROR(MATCH(AH$5,'Oxford Economics'!$A$6:$AZ$6,0),MATCH(AH$5&amp;"",'Oxford Economics'!$A$6:$AZ$6,0))),'Oxford Economics'!$A$7:$A$1000,$C28,'Oxford Economics'!$B$7:$B$1000,Settings!$B$11)-SUMIFS(INDEX('Oxford Economics'!$A$7:$AZ$1000,0,IFERROR(MATCH(AH$5,'Oxford Economics'!$A$6:$AZ$6,0),MATCH(AH$5&amp;"",'Oxford Economics'!$A$6:$AZ$6,0))),'Oxford Economics'!$A$7:$A$1000,$C28,'Oxford Economics'!$B$7:$B$1000,Settings!$B$13),SUMIFS(INDEX('Oxford Economics'!$A$7:$AZ$1000,0,IFERROR(MATCH(AH$5,'Oxford Economics'!$A$6:$AZ$6,0),MATCH(AH$5&amp;"",'Oxford Economics'!$A$6:$AZ$6,0))),'Oxford Economics'!$A$7:$A$1000,$C28,'Oxford Economics'!$B$7:$B$1000,Settings!$B$13)+SUMIFS(INDEX('Oxford Economics'!$A$7:$AZ$1000,0,IFERROR(MATCH(AH$5,'Oxford Economics'!$A$6:$AZ$6,0),MATCH(AH$5&amp;"",'Oxford Economics'!$A$6:$AZ$6,0))),'Oxford Economics'!$A$7:$A$1000,$C28,'Oxford Economics'!$B$7:$B$1000,Settings!$B$15)+IF(Settings!$B$17="",0,SUMIFS(INDEX('Oxford Economics'!$A$7:$AZ$1000,0,IFERROR(MATCH(AH$5,'Oxford Economics'!$A$6:$AZ$6,0),MATCH(AH$5&amp;"",'Oxford Economics'!$A$6:$AZ$6,0))),'Oxford Economics'!$A$7:$A$1000,$C28,'Oxford Economics'!$B$7:$B$1000,Settings!$B$17)))),""))</f>
        <v>49821.24</v>
      </c>
      <c r="AI28" s="37" t="n">
        <f aca="false">IF($A28="","",IFERROR(1/(1/IF($B28="Residential",SUMIFS(INDEX('Oxford Economics'!$A$7:$AZ$1000,0,IFERROR(MATCH(AI$5,'Oxford Economics'!$A$6:$AZ$6,0),MATCH(AI$5&amp;"",'Oxford Economics'!$A$6:$AZ$6,0))),'Oxford Economics'!$A$7:$A$1000,$C28,'Oxford Economics'!$B$7:$B$1000,Settings!$B$11)-SUMIFS(INDEX('Oxford Economics'!$A$7:$AZ$1000,0,IFERROR(MATCH(AI$5,'Oxford Economics'!$A$6:$AZ$6,0),MATCH(AI$5&amp;"",'Oxford Economics'!$A$6:$AZ$6,0))),'Oxford Economics'!$A$7:$A$1000,$C28,'Oxford Economics'!$B$7:$B$1000,Settings!$B$13),SUMIFS(INDEX('Oxford Economics'!$A$7:$AZ$1000,0,IFERROR(MATCH(AI$5,'Oxford Economics'!$A$6:$AZ$6,0),MATCH(AI$5&amp;"",'Oxford Economics'!$A$6:$AZ$6,0))),'Oxford Economics'!$A$7:$A$1000,$C28,'Oxford Economics'!$B$7:$B$1000,Settings!$B$13)+SUMIFS(INDEX('Oxford Economics'!$A$7:$AZ$1000,0,IFERROR(MATCH(AI$5,'Oxford Economics'!$A$6:$AZ$6,0),MATCH(AI$5&amp;"",'Oxford Economics'!$A$6:$AZ$6,0))),'Oxford Economics'!$A$7:$A$1000,$C28,'Oxford Economics'!$B$7:$B$1000,Settings!$B$15)+IF(Settings!$B$17="",0,SUMIFS(INDEX('Oxford Economics'!$A$7:$AZ$1000,0,IFERROR(MATCH(AI$5,'Oxford Economics'!$A$6:$AZ$6,0),MATCH(AI$5&amp;"",'Oxford Economics'!$A$6:$AZ$6,0))),'Oxford Economics'!$A$7:$A$1000,$C28,'Oxford Economics'!$B$7:$B$1000,Settings!$B$17)))),""))</f>
        <v>52472.3</v>
      </c>
      <c r="AJ28" s="37" t="n">
        <f aca="false">IF($A28="","",IFERROR(1/(1/IF($B28="Residential",SUMIFS(INDEX('Oxford Economics'!$A$7:$AZ$1000,0,IFERROR(MATCH(AJ$5,'Oxford Economics'!$A$6:$AZ$6,0),MATCH(AJ$5&amp;"",'Oxford Economics'!$A$6:$AZ$6,0))),'Oxford Economics'!$A$7:$A$1000,$C28,'Oxford Economics'!$B$7:$B$1000,Settings!$B$11)-SUMIFS(INDEX('Oxford Economics'!$A$7:$AZ$1000,0,IFERROR(MATCH(AJ$5,'Oxford Economics'!$A$6:$AZ$6,0),MATCH(AJ$5&amp;"",'Oxford Economics'!$A$6:$AZ$6,0))),'Oxford Economics'!$A$7:$A$1000,$C28,'Oxford Economics'!$B$7:$B$1000,Settings!$B$13),SUMIFS(INDEX('Oxford Economics'!$A$7:$AZ$1000,0,IFERROR(MATCH(AJ$5,'Oxford Economics'!$A$6:$AZ$6,0),MATCH(AJ$5&amp;"",'Oxford Economics'!$A$6:$AZ$6,0))),'Oxford Economics'!$A$7:$A$1000,$C28,'Oxford Economics'!$B$7:$B$1000,Settings!$B$13)+SUMIFS(INDEX('Oxford Economics'!$A$7:$AZ$1000,0,IFERROR(MATCH(AJ$5,'Oxford Economics'!$A$6:$AZ$6,0),MATCH(AJ$5&amp;"",'Oxford Economics'!$A$6:$AZ$6,0))),'Oxford Economics'!$A$7:$A$1000,$C28,'Oxford Economics'!$B$7:$B$1000,Settings!$B$15)+IF(Settings!$B$17="",0,SUMIFS(INDEX('Oxford Economics'!$A$7:$AZ$1000,0,IFERROR(MATCH(AJ$5,'Oxford Economics'!$A$6:$AZ$6,0),MATCH(AJ$5&amp;"",'Oxford Economics'!$A$6:$AZ$6,0))),'Oxford Economics'!$A$7:$A$1000,$C28,'Oxford Economics'!$B$7:$B$1000,Settings!$B$17)))),""))</f>
        <v>55467.89</v>
      </c>
      <c r="AK28" s="37" t="n">
        <f aca="false">IF($A28="","",IFERROR(1/(1/IF($B28="Residential",SUMIFS(INDEX('Oxford Economics'!$A$7:$AZ$1000,0,IFERROR(MATCH(AK$5,'Oxford Economics'!$A$6:$AZ$6,0),MATCH(AK$5&amp;"",'Oxford Economics'!$A$6:$AZ$6,0))),'Oxford Economics'!$A$7:$A$1000,$C28,'Oxford Economics'!$B$7:$B$1000,Settings!$B$11)-SUMIFS(INDEX('Oxford Economics'!$A$7:$AZ$1000,0,IFERROR(MATCH(AK$5,'Oxford Economics'!$A$6:$AZ$6,0),MATCH(AK$5&amp;"",'Oxford Economics'!$A$6:$AZ$6,0))),'Oxford Economics'!$A$7:$A$1000,$C28,'Oxford Economics'!$B$7:$B$1000,Settings!$B$13),SUMIFS(INDEX('Oxford Economics'!$A$7:$AZ$1000,0,IFERROR(MATCH(AK$5,'Oxford Economics'!$A$6:$AZ$6,0),MATCH(AK$5&amp;"",'Oxford Economics'!$A$6:$AZ$6,0))),'Oxford Economics'!$A$7:$A$1000,$C28,'Oxford Economics'!$B$7:$B$1000,Settings!$B$13)+SUMIFS(INDEX('Oxford Economics'!$A$7:$AZ$1000,0,IFERROR(MATCH(AK$5,'Oxford Economics'!$A$6:$AZ$6,0),MATCH(AK$5&amp;"",'Oxford Economics'!$A$6:$AZ$6,0))),'Oxford Economics'!$A$7:$A$1000,$C28,'Oxford Economics'!$B$7:$B$1000,Settings!$B$15)+IF(Settings!$B$17="",0,SUMIFS(INDEX('Oxford Economics'!$A$7:$AZ$1000,0,IFERROR(MATCH(AK$5,'Oxford Economics'!$A$6:$AZ$6,0),MATCH(AK$5&amp;"",'Oxford Economics'!$A$6:$AZ$6,0))),'Oxford Economics'!$A$7:$A$1000,$C28,'Oxford Economics'!$B$7:$B$1000,Settings!$B$17)))),""))</f>
        <v>58296.66</v>
      </c>
      <c r="AL28" s="37" t="n">
        <f aca="false">IF($A28="","",IFERROR(1/(1/IF($B28="Residential",SUMIFS(INDEX('Oxford Economics'!$A$7:$AZ$1000,0,IFERROR(MATCH(AL$5,'Oxford Economics'!$A$6:$AZ$6,0),MATCH(AL$5&amp;"",'Oxford Economics'!$A$6:$AZ$6,0))),'Oxford Economics'!$A$7:$A$1000,$C28,'Oxford Economics'!$B$7:$B$1000,Settings!$B$11)-SUMIFS(INDEX('Oxford Economics'!$A$7:$AZ$1000,0,IFERROR(MATCH(AL$5,'Oxford Economics'!$A$6:$AZ$6,0),MATCH(AL$5&amp;"",'Oxford Economics'!$A$6:$AZ$6,0))),'Oxford Economics'!$A$7:$A$1000,$C28,'Oxford Economics'!$B$7:$B$1000,Settings!$B$13),SUMIFS(INDEX('Oxford Economics'!$A$7:$AZ$1000,0,IFERROR(MATCH(AL$5,'Oxford Economics'!$A$6:$AZ$6,0),MATCH(AL$5&amp;"",'Oxford Economics'!$A$6:$AZ$6,0))),'Oxford Economics'!$A$7:$A$1000,$C28,'Oxford Economics'!$B$7:$B$1000,Settings!$B$13)+SUMIFS(INDEX('Oxford Economics'!$A$7:$AZ$1000,0,IFERROR(MATCH(AL$5,'Oxford Economics'!$A$6:$AZ$6,0),MATCH(AL$5&amp;"",'Oxford Economics'!$A$6:$AZ$6,0))),'Oxford Economics'!$A$7:$A$1000,$C28,'Oxford Economics'!$B$7:$B$1000,Settings!$B$15)+IF(Settings!$B$17="",0,SUMIFS(INDEX('Oxford Economics'!$A$7:$AZ$1000,0,IFERROR(MATCH(AL$5,'Oxford Economics'!$A$6:$AZ$6,0),MATCH(AL$5&amp;"",'Oxford Economics'!$A$6:$AZ$6,0))),'Oxford Economics'!$A$7:$A$1000,$C28,'Oxford Economics'!$B$7:$B$1000,Settings!$B$17)))),""))</f>
        <v>61086.49</v>
      </c>
      <c r="AM28" s="37" t="n">
        <f aca="false">IF($A28="","",IFERROR(1/(1/IF($B28="Residential",SUMIFS(INDEX('Oxford Economics'!$A$7:$AZ$1000,0,IFERROR(MATCH(AM$5,'Oxford Economics'!$A$6:$AZ$6,0),MATCH(AM$5&amp;"",'Oxford Economics'!$A$6:$AZ$6,0))),'Oxford Economics'!$A$7:$A$1000,$C28,'Oxford Economics'!$B$7:$B$1000,Settings!$B$11)-SUMIFS(INDEX('Oxford Economics'!$A$7:$AZ$1000,0,IFERROR(MATCH(AM$5,'Oxford Economics'!$A$6:$AZ$6,0),MATCH(AM$5&amp;"",'Oxford Economics'!$A$6:$AZ$6,0))),'Oxford Economics'!$A$7:$A$1000,$C28,'Oxford Economics'!$B$7:$B$1000,Settings!$B$13),SUMIFS(INDEX('Oxford Economics'!$A$7:$AZ$1000,0,IFERROR(MATCH(AM$5,'Oxford Economics'!$A$6:$AZ$6,0),MATCH(AM$5&amp;"",'Oxford Economics'!$A$6:$AZ$6,0))),'Oxford Economics'!$A$7:$A$1000,$C28,'Oxford Economics'!$B$7:$B$1000,Settings!$B$13)+SUMIFS(INDEX('Oxford Economics'!$A$7:$AZ$1000,0,IFERROR(MATCH(AM$5,'Oxford Economics'!$A$6:$AZ$6,0),MATCH(AM$5&amp;"",'Oxford Economics'!$A$6:$AZ$6,0))),'Oxford Economics'!$A$7:$A$1000,$C28,'Oxford Economics'!$B$7:$B$1000,Settings!$B$15)+IF(Settings!$B$17="",0,SUMIFS(INDEX('Oxford Economics'!$A$7:$AZ$1000,0,IFERROR(MATCH(AM$5,'Oxford Economics'!$A$6:$AZ$6,0),MATCH(AM$5&amp;"",'Oxford Economics'!$A$6:$AZ$6,0))),'Oxford Economics'!$A$7:$A$1000,$C28,'Oxford Economics'!$B$7:$B$1000,Settings!$B$17)))),""))</f>
        <v>63152.19</v>
      </c>
    </row>
    <row r="29" customFormat="false" ht="15" hidden="false" customHeight="false" outlineLevel="0" collapsed="false">
      <c r="A29" s="36" t="str">
        <f aca="false">IF('Raw data'!$A29="","",'Raw data'!$A29)</f>
        <v>United Kingdom</v>
      </c>
      <c r="B29" s="36" t="str">
        <f aca="false">IF($A29="","",'Raw data'!$C29)</f>
        <v>Commercial</v>
      </c>
      <c r="C29" s="36" t="str">
        <f aca="false">IF($A29="","",IF('Raw data'!$D29="",$A29,'Raw data'!$D29))</f>
        <v>United Kingdom</v>
      </c>
      <c r="D29" s="37" t="n">
        <f aca="false">IF($A29="","",IF(AND(ISNUMBER(P29),ISNUMBER(AB29)),P29+AB29,""))</f>
        <v>67046.45</v>
      </c>
      <c r="E29" s="37" t="n">
        <f aca="false">IF($A29="","",IF(AND(ISNUMBER(Q29),ISNUMBER(AC29)),Q29+AC29,""))</f>
        <v>69888.18</v>
      </c>
      <c r="F29" s="37" t="n">
        <f aca="false">IF($A29="","",IF(AND(ISNUMBER(R29),ISNUMBER(AD29)),R29+AD29,""))</f>
        <v>70425.55</v>
      </c>
      <c r="G29" s="37" t="n">
        <f aca="false">IF($A29="","",IF(AND(ISNUMBER(S29),ISNUMBER(AE29)),S29+AE29,""))</f>
        <v>73486.01</v>
      </c>
      <c r="H29" s="37" t="n">
        <f aca="false">IF($A29="","",IF(AND(ISNUMBER(T29),ISNUMBER(AF29)),T29+AF29,""))</f>
        <v>72397.68</v>
      </c>
      <c r="I29" s="37" t="n">
        <f aca="false">IF($A29="","",IF(AND(ISNUMBER(U29),ISNUMBER(AG29)),U29+AG29,""))</f>
        <v>68667.69</v>
      </c>
      <c r="J29" s="37" t="n">
        <f aca="false">IF($A29="","",IF(AND(ISNUMBER(V29),ISNUMBER(AH29)),V29+AH29,""))</f>
        <v>68300.03</v>
      </c>
      <c r="K29" s="37" t="n">
        <f aca="false">IF($A29="","",IF(AND(ISNUMBER(W29),ISNUMBER(AI29)),W29+AI29,""))</f>
        <v>70373.25</v>
      </c>
      <c r="L29" s="37" t="n">
        <f aca="false">IF($A29="","",IF(AND(ISNUMBER(X29),ISNUMBER(AJ29)),X29+AJ29,""))</f>
        <v>73711.75</v>
      </c>
      <c r="M29" s="37" t="n">
        <f aca="false">IF($A29="","",IF(AND(ISNUMBER(Y29),ISNUMBER(AK29)),Y29+AK29,""))</f>
        <v>77542.9</v>
      </c>
      <c r="N29" s="37" t="n">
        <f aca="false">IF($A29="","",IF(AND(ISNUMBER(Z29),ISNUMBER(AL29)),Z29+AL29,""))</f>
        <v>80800.92</v>
      </c>
      <c r="O29" s="37" t="n">
        <f aca="false">IF($A29="","",IF(AND(ISNUMBER(AA29),ISNUMBER(AM29)),AA29+AM29,""))</f>
        <v>83236.1</v>
      </c>
      <c r="P29" s="37" t="n">
        <f aca="false">IF($A29="","",IFERROR(1/(1/IF($B29="Residential",SUMIFS(INDEX('Oxford Economics'!$A$7:$AZ$1000,0,IFERROR(MATCH(P$5,'Oxford Economics'!$A$6:$AZ$6,0),MATCH(P$5&amp;"",'Oxford Economics'!$A$6:$AZ$6,0))),'Oxford Economics'!$A$7:$A$1000,$C29,'Oxford Economics'!$B$7:$B$1000,Settings!$B$12)-SUMIFS(INDEX('Oxford Economics'!$A$7:$AZ$1000,0,IFERROR(MATCH(P$5,'Oxford Economics'!$A$6:$AZ$6,0),MATCH(P$5&amp;"",'Oxford Economics'!$A$6:$AZ$6,0))),'Oxford Economics'!$A$7:$A$1000,$C29,'Oxford Economics'!$B$7:$B$1000,Settings!$B$14),SUMIFS(INDEX('Oxford Economics'!$A$7:$AZ$1000,0,IFERROR(MATCH(P$5,'Oxford Economics'!$A$6:$AZ$6,0),MATCH(P$5&amp;"",'Oxford Economics'!$A$6:$AZ$6,0))),'Oxford Economics'!$A$7:$A$1000,$C29,'Oxford Economics'!$B$7:$B$1000,Settings!$B$14)+SUMIFS(INDEX('Oxford Economics'!$A$7:$AZ$1000,0,IFERROR(MATCH(P$5,'Oxford Economics'!$A$6:$AZ$6,0),MATCH(P$5&amp;"",'Oxford Economics'!$A$6:$AZ$6,0))),'Oxford Economics'!$A$7:$A$1000,$C29,'Oxford Economics'!$B$7:$B$1000,Settings!$B$16)+IF(Settings!$B$18="",0,SUMIFS(INDEX('Oxford Economics'!$A$7:$AZ$1000,0,IFERROR(MATCH(P$5,'Oxford Economics'!$A$6:$AZ$6,0),MATCH(P$5&amp;"",'Oxford Economics'!$A$6:$AZ$6,0))),'Oxford Economics'!$A$7:$A$1000,$C29,'Oxford Economics'!$B$7:$B$1000,Settings!$B$18)))),""))</f>
        <v>21598.12</v>
      </c>
      <c r="Q29" s="37" t="n">
        <f aca="false">IF($A29="","",IFERROR(1/(1/IF($B29="Residential",SUMIFS(INDEX('Oxford Economics'!$A$7:$AZ$1000,0,IFERROR(MATCH(Q$5,'Oxford Economics'!$A$6:$AZ$6,0),MATCH(Q$5&amp;"",'Oxford Economics'!$A$6:$AZ$6,0))),'Oxford Economics'!$A$7:$A$1000,$C29,'Oxford Economics'!$B$7:$B$1000,Settings!$B$12)-SUMIFS(INDEX('Oxford Economics'!$A$7:$AZ$1000,0,IFERROR(MATCH(Q$5,'Oxford Economics'!$A$6:$AZ$6,0),MATCH(Q$5&amp;"",'Oxford Economics'!$A$6:$AZ$6,0))),'Oxford Economics'!$A$7:$A$1000,$C29,'Oxford Economics'!$B$7:$B$1000,Settings!$B$14),SUMIFS(INDEX('Oxford Economics'!$A$7:$AZ$1000,0,IFERROR(MATCH(Q$5,'Oxford Economics'!$A$6:$AZ$6,0),MATCH(Q$5&amp;"",'Oxford Economics'!$A$6:$AZ$6,0))),'Oxford Economics'!$A$7:$A$1000,$C29,'Oxford Economics'!$B$7:$B$1000,Settings!$B$14)+SUMIFS(INDEX('Oxford Economics'!$A$7:$AZ$1000,0,IFERROR(MATCH(Q$5,'Oxford Economics'!$A$6:$AZ$6,0),MATCH(Q$5&amp;"",'Oxford Economics'!$A$6:$AZ$6,0))),'Oxford Economics'!$A$7:$A$1000,$C29,'Oxford Economics'!$B$7:$B$1000,Settings!$B$16)+IF(Settings!$B$18="",0,SUMIFS(INDEX('Oxford Economics'!$A$7:$AZ$1000,0,IFERROR(MATCH(Q$5,'Oxford Economics'!$A$6:$AZ$6,0),MATCH(Q$5&amp;"",'Oxford Economics'!$A$6:$AZ$6,0))),'Oxford Economics'!$A$7:$A$1000,$C29,'Oxford Economics'!$B$7:$B$1000,Settings!$B$18)))),""))</f>
        <v>24644.37</v>
      </c>
      <c r="R29" s="37" t="n">
        <f aca="false">IF($A29="","",IFERROR(1/(1/IF($B29="Residential",SUMIFS(INDEX('Oxford Economics'!$A$7:$AZ$1000,0,IFERROR(MATCH(R$5,'Oxford Economics'!$A$6:$AZ$6,0),MATCH(R$5&amp;"",'Oxford Economics'!$A$6:$AZ$6,0))),'Oxford Economics'!$A$7:$A$1000,$C29,'Oxford Economics'!$B$7:$B$1000,Settings!$B$12)-SUMIFS(INDEX('Oxford Economics'!$A$7:$AZ$1000,0,IFERROR(MATCH(R$5,'Oxford Economics'!$A$6:$AZ$6,0),MATCH(R$5&amp;"",'Oxford Economics'!$A$6:$AZ$6,0))),'Oxford Economics'!$A$7:$A$1000,$C29,'Oxford Economics'!$B$7:$B$1000,Settings!$B$14),SUMIFS(INDEX('Oxford Economics'!$A$7:$AZ$1000,0,IFERROR(MATCH(R$5,'Oxford Economics'!$A$6:$AZ$6,0),MATCH(R$5&amp;"",'Oxford Economics'!$A$6:$AZ$6,0))),'Oxford Economics'!$A$7:$A$1000,$C29,'Oxford Economics'!$B$7:$B$1000,Settings!$B$14)+SUMIFS(INDEX('Oxford Economics'!$A$7:$AZ$1000,0,IFERROR(MATCH(R$5,'Oxford Economics'!$A$6:$AZ$6,0),MATCH(R$5&amp;"",'Oxford Economics'!$A$6:$AZ$6,0))),'Oxford Economics'!$A$7:$A$1000,$C29,'Oxford Economics'!$B$7:$B$1000,Settings!$B$16)+IF(Settings!$B$18="",0,SUMIFS(INDEX('Oxford Economics'!$A$7:$AZ$1000,0,IFERROR(MATCH(R$5,'Oxford Economics'!$A$6:$AZ$6,0),MATCH(R$5&amp;"",'Oxford Economics'!$A$6:$AZ$6,0))),'Oxford Economics'!$A$7:$A$1000,$C29,'Oxford Economics'!$B$7:$B$1000,Settings!$B$18)))),""))</f>
        <v>25145.66</v>
      </c>
      <c r="S29" s="37" t="n">
        <f aca="false">IF($A29="","",IFERROR(1/(1/IF($B29="Residential",SUMIFS(INDEX('Oxford Economics'!$A$7:$AZ$1000,0,IFERROR(MATCH(S$5,'Oxford Economics'!$A$6:$AZ$6,0),MATCH(S$5&amp;"",'Oxford Economics'!$A$6:$AZ$6,0))),'Oxford Economics'!$A$7:$A$1000,$C29,'Oxford Economics'!$B$7:$B$1000,Settings!$B$12)-SUMIFS(INDEX('Oxford Economics'!$A$7:$AZ$1000,0,IFERROR(MATCH(S$5,'Oxford Economics'!$A$6:$AZ$6,0),MATCH(S$5&amp;"",'Oxford Economics'!$A$6:$AZ$6,0))),'Oxford Economics'!$A$7:$A$1000,$C29,'Oxford Economics'!$B$7:$B$1000,Settings!$B$14),SUMIFS(INDEX('Oxford Economics'!$A$7:$AZ$1000,0,IFERROR(MATCH(S$5,'Oxford Economics'!$A$6:$AZ$6,0),MATCH(S$5&amp;"",'Oxford Economics'!$A$6:$AZ$6,0))),'Oxford Economics'!$A$7:$A$1000,$C29,'Oxford Economics'!$B$7:$B$1000,Settings!$B$14)+SUMIFS(INDEX('Oxford Economics'!$A$7:$AZ$1000,0,IFERROR(MATCH(S$5,'Oxford Economics'!$A$6:$AZ$6,0),MATCH(S$5&amp;"",'Oxford Economics'!$A$6:$AZ$6,0))),'Oxford Economics'!$A$7:$A$1000,$C29,'Oxford Economics'!$B$7:$B$1000,Settings!$B$16)+IF(Settings!$B$18="",0,SUMIFS(INDEX('Oxford Economics'!$A$7:$AZ$1000,0,IFERROR(MATCH(S$5,'Oxford Economics'!$A$6:$AZ$6,0),MATCH(S$5&amp;"",'Oxford Economics'!$A$6:$AZ$6,0))),'Oxford Economics'!$A$7:$A$1000,$C29,'Oxford Economics'!$B$7:$B$1000,Settings!$B$18)))),""))</f>
        <v>27647.3</v>
      </c>
      <c r="T29" s="37" t="n">
        <f aca="false">IF($A29="","",IFERROR(1/(1/IF($B29="Residential",SUMIFS(INDEX('Oxford Economics'!$A$7:$AZ$1000,0,IFERROR(MATCH(T$5,'Oxford Economics'!$A$6:$AZ$6,0),MATCH(T$5&amp;"",'Oxford Economics'!$A$6:$AZ$6,0))),'Oxford Economics'!$A$7:$A$1000,$C29,'Oxford Economics'!$B$7:$B$1000,Settings!$B$12)-SUMIFS(INDEX('Oxford Economics'!$A$7:$AZ$1000,0,IFERROR(MATCH(T$5,'Oxford Economics'!$A$6:$AZ$6,0),MATCH(T$5&amp;"",'Oxford Economics'!$A$6:$AZ$6,0))),'Oxford Economics'!$A$7:$A$1000,$C29,'Oxford Economics'!$B$7:$B$1000,Settings!$B$14),SUMIFS(INDEX('Oxford Economics'!$A$7:$AZ$1000,0,IFERROR(MATCH(T$5,'Oxford Economics'!$A$6:$AZ$6,0),MATCH(T$5&amp;"",'Oxford Economics'!$A$6:$AZ$6,0))),'Oxford Economics'!$A$7:$A$1000,$C29,'Oxford Economics'!$B$7:$B$1000,Settings!$B$14)+SUMIFS(INDEX('Oxford Economics'!$A$7:$AZ$1000,0,IFERROR(MATCH(T$5,'Oxford Economics'!$A$6:$AZ$6,0),MATCH(T$5&amp;"",'Oxford Economics'!$A$6:$AZ$6,0))),'Oxford Economics'!$A$7:$A$1000,$C29,'Oxford Economics'!$B$7:$B$1000,Settings!$B$16)+IF(Settings!$B$18="",0,SUMIFS(INDEX('Oxford Economics'!$A$7:$AZ$1000,0,IFERROR(MATCH(T$5,'Oxford Economics'!$A$6:$AZ$6,0),MATCH(T$5&amp;"",'Oxford Economics'!$A$6:$AZ$6,0))),'Oxford Economics'!$A$7:$A$1000,$C29,'Oxford Economics'!$B$7:$B$1000,Settings!$B$18)))),""))</f>
        <v>28906.58</v>
      </c>
      <c r="U29" s="37" t="n">
        <f aca="false">IF($A29="","",IFERROR(1/(1/IF($B29="Residential",SUMIFS(INDEX('Oxford Economics'!$A$7:$AZ$1000,0,IFERROR(MATCH(U$5,'Oxford Economics'!$A$6:$AZ$6,0),MATCH(U$5&amp;"",'Oxford Economics'!$A$6:$AZ$6,0))),'Oxford Economics'!$A$7:$A$1000,$C29,'Oxford Economics'!$B$7:$B$1000,Settings!$B$12)-SUMIFS(INDEX('Oxford Economics'!$A$7:$AZ$1000,0,IFERROR(MATCH(U$5,'Oxford Economics'!$A$6:$AZ$6,0),MATCH(U$5&amp;"",'Oxford Economics'!$A$6:$AZ$6,0))),'Oxford Economics'!$A$7:$A$1000,$C29,'Oxford Economics'!$B$7:$B$1000,Settings!$B$14),SUMIFS(INDEX('Oxford Economics'!$A$7:$AZ$1000,0,IFERROR(MATCH(U$5,'Oxford Economics'!$A$6:$AZ$6,0),MATCH(U$5&amp;"",'Oxford Economics'!$A$6:$AZ$6,0))),'Oxford Economics'!$A$7:$A$1000,$C29,'Oxford Economics'!$B$7:$B$1000,Settings!$B$14)+SUMIFS(INDEX('Oxford Economics'!$A$7:$AZ$1000,0,IFERROR(MATCH(U$5,'Oxford Economics'!$A$6:$AZ$6,0),MATCH(U$5&amp;"",'Oxford Economics'!$A$6:$AZ$6,0))),'Oxford Economics'!$A$7:$A$1000,$C29,'Oxford Economics'!$B$7:$B$1000,Settings!$B$16)+IF(Settings!$B$18="",0,SUMIFS(INDEX('Oxford Economics'!$A$7:$AZ$1000,0,IFERROR(MATCH(U$5,'Oxford Economics'!$A$6:$AZ$6,0),MATCH(U$5&amp;"",'Oxford Economics'!$A$6:$AZ$6,0))),'Oxford Economics'!$A$7:$A$1000,$C29,'Oxford Economics'!$B$7:$B$1000,Settings!$B$18)))),""))</f>
        <v>27995.86</v>
      </c>
      <c r="V29" s="37" t="n">
        <f aca="false">IF($A29="","",IFERROR(1/(1/IF($B29="Residential",SUMIFS(INDEX('Oxford Economics'!$A$7:$AZ$1000,0,IFERROR(MATCH(V$5,'Oxford Economics'!$A$6:$AZ$6,0),MATCH(V$5&amp;"",'Oxford Economics'!$A$6:$AZ$6,0))),'Oxford Economics'!$A$7:$A$1000,$C29,'Oxford Economics'!$B$7:$B$1000,Settings!$B$12)-SUMIFS(INDEX('Oxford Economics'!$A$7:$AZ$1000,0,IFERROR(MATCH(V$5,'Oxford Economics'!$A$6:$AZ$6,0),MATCH(V$5&amp;"",'Oxford Economics'!$A$6:$AZ$6,0))),'Oxford Economics'!$A$7:$A$1000,$C29,'Oxford Economics'!$B$7:$B$1000,Settings!$B$14),SUMIFS(INDEX('Oxford Economics'!$A$7:$AZ$1000,0,IFERROR(MATCH(V$5,'Oxford Economics'!$A$6:$AZ$6,0),MATCH(V$5&amp;"",'Oxford Economics'!$A$6:$AZ$6,0))),'Oxford Economics'!$A$7:$A$1000,$C29,'Oxford Economics'!$B$7:$B$1000,Settings!$B$14)+SUMIFS(INDEX('Oxford Economics'!$A$7:$AZ$1000,0,IFERROR(MATCH(V$5,'Oxford Economics'!$A$6:$AZ$6,0),MATCH(V$5&amp;"",'Oxford Economics'!$A$6:$AZ$6,0))),'Oxford Economics'!$A$7:$A$1000,$C29,'Oxford Economics'!$B$7:$B$1000,Settings!$B$16)+IF(Settings!$B$18="",0,SUMIFS(INDEX('Oxford Economics'!$A$7:$AZ$1000,0,IFERROR(MATCH(V$5,'Oxford Economics'!$A$6:$AZ$6,0),MATCH(V$5&amp;"",'Oxford Economics'!$A$6:$AZ$6,0))),'Oxford Economics'!$A$7:$A$1000,$C29,'Oxford Economics'!$B$7:$B$1000,Settings!$B$18)))),""))</f>
        <v>27972.61</v>
      </c>
      <c r="W29" s="37" t="n">
        <f aca="false">IF($A29="","",IFERROR(1/(1/IF($B29="Residential",SUMIFS(INDEX('Oxford Economics'!$A$7:$AZ$1000,0,IFERROR(MATCH(W$5,'Oxford Economics'!$A$6:$AZ$6,0),MATCH(W$5&amp;"",'Oxford Economics'!$A$6:$AZ$6,0))),'Oxford Economics'!$A$7:$A$1000,$C29,'Oxford Economics'!$B$7:$B$1000,Settings!$B$12)-SUMIFS(INDEX('Oxford Economics'!$A$7:$AZ$1000,0,IFERROR(MATCH(W$5,'Oxford Economics'!$A$6:$AZ$6,0),MATCH(W$5&amp;"",'Oxford Economics'!$A$6:$AZ$6,0))),'Oxford Economics'!$A$7:$A$1000,$C29,'Oxford Economics'!$B$7:$B$1000,Settings!$B$14),SUMIFS(INDEX('Oxford Economics'!$A$7:$AZ$1000,0,IFERROR(MATCH(W$5,'Oxford Economics'!$A$6:$AZ$6,0),MATCH(W$5&amp;"",'Oxford Economics'!$A$6:$AZ$6,0))),'Oxford Economics'!$A$7:$A$1000,$C29,'Oxford Economics'!$B$7:$B$1000,Settings!$B$14)+SUMIFS(INDEX('Oxford Economics'!$A$7:$AZ$1000,0,IFERROR(MATCH(W$5,'Oxford Economics'!$A$6:$AZ$6,0),MATCH(W$5&amp;"",'Oxford Economics'!$A$6:$AZ$6,0))),'Oxford Economics'!$A$7:$A$1000,$C29,'Oxford Economics'!$B$7:$B$1000,Settings!$B$16)+IF(Settings!$B$18="",0,SUMIFS(INDEX('Oxford Economics'!$A$7:$AZ$1000,0,IFERROR(MATCH(W$5,'Oxford Economics'!$A$6:$AZ$6,0),MATCH(W$5&amp;"",'Oxford Economics'!$A$6:$AZ$6,0))),'Oxford Economics'!$A$7:$A$1000,$C29,'Oxford Economics'!$B$7:$B$1000,Settings!$B$18)))),""))</f>
        <v>29213.29</v>
      </c>
      <c r="X29" s="37" t="n">
        <f aca="false">IF($A29="","",IFERROR(1/(1/IF($B29="Residential",SUMIFS(INDEX('Oxford Economics'!$A$7:$AZ$1000,0,IFERROR(MATCH(X$5,'Oxford Economics'!$A$6:$AZ$6,0),MATCH(X$5&amp;"",'Oxford Economics'!$A$6:$AZ$6,0))),'Oxford Economics'!$A$7:$A$1000,$C29,'Oxford Economics'!$B$7:$B$1000,Settings!$B$12)-SUMIFS(INDEX('Oxford Economics'!$A$7:$AZ$1000,0,IFERROR(MATCH(X$5,'Oxford Economics'!$A$6:$AZ$6,0),MATCH(X$5&amp;"",'Oxford Economics'!$A$6:$AZ$6,0))),'Oxford Economics'!$A$7:$A$1000,$C29,'Oxford Economics'!$B$7:$B$1000,Settings!$B$14),SUMIFS(INDEX('Oxford Economics'!$A$7:$AZ$1000,0,IFERROR(MATCH(X$5,'Oxford Economics'!$A$6:$AZ$6,0),MATCH(X$5&amp;"",'Oxford Economics'!$A$6:$AZ$6,0))),'Oxford Economics'!$A$7:$A$1000,$C29,'Oxford Economics'!$B$7:$B$1000,Settings!$B$14)+SUMIFS(INDEX('Oxford Economics'!$A$7:$AZ$1000,0,IFERROR(MATCH(X$5,'Oxford Economics'!$A$6:$AZ$6,0),MATCH(X$5&amp;"",'Oxford Economics'!$A$6:$AZ$6,0))),'Oxford Economics'!$A$7:$A$1000,$C29,'Oxford Economics'!$B$7:$B$1000,Settings!$B$16)+IF(Settings!$B$18="",0,SUMIFS(INDEX('Oxford Economics'!$A$7:$AZ$1000,0,IFERROR(MATCH(X$5,'Oxford Economics'!$A$6:$AZ$6,0),MATCH(X$5&amp;"",'Oxford Economics'!$A$6:$AZ$6,0))),'Oxford Economics'!$A$7:$A$1000,$C29,'Oxford Economics'!$B$7:$B$1000,Settings!$B$18)))),""))</f>
        <v>31216.29</v>
      </c>
      <c r="Y29" s="37" t="n">
        <f aca="false">IF($A29="","",IFERROR(1/(1/IF($B29="Residential",SUMIFS(INDEX('Oxford Economics'!$A$7:$AZ$1000,0,IFERROR(MATCH(Y$5,'Oxford Economics'!$A$6:$AZ$6,0),MATCH(Y$5&amp;"",'Oxford Economics'!$A$6:$AZ$6,0))),'Oxford Economics'!$A$7:$A$1000,$C29,'Oxford Economics'!$B$7:$B$1000,Settings!$B$12)-SUMIFS(INDEX('Oxford Economics'!$A$7:$AZ$1000,0,IFERROR(MATCH(Y$5,'Oxford Economics'!$A$6:$AZ$6,0),MATCH(Y$5&amp;"",'Oxford Economics'!$A$6:$AZ$6,0))),'Oxford Economics'!$A$7:$A$1000,$C29,'Oxford Economics'!$B$7:$B$1000,Settings!$B$14),SUMIFS(INDEX('Oxford Economics'!$A$7:$AZ$1000,0,IFERROR(MATCH(Y$5,'Oxford Economics'!$A$6:$AZ$6,0),MATCH(Y$5&amp;"",'Oxford Economics'!$A$6:$AZ$6,0))),'Oxford Economics'!$A$7:$A$1000,$C29,'Oxford Economics'!$B$7:$B$1000,Settings!$B$14)+SUMIFS(INDEX('Oxford Economics'!$A$7:$AZ$1000,0,IFERROR(MATCH(Y$5,'Oxford Economics'!$A$6:$AZ$6,0),MATCH(Y$5&amp;"",'Oxford Economics'!$A$6:$AZ$6,0))),'Oxford Economics'!$A$7:$A$1000,$C29,'Oxford Economics'!$B$7:$B$1000,Settings!$B$16)+IF(Settings!$B$18="",0,SUMIFS(INDEX('Oxford Economics'!$A$7:$AZ$1000,0,IFERROR(MATCH(Y$5,'Oxford Economics'!$A$6:$AZ$6,0),MATCH(Y$5&amp;"",'Oxford Economics'!$A$6:$AZ$6,0))),'Oxford Economics'!$A$7:$A$1000,$C29,'Oxford Economics'!$B$7:$B$1000,Settings!$B$18)))),""))</f>
        <v>33459.68</v>
      </c>
      <c r="Z29" s="37" t="n">
        <f aca="false">IF($A29="","",IFERROR(1/(1/IF($B29="Residential",SUMIFS(INDEX('Oxford Economics'!$A$7:$AZ$1000,0,IFERROR(MATCH(Z$5,'Oxford Economics'!$A$6:$AZ$6,0),MATCH(Z$5&amp;"",'Oxford Economics'!$A$6:$AZ$6,0))),'Oxford Economics'!$A$7:$A$1000,$C29,'Oxford Economics'!$B$7:$B$1000,Settings!$B$12)-SUMIFS(INDEX('Oxford Economics'!$A$7:$AZ$1000,0,IFERROR(MATCH(Z$5,'Oxford Economics'!$A$6:$AZ$6,0),MATCH(Z$5&amp;"",'Oxford Economics'!$A$6:$AZ$6,0))),'Oxford Economics'!$A$7:$A$1000,$C29,'Oxford Economics'!$B$7:$B$1000,Settings!$B$14),SUMIFS(INDEX('Oxford Economics'!$A$7:$AZ$1000,0,IFERROR(MATCH(Z$5,'Oxford Economics'!$A$6:$AZ$6,0),MATCH(Z$5&amp;"",'Oxford Economics'!$A$6:$AZ$6,0))),'Oxford Economics'!$A$7:$A$1000,$C29,'Oxford Economics'!$B$7:$B$1000,Settings!$B$14)+SUMIFS(INDEX('Oxford Economics'!$A$7:$AZ$1000,0,IFERROR(MATCH(Z$5,'Oxford Economics'!$A$6:$AZ$6,0),MATCH(Z$5&amp;"",'Oxford Economics'!$A$6:$AZ$6,0))),'Oxford Economics'!$A$7:$A$1000,$C29,'Oxford Economics'!$B$7:$B$1000,Settings!$B$16)+IF(Settings!$B$18="",0,SUMIFS(INDEX('Oxford Economics'!$A$7:$AZ$1000,0,IFERROR(MATCH(Z$5,'Oxford Economics'!$A$6:$AZ$6,0),MATCH(Z$5&amp;"",'Oxford Economics'!$A$6:$AZ$6,0))),'Oxford Economics'!$A$7:$A$1000,$C29,'Oxford Economics'!$B$7:$B$1000,Settings!$B$18)))),""))</f>
        <v>35319.9</v>
      </c>
      <c r="AA29" s="37" t="n">
        <f aca="false">IF($A29="","",IFERROR(1/(1/IF($B29="Residential",SUMIFS(INDEX('Oxford Economics'!$A$7:$AZ$1000,0,IFERROR(MATCH(AA$5,'Oxford Economics'!$A$6:$AZ$6,0),MATCH(AA$5&amp;"",'Oxford Economics'!$A$6:$AZ$6,0))),'Oxford Economics'!$A$7:$A$1000,$C29,'Oxford Economics'!$B$7:$B$1000,Settings!$B$12)-SUMIFS(INDEX('Oxford Economics'!$A$7:$AZ$1000,0,IFERROR(MATCH(AA$5,'Oxford Economics'!$A$6:$AZ$6,0),MATCH(AA$5&amp;"",'Oxford Economics'!$A$6:$AZ$6,0))),'Oxford Economics'!$A$7:$A$1000,$C29,'Oxford Economics'!$B$7:$B$1000,Settings!$B$14),SUMIFS(INDEX('Oxford Economics'!$A$7:$AZ$1000,0,IFERROR(MATCH(AA$5,'Oxford Economics'!$A$6:$AZ$6,0),MATCH(AA$5&amp;"",'Oxford Economics'!$A$6:$AZ$6,0))),'Oxford Economics'!$A$7:$A$1000,$C29,'Oxford Economics'!$B$7:$B$1000,Settings!$B$14)+SUMIFS(INDEX('Oxford Economics'!$A$7:$AZ$1000,0,IFERROR(MATCH(AA$5,'Oxford Economics'!$A$6:$AZ$6,0),MATCH(AA$5&amp;"",'Oxford Economics'!$A$6:$AZ$6,0))),'Oxford Economics'!$A$7:$A$1000,$C29,'Oxford Economics'!$B$7:$B$1000,Settings!$B$16)+IF(Settings!$B$18="",0,SUMIFS(INDEX('Oxford Economics'!$A$7:$AZ$1000,0,IFERROR(MATCH(AA$5,'Oxford Economics'!$A$6:$AZ$6,0),MATCH(AA$5&amp;"",'Oxford Economics'!$A$6:$AZ$6,0))),'Oxford Economics'!$A$7:$A$1000,$C29,'Oxford Economics'!$B$7:$B$1000,Settings!$B$18)))),""))</f>
        <v>36367.33</v>
      </c>
      <c r="AB29" s="37" t="n">
        <f aca="false">IF($A29="","",IFERROR(1/(1/IF($B29="Residential",SUMIFS(INDEX('Oxford Economics'!$A$7:$AZ$1000,0,IFERROR(MATCH(AB$5,'Oxford Economics'!$A$6:$AZ$6,0),MATCH(AB$5&amp;"",'Oxford Economics'!$A$6:$AZ$6,0))),'Oxford Economics'!$A$7:$A$1000,$C29,'Oxford Economics'!$B$7:$B$1000,Settings!$B$11)-SUMIFS(INDEX('Oxford Economics'!$A$7:$AZ$1000,0,IFERROR(MATCH(AB$5,'Oxford Economics'!$A$6:$AZ$6,0),MATCH(AB$5&amp;"",'Oxford Economics'!$A$6:$AZ$6,0))),'Oxford Economics'!$A$7:$A$1000,$C29,'Oxford Economics'!$B$7:$B$1000,Settings!$B$13),SUMIFS(INDEX('Oxford Economics'!$A$7:$AZ$1000,0,IFERROR(MATCH(AB$5,'Oxford Economics'!$A$6:$AZ$6,0),MATCH(AB$5&amp;"",'Oxford Economics'!$A$6:$AZ$6,0))),'Oxford Economics'!$A$7:$A$1000,$C29,'Oxford Economics'!$B$7:$B$1000,Settings!$B$13)+SUMIFS(INDEX('Oxford Economics'!$A$7:$AZ$1000,0,IFERROR(MATCH(AB$5,'Oxford Economics'!$A$6:$AZ$6,0),MATCH(AB$5&amp;"",'Oxford Economics'!$A$6:$AZ$6,0))),'Oxford Economics'!$A$7:$A$1000,$C29,'Oxford Economics'!$B$7:$B$1000,Settings!$B$15)+IF(Settings!$B$17="",0,SUMIFS(INDEX('Oxford Economics'!$A$7:$AZ$1000,0,IFERROR(MATCH(AB$5,'Oxford Economics'!$A$6:$AZ$6,0),MATCH(AB$5&amp;"",'Oxford Economics'!$A$6:$AZ$6,0))),'Oxford Economics'!$A$7:$A$1000,$C29,'Oxford Economics'!$B$7:$B$1000,Settings!$B$17)))),""))</f>
        <v>45448.33</v>
      </c>
      <c r="AC29" s="37" t="n">
        <f aca="false">IF($A29="","",IFERROR(1/(1/IF($B29="Residential",SUMIFS(INDEX('Oxford Economics'!$A$7:$AZ$1000,0,IFERROR(MATCH(AC$5,'Oxford Economics'!$A$6:$AZ$6,0),MATCH(AC$5&amp;"",'Oxford Economics'!$A$6:$AZ$6,0))),'Oxford Economics'!$A$7:$A$1000,$C29,'Oxford Economics'!$B$7:$B$1000,Settings!$B$11)-SUMIFS(INDEX('Oxford Economics'!$A$7:$AZ$1000,0,IFERROR(MATCH(AC$5,'Oxford Economics'!$A$6:$AZ$6,0),MATCH(AC$5&amp;"",'Oxford Economics'!$A$6:$AZ$6,0))),'Oxford Economics'!$A$7:$A$1000,$C29,'Oxford Economics'!$B$7:$B$1000,Settings!$B$13),SUMIFS(INDEX('Oxford Economics'!$A$7:$AZ$1000,0,IFERROR(MATCH(AC$5,'Oxford Economics'!$A$6:$AZ$6,0),MATCH(AC$5&amp;"",'Oxford Economics'!$A$6:$AZ$6,0))),'Oxford Economics'!$A$7:$A$1000,$C29,'Oxford Economics'!$B$7:$B$1000,Settings!$B$13)+SUMIFS(INDEX('Oxford Economics'!$A$7:$AZ$1000,0,IFERROR(MATCH(AC$5,'Oxford Economics'!$A$6:$AZ$6,0),MATCH(AC$5&amp;"",'Oxford Economics'!$A$6:$AZ$6,0))),'Oxford Economics'!$A$7:$A$1000,$C29,'Oxford Economics'!$B$7:$B$1000,Settings!$B$15)+IF(Settings!$B$17="",0,SUMIFS(INDEX('Oxford Economics'!$A$7:$AZ$1000,0,IFERROR(MATCH(AC$5,'Oxford Economics'!$A$6:$AZ$6,0),MATCH(AC$5&amp;"",'Oxford Economics'!$A$6:$AZ$6,0))),'Oxford Economics'!$A$7:$A$1000,$C29,'Oxford Economics'!$B$7:$B$1000,Settings!$B$17)))),""))</f>
        <v>45243.81</v>
      </c>
      <c r="AD29" s="37" t="n">
        <f aca="false">IF($A29="","",IFERROR(1/(1/IF($B29="Residential",SUMIFS(INDEX('Oxford Economics'!$A$7:$AZ$1000,0,IFERROR(MATCH(AD$5,'Oxford Economics'!$A$6:$AZ$6,0),MATCH(AD$5&amp;"",'Oxford Economics'!$A$6:$AZ$6,0))),'Oxford Economics'!$A$7:$A$1000,$C29,'Oxford Economics'!$B$7:$B$1000,Settings!$B$11)-SUMIFS(INDEX('Oxford Economics'!$A$7:$AZ$1000,0,IFERROR(MATCH(AD$5,'Oxford Economics'!$A$6:$AZ$6,0),MATCH(AD$5&amp;"",'Oxford Economics'!$A$6:$AZ$6,0))),'Oxford Economics'!$A$7:$A$1000,$C29,'Oxford Economics'!$B$7:$B$1000,Settings!$B$13),SUMIFS(INDEX('Oxford Economics'!$A$7:$AZ$1000,0,IFERROR(MATCH(AD$5,'Oxford Economics'!$A$6:$AZ$6,0),MATCH(AD$5&amp;"",'Oxford Economics'!$A$6:$AZ$6,0))),'Oxford Economics'!$A$7:$A$1000,$C29,'Oxford Economics'!$B$7:$B$1000,Settings!$B$13)+SUMIFS(INDEX('Oxford Economics'!$A$7:$AZ$1000,0,IFERROR(MATCH(AD$5,'Oxford Economics'!$A$6:$AZ$6,0),MATCH(AD$5&amp;"",'Oxford Economics'!$A$6:$AZ$6,0))),'Oxford Economics'!$A$7:$A$1000,$C29,'Oxford Economics'!$B$7:$B$1000,Settings!$B$15)+IF(Settings!$B$17="",0,SUMIFS(INDEX('Oxford Economics'!$A$7:$AZ$1000,0,IFERROR(MATCH(AD$5,'Oxford Economics'!$A$6:$AZ$6,0),MATCH(AD$5&amp;"",'Oxford Economics'!$A$6:$AZ$6,0))),'Oxford Economics'!$A$7:$A$1000,$C29,'Oxford Economics'!$B$7:$B$1000,Settings!$B$17)))),""))</f>
        <v>45279.89</v>
      </c>
      <c r="AE29" s="37" t="n">
        <f aca="false">IF($A29="","",IFERROR(1/(1/IF($B29="Residential",SUMIFS(INDEX('Oxford Economics'!$A$7:$AZ$1000,0,IFERROR(MATCH(AE$5,'Oxford Economics'!$A$6:$AZ$6,0),MATCH(AE$5&amp;"",'Oxford Economics'!$A$6:$AZ$6,0))),'Oxford Economics'!$A$7:$A$1000,$C29,'Oxford Economics'!$B$7:$B$1000,Settings!$B$11)-SUMIFS(INDEX('Oxford Economics'!$A$7:$AZ$1000,0,IFERROR(MATCH(AE$5,'Oxford Economics'!$A$6:$AZ$6,0),MATCH(AE$5&amp;"",'Oxford Economics'!$A$6:$AZ$6,0))),'Oxford Economics'!$A$7:$A$1000,$C29,'Oxford Economics'!$B$7:$B$1000,Settings!$B$13),SUMIFS(INDEX('Oxford Economics'!$A$7:$AZ$1000,0,IFERROR(MATCH(AE$5,'Oxford Economics'!$A$6:$AZ$6,0),MATCH(AE$5&amp;"",'Oxford Economics'!$A$6:$AZ$6,0))),'Oxford Economics'!$A$7:$A$1000,$C29,'Oxford Economics'!$B$7:$B$1000,Settings!$B$13)+SUMIFS(INDEX('Oxford Economics'!$A$7:$AZ$1000,0,IFERROR(MATCH(AE$5,'Oxford Economics'!$A$6:$AZ$6,0),MATCH(AE$5&amp;"",'Oxford Economics'!$A$6:$AZ$6,0))),'Oxford Economics'!$A$7:$A$1000,$C29,'Oxford Economics'!$B$7:$B$1000,Settings!$B$15)+IF(Settings!$B$17="",0,SUMIFS(INDEX('Oxford Economics'!$A$7:$AZ$1000,0,IFERROR(MATCH(AE$5,'Oxford Economics'!$A$6:$AZ$6,0),MATCH(AE$5&amp;"",'Oxford Economics'!$A$6:$AZ$6,0))),'Oxford Economics'!$A$7:$A$1000,$C29,'Oxford Economics'!$B$7:$B$1000,Settings!$B$17)))),""))</f>
        <v>45838.71</v>
      </c>
      <c r="AF29" s="37" t="n">
        <f aca="false">IF($A29="","",IFERROR(1/(1/IF($B29="Residential",SUMIFS(INDEX('Oxford Economics'!$A$7:$AZ$1000,0,IFERROR(MATCH(AF$5,'Oxford Economics'!$A$6:$AZ$6,0),MATCH(AF$5&amp;"",'Oxford Economics'!$A$6:$AZ$6,0))),'Oxford Economics'!$A$7:$A$1000,$C29,'Oxford Economics'!$B$7:$B$1000,Settings!$B$11)-SUMIFS(INDEX('Oxford Economics'!$A$7:$AZ$1000,0,IFERROR(MATCH(AF$5,'Oxford Economics'!$A$6:$AZ$6,0),MATCH(AF$5&amp;"",'Oxford Economics'!$A$6:$AZ$6,0))),'Oxford Economics'!$A$7:$A$1000,$C29,'Oxford Economics'!$B$7:$B$1000,Settings!$B$13),SUMIFS(INDEX('Oxford Economics'!$A$7:$AZ$1000,0,IFERROR(MATCH(AF$5,'Oxford Economics'!$A$6:$AZ$6,0),MATCH(AF$5&amp;"",'Oxford Economics'!$A$6:$AZ$6,0))),'Oxford Economics'!$A$7:$A$1000,$C29,'Oxford Economics'!$B$7:$B$1000,Settings!$B$13)+SUMIFS(INDEX('Oxford Economics'!$A$7:$AZ$1000,0,IFERROR(MATCH(AF$5,'Oxford Economics'!$A$6:$AZ$6,0),MATCH(AF$5&amp;"",'Oxford Economics'!$A$6:$AZ$6,0))),'Oxford Economics'!$A$7:$A$1000,$C29,'Oxford Economics'!$B$7:$B$1000,Settings!$B$15)+IF(Settings!$B$17="",0,SUMIFS(INDEX('Oxford Economics'!$A$7:$AZ$1000,0,IFERROR(MATCH(AF$5,'Oxford Economics'!$A$6:$AZ$6,0),MATCH(AF$5&amp;"",'Oxford Economics'!$A$6:$AZ$6,0))),'Oxford Economics'!$A$7:$A$1000,$C29,'Oxford Economics'!$B$7:$B$1000,Settings!$B$17)))),""))</f>
        <v>43491.1</v>
      </c>
      <c r="AG29" s="37" t="n">
        <f aca="false">IF($A29="","",IFERROR(1/(1/IF($B29="Residential",SUMIFS(INDEX('Oxford Economics'!$A$7:$AZ$1000,0,IFERROR(MATCH(AG$5,'Oxford Economics'!$A$6:$AZ$6,0),MATCH(AG$5&amp;"",'Oxford Economics'!$A$6:$AZ$6,0))),'Oxford Economics'!$A$7:$A$1000,$C29,'Oxford Economics'!$B$7:$B$1000,Settings!$B$11)-SUMIFS(INDEX('Oxford Economics'!$A$7:$AZ$1000,0,IFERROR(MATCH(AG$5,'Oxford Economics'!$A$6:$AZ$6,0),MATCH(AG$5&amp;"",'Oxford Economics'!$A$6:$AZ$6,0))),'Oxford Economics'!$A$7:$A$1000,$C29,'Oxford Economics'!$B$7:$B$1000,Settings!$B$13),SUMIFS(INDEX('Oxford Economics'!$A$7:$AZ$1000,0,IFERROR(MATCH(AG$5,'Oxford Economics'!$A$6:$AZ$6,0),MATCH(AG$5&amp;"",'Oxford Economics'!$A$6:$AZ$6,0))),'Oxford Economics'!$A$7:$A$1000,$C29,'Oxford Economics'!$B$7:$B$1000,Settings!$B$13)+SUMIFS(INDEX('Oxford Economics'!$A$7:$AZ$1000,0,IFERROR(MATCH(AG$5,'Oxford Economics'!$A$6:$AZ$6,0),MATCH(AG$5&amp;"",'Oxford Economics'!$A$6:$AZ$6,0))),'Oxford Economics'!$A$7:$A$1000,$C29,'Oxford Economics'!$B$7:$B$1000,Settings!$B$15)+IF(Settings!$B$17="",0,SUMIFS(INDEX('Oxford Economics'!$A$7:$AZ$1000,0,IFERROR(MATCH(AG$5,'Oxford Economics'!$A$6:$AZ$6,0),MATCH(AG$5&amp;"",'Oxford Economics'!$A$6:$AZ$6,0))),'Oxford Economics'!$A$7:$A$1000,$C29,'Oxford Economics'!$B$7:$B$1000,Settings!$B$17)))),""))</f>
        <v>40671.83</v>
      </c>
      <c r="AH29" s="37" t="n">
        <f aca="false">IF($A29="","",IFERROR(1/(1/IF($B29="Residential",SUMIFS(INDEX('Oxford Economics'!$A$7:$AZ$1000,0,IFERROR(MATCH(AH$5,'Oxford Economics'!$A$6:$AZ$6,0),MATCH(AH$5&amp;"",'Oxford Economics'!$A$6:$AZ$6,0))),'Oxford Economics'!$A$7:$A$1000,$C29,'Oxford Economics'!$B$7:$B$1000,Settings!$B$11)-SUMIFS(INDEX('Oxford Economics'!$A$7:$AZ$1000,0,IFERROR(MATCH(AH$5,'Oxford Economics'!$A$6:$AZ$6,0),MATCH(AH$5&amp;"",'Oxford Economics'!$A$6:$AZ$6,0))),'Oxford Economics'!$A$7:$A$1000,$C29,'Oxford Economics'!$B$7:$B$1000,Settings!$B$13),SUMIFS(INDEX('Oxford Economics'!$A$7:$AZ$1000,0,IFERROR(MATCH(AH$5,'Oxford Economics'!$A$6:$AZ$6,0),MATCH(AH$5&amp;"",'Oxford Economics'!$A$6:$AZ$6,0))),'Oxford Economics'!$A$7:$A$1000,$C29,'Oxford Economics'!$B$7:$B$1000,Settings!$B$13)+SUMIFS(INDEX('Oxford Economics'!$A$7:$AZ$1000,0,IFERROR(MATCH(AH$5,'Oxford Economics'!$A$6:$AZ$6,0),MATCH(AH$5&amp;"",'Oxford Economics'!$A$6:$AZ$6,0))),'Oxford Economics'!$A$7:$A$1000,$C29,'Oxford Economics'!$B$7:$B$1000,Settings!$B$15)+IF(Settings!$B$17="",0,SUMIFS(INDEX('Oxford Economics'!$A$7:$AZ$1000,0,IFERROR(MATCH(AH$5,'Oxford Economics'!$A$6:$AZ$6,0),MATCH(AH$5&amp;"",'Oxford Economics'!$A$6:$AZ$6,0))),'Oxford Economics'!$A$7:$A$1000,$C29,'Oxford Economics'!$B$7:$B$1000,Settings!$B$17)))),""))</f>
        <v>40327.42</v>
      </c>
      <c r="AI29" s="37" t="n">
        <f aca="false">IF($A29="","",IFERROR(1/(1/IF($B29="Residential",SUMIFS(INDEX('Oxford Economics'!$A$7:$AZ$1000,0,IFERROR(MATCH(AI$5,'Oxford Economics'!$A$6:$AZ$6,0),MATCH(AI$5&amp;"",'Oxford Economics'!$A$6:$AZ$6,0))),'Oxford Economics'!$A$7:$A$1000,$C29,'Oxford Economics'!$B$7:$B$1000,Settings!$B$11)-SUMIFS(INDEX('Oxford Economics'!$A$7:$AZ$1000,0,IFERROR(MATCH(AI$5,'Oxford Economics'!$A$6:$AZ$6,0),MATCH(AI$5&amp;"",'Oxford Economics'!$A$6:$AZ$6,0))),'Oxford Economics'!$A$7:$A$1000,$C29,'Oxford Economics'!$B$7:$B$1000,Settings!$B$13),SUMIFS(INDEX('Oxford Economics'!$A$7:$AZ$1000,0,IFERROR(MATCH(AI$5,'Oxford Economics'!$A$6:$AZ$6,0),MATCH(AI$5&amp;"",'Oxford Economics'!$A$6:$AZ$6,0))),'Oxford Economics'!$A$7:$A$1000,$C29,'Oxford Economics'!$B$7:$B$1000,Settings!$B$13)+SUMIFS(INDEX('Oxford Economics'!$A$7:$AZ$1000,0,IFERROR(MATCH(AI$5,'Oxford Economics'!$A$6:$AZ$6,0),MATCH(AI$5&amp;"",'Oxford Economics'!$A$6:$AZ$6,0))),'Oxford Economics'!$A$7:$A$1000,$C29,'Oxford Economics'!$B$7:$B$1000,Settings!$B$15)+IF(Settings!$B$17="",0,SUMIFS(INDEX('Oxford Economics'!$A$7:$AZ$1000,0,IFERROR(MATCH(AI$5,'Oxford Economics'!$A$6:$AZ$6,0),MATCH(AI$5&amp;"",'Oxford Economics'!$A$6:$AZ$6,0))),'Oxford Economics'!$A$7:$A$1000,$C29,'Oxford Economics'!$B$7:$B$1000,Settings!$B$17)))),""))</f>
        <v>41159.96</v>
      </c>
      <c r="AJ29" s="37" t="n">
        <f aca="false">IF($A29="","",IFERROR(1/(1/IF($B29="Residential",SUMIFS(INDEX('Oxford Economics'!$A$7:$AZ$1000,0,IFERROR(MATCH(AJ$5,'Oxford Economics'!$A$6:$AZ$6,0),MATCH(AJ$5&amp;"",'Oxford Economics'!$A$6:$AZ$6,0))),'Oxford Economics'!$A$7:$A$1000,$C29,'Oxford Economics'!$B$7:$B$1000,Settings!$B$11)-SUMIFS(INDEX('Oxford Economics'!$A$7:$AZ$1000,0,IFERROR(MATCH(AJ$5,'Oxford Economics'!$A$6:$AZ$6,0),MATCH(AJ$5&amp;"",'Oxford Economics'!$A$6:$AZ$6,0))),'Oxford Economics'!$A$7:$A$1000,$C29,'Oxford Economics'!$B$7:$B$1000,Settings!$B$13),SUMIFS(INDEX('Oxford Economics'!$A$7:$AZ$1000,0,IFERROR(MATCH(AJ$5,'Oxford Economics'!$A$6:$AZ$6,0),MATCH(AJ$5&amp;"",'Oxford Economics'!$A$6:$AZ$6,0))),'Oxford Economics'!$A$7:$A$1000,$C29,'Oxford Economics'!$B$7:$B$1000,Settings!$B$13)+SUMIFS(INDEX('Oxford Economics'!$A$7:$AZ$1000,0,IFERROR(MATCH(AJ$5,'Oxford Economics'!$A$6:$AZ$6,0),MATCH(AJ$5&amp;"",'Oxford Economics'!$A$6:$AZ$6,0))),'Oxford Economics'!$A$7:$A$1000,$C29,'Oxford Economics'!$B$7:$B$1000,Settings!$B$15)+IF(Settings!$B$17="",0,SUMIFS(INDEX('Oxford Economics'!$A$7:$AZ$1000,0,IFERROR(MATCH(AJ$5,'Oxford Economics'!$A$6:$AZ$6,0),MATCH(AJ$5&amp;"",'Oxford Economics'!$A$6:$AZ$6,0))),'Oxford Economics'!$A$7:$A$1000,$C29,'Oxford Economics'!$B$7:$B$1000,Settings!$B$17)))),""))</f>
        <v>42495.46</v>
      </c>
      <c r="AK29" s="37" t="n">
        <f aca="false">IF($A29="","",IFERROR(1/(1/IF($B29="Residential",SUMIFS(INDEX('Oxford Economics'!$A$7:$AZ$1000,0,IFERROR(MATCH(AK$5,'Oxford Economics'!$A$6:$AZ$6,0),MATCH(AK$5&amp;"",'Oxford Economics'!$A$6:$AZ$6,0))),'Oxford Economics'!$A$7:$A$1000,$C29,'Oxford Economics'!$B$7:$B$1000,Settings!$B$11)-SUMIFS(INDEX('Oxford Economics'!$A$7:$AZ$1000,0,IFERROR(MATCH(AK$5,'Oxford Economics'!$A$6:$AZ$6,0),MATCH(AK$5&amp;"",'Oxford Economics'!$A$6:$AZ$6,0))),'Oxford Economics'!$A$7:$A$1000,$C29,'Oxford Economics'!$B$7:$B$1000,Settings!$B$13),SUMIFS(INDEX('Oxford Economics'!$A$7:$AZ$1000,0,IFERROR(MATCH(AK$5,'Oxford Economics'!$A$6:$AZ$6,0),MATCH(AK$5&amp;"",'Oxford Economics'!$A$6:$AZ$6,0))),'Oxford Economics'!$A$7:$A$1000,$C29,'Oxford Economics'!$B$7:$B$1000,Settings!$B$13)+SUMIFS(INDEX('Oxford Economics'!$A$7:$AZ$1000,0,IFERROR(MATCH(AK$5,'Oxford Economics'!$A$6:$AZ$6,0),MATCH(AK$5&amp;"",'Oxford Economics'!$A$6:$AZ$6,0))),'Oxford Economics'!$A$7:$A$1000,$C29,'Oxford Economics'!$B$7:$B$1000,Settings!$B$15)+IF(Settings!$B$17="",0,SUMIFS(INDEX('Oxford Economics'!$A$7:$AZ$1000,0,IFERROR(MATCH(AK$5,'Oxford Economics'!$A$6:$AZ$6,0),MATCH(AK$5&amp;"",'Oxford Economics'!$A$6:$AZ$6,0))),'Oxford Economics'!$A$7:$A$1000,$C29,'Oxford Economics'!$B$7:$B$1000,Settings!$B$17)))),""))</f>
        <v>44083.22</v>
      </c>
      <c r="AL29" s="37" t="n">
        <f aca="false">IF($A29="","",IFERROR(1/(1/IF($B29="Residential",SUMIFS(INDEX('Oxford Economics'!$A$7:$AZ$1000,0,IFERROR(MATCH(AL$5,'Oxford Economics'!$A$6:$AZ$6,0),MATCH(AL$5&amp;"",'Oxford Economics'!$A$6:$AZ$6,0))),'Oxford Economics'!$A$7:$A$1000,$C29,'Oxford Economics'!$B$7:$B$1000,Settings!$B$11)-SUMIFS(INDEX('Oxford Economics'!$A$7:$AZ$1000,0,IFERROR(MATCH(AL$5,'Oxford Economics'!$A$6:$AZ$6,0),MATCH(AL$5&amp;"",'Oxford Economics'!$A$6:$AZ$6,0))),'Oxford Economics'!$A$7:$A$1000,$C29,'Oxford Economics'!$B$7:$B$1000,Settings!$B$13),SUMIFS(INDEX('Oxford Economics'!$A$7:$AZ$1000,0,IFERROR(MATCH(AL$5,'Oxford Economics'!$A$6:$AZ$6,0),MATCH(AL$5&amp;"",'Oxford Economics'!$A$6:$AZ$6,0))),'Oxford Economics'!$A$7:$A$1000,$C29,'Oxford Economics'!$B$7:$B$1000,Settings!$B$13)+SUMIFS(INDEX('Oxford Economics'!$A$7:$AZ$1000,0,IFERROR(MATCH(AL$5,'Oxford Economics'!$A$6:$AZ$6,0),MATCH(AL$5&amp;"",'Oxford Economics'!$A$6:$AZ$6,0))),'Oxford Economics'!$A$7:$A$1000,$C29,'Oxford Economics'!$B$7:$B$1000,Settings!$B$15)+IF(Settings!$B$17="",0,SUMIFS(INDEX('Oxford Economics'!$A$7:$AZ$1000,0,IFERROR(MATCH(AL$5,'Oxford Economics'!$A$6:$AZ$6,0),MATCH(AL$5&amp;"",'Oxford Economics'!$A$6:$AZ$6,0))),'Oxford Economics'!$A$7:$A$1000,$C29,'Oxford Economics'!$B$7:$B$1000,Settings!$B$17)))),""))</f>
        <v>45481.02</v>
      </c>
      <c r="AM29" s="37" t="n">
        <f aca="false">IF($A29="","",IFERROR(1/(1/IF($B29="Residential",SUMIFS(INDEX('Oxford Economics'!$A$7:$AZ$1000,0,IFERROR(MATCH(AM$5,'Oxford Economics'!$A$6:$AZ$6,0),MATCH(AM$5&amp;"",'Oxford Economics'!$A$6:$AZ$6,0))),'Oxford Economics'!$A$7:$A$1000,$C29,'Oxford Economics'!$B$7:$B$1000,Settings!$B$11)-SUMIFS(INDEX('Oxford Economics'!$A$7:$AZ$1000,0,IFERROR(MATCH(AM$5,'Oxford Economics'!$A$6:$AZ$6,0),MATCH(AM$5&amp;"",'Oxford Economics'!$A$6:$AZ$6,0))),'Oxford Economics'!$A$7:$A$1000,$C29,'Oxford Economics'!$B$7:$B$1000,Settings!$B$13),SUMIFS(INDEX('Oxford Economics'!$A$7:$AZ$1000,0,IFERROR(MATCH(AM$5,'Oxford Economics'!$A$6:$AZ$6,0),MATCH(AM$5&amp;"",'Oxford Economics'!$A$6:$AZ$6,0))),'Oxford Economics'!$A$7:$A$1000,$C29,'Oxford Economics'!$B$7:$B$1000,Settings!$B$13)+SUMIFS(INDEX('Oxford Economics'!$A$7:$AZ$1000,0,IFERROR(MATCH(AM$5,'Oxford Economics'!$A$6:$AZ$6,0),MATCH(AM$5&amp;"",'Oxford Economics'!$A$6:$AZ$6,0))),'Oxford Economics'!$A$7:$A$1000,$C29,'Oxford Economics'!$B$7:$B$1000,Settings!$B$15)+IF(Settings!$B$17="",0,SUMIFS(INDEX('Oxford Economics'!$A$7:$AZ$1000,0,IFERROR(MATCH(AM$5,'Oxford Economics'!$A$6:$AZ$6,0),MATCH(AM$5&amp;"",'Oxford Economics'!$A$6:$AZ$6,0))),'Oxford Economics'!$A$7:$A$1000,$C29,'Oxford Economics'!$B$7:$B$1000,Settings!$B$17)))),""))</f>
        <v>46868.77</v>
      </c>
    </row>
    <row r="30" customFormat="false" ht="15" hidden="false" customHeight="false" outlineLevel="0" collapsed="false">
      <c r="A30" s="36" t="str">
        <f aca="false">IF('Raw data'!$A30="","",'Raw data'!$A30)</f>
        <v>France</v>
      </c>
      <c r="B30" s="36" t="str">
        <f aca="false">IF($A30="","",'Raw data'!$C30)</f>
        <v>Residential</v>
      </c>
      <c r="C30" s="36" t="str">
        <f aca="false">IF($A30="","",IF('Raw data'!$D30="",$A30,'Raw data'!$D30))</f>
        <v>France</v>
      </c>
      <c r="D30" s="37" t="n">
        <f aca="false">IF($A30="","",IF(AND(ISNUMBER(P30),ISNUMBER(AB30)),P30+AB30,""))</f>
        <v>51362.08</v>
      </c>
      <c r="E30" s="37" t="n">
        <f aca="false">IF($A30="","",IF(AND(ISNUMBER(Q30),ISNUMBER(AC30)),Q30+AC30,""))</f>
        <v>55749.15</v>
      </c>
      <c r="F30" s="37" t="n">
        <f aca="false">IF($A30="","",IF(AND(ISNUMBER(R30),ISNUMBER(AD30)),R30+AD30,""))</f>
        <v>53730.03</v>
      </c>
      <c r="G30" s="37" t="n">
        <f aca="false">IF($A30="","",IF(AND(ISNUMBER(S30),ISNUMBER(AE30)),S30+AE30,""))</f>
        <v>52407.61</v>
      </c>
      <c r="H30" s="37" t="n">
        <f aca="false">IF($A30="","",IF(AND(ISNUMBER(T30),ISNUMBER(AF30)),T30+AF30,""))</f>
        <v>47581.62</v>
      </c>
      <c r="I30" s="37" t="n">
        <f aca="false">IF($A30="","",IF(AND(ISNUMBER(U30),ISNUMBER(AG30)),U30+AG30,""))</f>
        <v>47504.24</v>
      </c>
      <c r="J30" s="37" t="n">
        <f aca="false">IF($A30="","",IF(AND(ISNUMBER(V30),ISNUMBER(AH30)),V30+AH30,""))</f>
        <v>47698.61</v>
      </c>
      <c r="K30" s="37" t="n">
        <f aca="false">IF($A30="","",IF(AND(ISNUMBER(W30),ISNUMBER(AI30)),W30+AI30,""))</f>
        <v>48102.06</v>
      </c>
      <c r="L30" s="37" t="n">
        <f aca="false">IF($A30="","",IF(AND(ISNUMBER(X30),ISNUMBER(AJ30)),X30+AJ30,""))</f>
        <v>48998.45</v>
      </c>
      <c r="M30" s="37" t="n">
        <f aca="false">IF($A30="","",IF(AND(ISNUMBER(Y30),ISNUMBER(AK30)),Y30+AK30,""))</f>
        <v>50214.66</v>
      </c>
      <c r="N30" s="37" t="n">
        <f aca="false">IF($A30="","",IF(AND(ISNUMBER(Z30),ISNUMBER(AL30)),Z30+AL30,""))</f>
        <v>51126.61</v>
      </c>
      <c r="O30" s="37" t="n">
        <f aca="false">IF($A30="","",IF(AND(ISNUMBER(AA30),ISNUMBER(AM30)),AA30+AM30,""))</f>
        <v>52450.51</v>
      </c>
      <c r="P30" s="37" t="n">
        <f aca="false">IF($A30="","",IFERROR(1/(1/IF($B30="Residential",SUMIFS(INDEX('Oxford Economics'!$A$7:$AZ$1000,0,IFERROR(MATCH(P$5,'Oxford Economics'!$A$6:$AZ$6,0),MATCH(P$5&amp;"",'Oxford Economics'!$A$6:$AZ$6,0))),'Oxford Economics'!$A$7:$A$1000,$C30,'Oxford Economics'!$B$7:$B$1000,Settings!$B$12)-SUMIFS(INDEX('Oxford Economics'!$A$7:$AZ$1000,0,IFERROR(MATCH(P$5,'Oxford Economics'!$A$6:$AZ$6,0),MATCH(P$5&amp;"",'Oxford Economics'!$A$6:$AZ$6,0))),'Oxford Economics'!$A$7:$A$1000,$C30,'Oxford Economics'!$B$7:$B$1000,Settings!$B$14),SUMIFS(INDEX('Oxford Economics'!$A$7:$AZ$1000,0,IFERROR(MATCH(P$5,'Oxford Economics'!$A$6:$AZ$6,0),MATCH(P$5&amp;"",'Oxford Economics'!$A$6:$AZ$6,0))),'Oxford Economics'!$A$7:$A$1000,$C30,'Oxford Economics'!$B$7:$B$1000,Settings!$B$14)+SUMIFS(INDEX('Oxford Economics'!$A$7:$AZ$1000,0,IFERROR(MATCH(P$5,'Oxford Economics'!$A$6:$AZ$6,0),MATCH(P$5&amp;"",'Oxford Economics'!$A$6:$AZ$6,0))),'Oxford Economics'!$A$7:$A$1000,$C30,'Oxford Economics'!$B$7:$B$1000,Settings!$B$16)+IF(Settings!$B$18="",0,SUMIFS(INDEX('Oxford Economics'!$A$7:$AZ$1000,0,IFERROR(MATCH(P$5,'Oxford Economics'!$A$6:$AZ$6,0),MATCH(P$5&amp;"",'Oxford Economics'!$A$6:$AZ$6,0))),'Oxford Economics'!$A$7:$A$1000,$C30,'Oxford Economics'!$B$7:$B$1000,Settings!$B$18)))),""))</f>
        <v>32052.65</v>
      </c>
      <c r="Q30" s="37" t="n">
        <f aca="false">IF($A30="","",IFERROR(1/(1/IF($B30="Residential",SUMIFS(INDEX('Oxford Economics'!$A$7:$AZ$1000,0,IFERROR(MATCH(Q$5,'Oxford Economics'!$A$6:$AZ$6,0),MATCH(Q$5&amp;"",'Oxford Economics'!$A$6:$AZ$6,0))),'Oxford Economics'!$A$7:$A$1000,$C30,'Oxford Economics'!$B$7:$B$1000,Settings!$B$12)-SUMIFS(INDEX('Oxford Economics'!$A$7:$AZ$1000,0,IFERROR(MATCH(Q$5,'Oxford Economics'!$A$6:$AZ$6,0),MATCH(Q$5&amp;"",'Oxford Economics'!$A$6:$AZ$6,0))),'Oxford Economics'!$A$7:$A$1000,$C30,'Oxford Economics'!$B$7:$B$1000,Settings!$B$14),SUMIFS(INDEX('Oxford Economics'!$A$7:$AZ$1000,0,IFERROR(MATCH(Q$5,'Oxford Economics'!$A$6:$AZ$6,0),MATCH(Q$5&amp;"",'Oxford Economics'!$A$6:$AZ$6,0))),'Oxford Economics'!$A$7:$A$1000,$C30,'Oxford Economics'!$B$7:$B$1000,Settings!$B$14)+SUMIFS(INDEX('Oxford Economics'!$A$7:$AZ$1000,0,IFERROR(MATCH(Q$5,'Oxford Economics'!$A$6:$AZ$6,0),MATCH(Q$5&amp;"",'Oxford Economics'!$A$6:$AZ$6,0))),'Oxford Economics'!$A$7:$A$1000,$C30,'Oxford Economics'!$B$7:$B$1000,Settings!$B$16)+IF(Settings!$B$18="",0,SUMIFS(INDEX('Oxford Economics'!$A$7:$AZ$1000,0,IFERROR(MATCH(Q$5,'Oxford Economics'!$A$6:$AZ$6,0),MATCH(Q$5&amp;"",'Oxford Economics'!$A$6:$AZ$6,0))),'Oxford Economics'!$A$7:$A$1000,$C30,'Oxford Economics'!$B$7:$B$1000,Settings!$B$18)))),""))</f>
        <v>34083.08</v>
      </c>
      <c r="R30" s="37" t="n">
        <f aca="false">IF($A30="","",IFERROR(1/(1/IF($B30="Residential",SUMIFS(INDEX('Oxford Economics'!$A$7:$AZ$1000,0,IFERROR(MATCH(R$5,'Oxford Economics'!$A$6:$AZ$6,0),MATCH(R$5&amp;"",'Oxford Economics'!$A$6:$AZ$6,0))),'Oxford Economics'!$A$7:$A$1000,$C30,'Oxford Economics'!$B$7:$B$1000,Settings!$B$12)-SUMIFS(INDEX('Oxford Economics'!$A$7:$AZ$1000,0,IFERROR(MATCH(R$5,'Oxford Economics'!$A$6:$AZ$6,0),MATCH(R$5&amp;"",'Oxford Economics'!$A$6:$AZ$6,0))),'Oxford Economics'!$A$7:$A$1000,$C30,'Oxford Economics'!$B$7:$B$1000,Settings!$B$14),SUMIFS(INDEX('Oxford Economics'!$A$7:$AZ$1000,0,IFERROR(MATCH(R$5,'Oxford Economics'!$A$6:$AZ$6,0),MATCH(R$5&amp;"",'Oxford Economics'!$A$6:$AZ$6,0))),'Oxford Economics'!$A$7:$A$1000,$C30,'Oxford Economics'!$B$7:$B$1000,Settings!$B$14)+SUMIFS(INDEX('Oxford Economics'!$A$7:$AZ$1000,0,IFERROR(MATCH(R$5,'Oxford Economics'!$A$6:$AZ$6,0),MATCH(R$5&amp;"",'Oxford Economics'!$A$6:$AZ$6,0))),'Oxford Economics'!$A$7:$A$1000,$C30,'Oxford Economics'!$B$7:$B$1000,Settings!$B$16)+IF(Settings!$B$18="",0,SUMIFS(INDEX('Oxford Economics'!$A$7:$AZ$1000,0,IFERROR(MATCH(R$5,'Oxford Economics'!$A$6:$AZ$6,0),MATCH(R$5&amp;"",'Oxford Economics'!$A$6:$AZ$6,0))),'Oxford Economics'!$A$7:$A$1000,$C30,'Oxford Economics'!$B$7:$B$1000,Settings!$B$18)))),""))</f>
        <v>33476.89</v>
      </c>
      <c r="S30" s="37" t="n">
        <f aca="false">IF($A30="","",IFERROR(1/(1/IF($B30="Residential",SUMIFS(INDEX('Oxford Economics'!$A$7:$AZ$1000,0,IFERROR(MATCH(S$5,'Oxford Economics'!$A$6:$AZ$6,0),MATCH(S$5&amp;"",'Oxford Economics'!$A$6:$AZ$6,0))),'Oxford Economics'!$A$7:$A$1000,$C30,'Oxford Economics'!$B$7:$B$1000,Settings!$B$12)-SUMIFS(INDEX('Oxford Economics'!$A$7:$AZ$1000,0,IFERROR(MATCH(S$5,'Oxford Economics'!$A$6:$AZ$6,0),MATCH(S$5&amp;"",'Oxford Economics'!$A$6:$AZ$6,0))),'Oxford Economics'!$A$7:$A$1000,$C30,'Oxford Economics'!$B$7:$B$1000,Settings!$B$14),SUMIFS(INDEX('Oxford Economics'!$A$7:$AZ$1000,0,IFERROR(MATCH(S$5,'Oxford Economics'!$A$6:$AZ$6,0),MATCH(S$5&amp;"",'Oxford Economics'!$A$6:$AZ$6,0))),'Oxford Economics'!$A$7:$A$1000,$C30,'Oxford Economics'!$B$7:$B$1000,Settings!$B$14)+SUMIFS(INDEX('Oxford Economics'!$A$7:$AZ$1000,0,IFERROR(MATCH(S$5,'Oxford Economics'!$A$6:$AZ$6,0),MATCH(S$5&amp;"",'Oxford Economics'!$A$6:$AZ$6,0))),'Oxford Economics'!$A$7:$A$1000,$C30,'Oxford Economics'!$B$7:$B$1000,Settings!$B$16)+IF(Settings!$B$18="",0,SUMIFS(INDEX('Oxford Economics'!$A$7:$AZ$1000,0,IFERROR(MATCH(S$5,'Oxford Economics'!$A$6:$AZ$6,0),MATCH(S$5&amp;"",'Oxford Economics'!$A$6:$AZ$6,0))),'Oxford Economics'!$A$7:$A$1000,$C30,'Oxford Economics'!$B$7:$B$1000,Settings!$B$18)))),""))</f>
        <v>36354.87</v>
      </c>
      <c r="T30" s="37" t="n">
        <f aca="false">IF($A30="","",IFERROR(1/(1/IF($B30="Residential",SUMIFS(INDEX('Oxford Economics'!$A$7:$AZ$1000,0,IFERROR(MATCH(T$5,'Oxford Economics'!$A$6:$AZ$6,0),MATCH(T$5&amp;"",'Oxford Economics'!$A$6:$AZ$6,0))),'Oxford Economics'!$A$7:$A$1000,$C30,'Oxford Economics'!$B$7:$B$1000,Settings!$B$12)-SUMIFS(INDEX('Oxford Economics'!$A$7:$AZ$1000,0,IFERROR(MATCH(T$5,'Oxford Economics'!$A$6:$AZ$6,0),MATCH(T$5&amp;"",'Oxford Economics'!$A$6:$AZ$6,0))),'Oxford Economics'!$A$7:$A$1000,$C30,'Oxford Economics'!$B$7:$B$1000,Settings!$B$14),SUMIFS(INDEX('Oxford Economics'!$A$7:$AZ$1000,0,IFERROR(MATCH(T$5,'Oxford Economics'!$A$6:$AZ$6,0),MATCH(T$5&amp;"",'Oxford Economics'!$A$6:$AZ$6,0))),'Oxford Economics'!$A$7:$A$1000,$C30,'Oxford Economics'!$B$7:$B$1000,Settings!$B$14)+SUMIFS(INDEX('Oxford Economics'!$A$7:$AZ$1000,0,IFERROR(MATCH(T$5,'Oxford Economics'!$A$6:$AZ$6,0),MATCH(T$5&amp;"",'Oxford Economics'!$A$6:$AZ$6,0))),'Oxford Economics'!$A$7:$A$1000,$C30,'Oxford Economics'!$B$7:$B$1000,Settings!$B$16)+IF(Settings!$B$18="",0,SUMIFS(INDEX('Oxford Economics'!$A$7:$AZ$1000,0,IFERROR(MATCH(T$5,'Oxford Economics'!$A$6:$AZ$6,0),MATCH(T$5&amp;"",'Oxford Economics'!$A$6:$AZ$6,0))),'Oxford Economics'!$A$7:$A$1000,$C30,'Oxford Economics'!$B$7:$B$1000,Settings!$B$18)))),""))</f>
        <v>36145.05</v>
      </c>
      <c r="U30" s="37" t="n">
        <f aca="false">IF($A30="","",IFERROR(1/(1/IF($B30="Residential",SUMIFS(INDEX('Oxford Economics'!$A$7:$AZ$1000,0,IFERROR(MATCH(U$5,'Oxford Economics'!$A$6:$AZ$6,0),MATCH(U$5&amp;"",'Oxford Economics'!$A$6:$AZ$6,0))),'Oxford Economics'!$A$7:$A$1000,$C30,'Oxford Economics'!$B$7:$B$1000,Settings!$B$12)-SUMIFS(INDEX('Oxford Economics'!$A$7:$AZ$1000,0,IFERROR(MATCH(U$5,'Oxford Economics'!$A$6:$AZ$6,0),MATCH(U$5&amp;"",'Oxford Economics'!$A$6:$AZ$6,0))),'Oxford Economics'!$A$7:$A$1000,$C30,'Oxford Economics'!$B$7:$B$1000,Settings!$B$14),SUMIFS(INDEX('Oxford Economics'!$A$7:$AZ$1000,0,IFERROR(MATCH(U$5,'Oxford Economics'!$A$6:$AZ$6,0),MATCH(U$5&amp;"",'Oxford Economics'!$A$6:$AZ$6,0))),'Oxford Economics'!$A$7:$A$1000,$C30,'Oxford Economics'!$B$7:$B$1000,Settings!$B$14)+SUMIFS(INDEX('Oxford Economics'!$A$7:$AZ$1000,0,IFERROR(MATCH(U$5,'Oxford Economics'!$A$6:$AZ$6,0),MATCH(U$5&amp;"",'Oxford Economics'!$A$6:$AZ$6,0))),'Oxford Economics'!$A$7:$A$1000,$C30,'Oxford Economics'!$B$7:$B$1000,Settings!$B$16)+IF(Settings!$B$18="",0,SUMIFS(INDEX('Oxford Economics'!$A$7:$AZ$1000,0,IFERROR(MATCH(U$5,'Oxford Economics'!$A$6:$AZ$6,0),MATCH(U$5&amp;"",'Oxford Economics'!$A$6:$AZ$6,0))),'Oxford Economics'!$A$7:$A$1000,$C30,'Oxford Economics'!$B$7:$B$1000,Settings!$B$18)))),""))</f>
        <v>36813.16</v>
      </c>
      <c r="V30" s="37" t="n">
        <f aca="false">IF($A30="","",IFERROR(1/(1/IF($B30="Residential",SUMIFS(INDEX('Oxford Economics'!$A$7:$AZ$1000,0,IFERROR(MATCH(V$5,'Oxford Economics'!$A$6:$AZ$6,0),MATCH(V$5&amp;"",'Oxford Economics'!$A$6:$AZ$6,0))),'Oxford Economics'!$A$7:$A$1000,$C30,'Oxford Economics'!$B$7:$B$1000,Settings!$B$12)-SUMIFS(INDEX('Oxford Economics'!$A$7:$AZ$1000,0,IFERROR(MATCH(V$5,'Oxford Economics'!$A$6:$AZ$6,0),MATCH(V$5&amp;"",'Oxford Economics'!$A$6:$AZ$6,0))),'Oxford Economics'!$A$7:$A$1000,$C30,'Oxford Economics'!$B$7:$B$1000,Settings!$B$14),SUMIFS(INDEX('Oxford Economics'!$A$7:$AZ$1000,0,IFERROR(MATCH(V$5,'Oxford Economics'!$A$6:$AZ$6,0),MATCH(V$5&amp;"",'Oxford Economics'!$A$6:$AZ$6,0))),'Oxford Economics'!$A$7:$A$1000,$C30,'Oxford Economics'!$B$7:$B$1000,Settings!$B$14)+SUMIFS(INDEX('Oxford Economics'!$A$7:$AZ$1000,0,IFERROR(MATCH(V$5,'Oxford Economics'!$A$6:$AZ$6,0),MATCH(V$5&amp;"",'Oxford Economics'!$A$6:$AZ$6,0))),'Oxford Economics'!$A$7:$A$1000,$C30,'Oxford Economics'!$B$7:$B$1000,Settings!$B$16)+IF(Settings!$B$18="",0,SUMIFS(INDEX('Oxford Economics'!$A$7:$AZ$1000,0,IFERROR(MATCH(V$5,'Oxford Economics'!$A$6:$AZ$6,0),MATCH(V$5&amp;"",'Oxford Economics'!$A$6:$AZ$6,0))),'Oxford Economics'!$A$7:$A$1000,$C30,'Oxford Economics'!$B$7:$B$1000,Settings!$B$18)))),""))</f>
        <v>37461.75</v>
      </c>
      <c r="W30" s="37" t="n">
        <f aca="false">IF($A30="","",IFERROR(1/(1/IF($B30="Residential",SUMIFS(INDEX('Oxford Economics'!$A$7:$AZ$1000,0,IFERROR(MATCH(W$5,'Oxford Economics'!$A$6:$AZ$6,0),MATCH(W$5&amp;"",'Oxford Economics'!$A$6:$AZ$6,0))),'Oxford Economics'!$A$7:$A$1000,$C30,'Oxford Economics'!$B$7:$B$1000,Settings!$B$12)-SUMIFS(INDEX('Oxford Economics'!$A$7:$AZ$1000,0,IFERROR(MATCH(W$5,'Oxford Economics'!$A$6:$AZ$6,0),MATCH(W$5&amp;"",'Oxford Economics'!$A$6:$AZ$6,0))),'Oxford Economics'!$A$7:$A$1000,$C30,'Oxford Economics'!$B$7:$B$1000,Settings!$B$14),SUMIFS(INDEX('Oxford Economics'!$A$7:$AZ$1000,0,IFERROR(MATCH(W$5,'Oxford Economics'!$A$6:$AZ$6,0),MATCH(W$5&amp;"",'Oxford Economics'!$A$6:$AZ$6,0))),'Oxford Economics'!$A$7:$A$1000,$C30,'Oxford Economics'!$B$7:$B$1000,Settings!$B$14)+SUMIFS(INDEX('Oxford Economics'!$A$7:$AZ$1000,0,IFERROR(MATCH(W$5,'Oxford Economics'!$A$6:$AZ$6,0),MATCH(W$5&amp;"",'Oxford Economics'!$A$6:$AZ$6,0))),'Oxford Economics'!$A$7:$A$1000,$C30,'Oxford Economics'!$B$7:$B$1000,Settings!$B$16)+IF(Settings!$B$18="",0,SUMIFS(INDEX('Oxford Economics'!$A$7:$AZ$1000,0,IFERROR(MATCH(W$5,'Oxford Economics'!$A$6:$AZ$6,0),MATCH(W$5&amp;"",'Oxford Economics'!$A$6:$AZ$6,0))),'Oxford Economics'!$A$7:$A$1000,$C30,'Oxford Economics'!$B$7:$B$1000,Settings!$B$18)))),""))</f>
        <v>38118.86</v>
      </c>
      <c r="X30" s="37" t="n">
        <f aca="false">IF($A30="","",IFERROR(1/(1/IF($B30="Residential",SUMIFS(INDEX('Oxford Economics'!$A$7:$AZ$1000,0,IFERROR(MATCH(X$5,'Oxford Economics'!$A$6:$AZ$6,0),MATCH(X$5&amp;"",'Oxford Economics'!$A$6:$AZ$6,0))),'Oxford Economics'!$A$7:$A$1000,$C30,'Oxford Economics'!$B$7:$B$1000,Settings!$B$12)-SUMIFS(INDEX('Oxford Economics'!$A$7:$AZ$1000,0,IFERROR(MATCH(X$5,'Oxford Economics'!$A$6:$AZ$6,0),MATCH(X$5&amp;"",'Oxford Economics'!$A$6:$AZ$6,0))),'Oxford Economics'!$A$7:$A$1000,$C30,'Oxford Economics'!$B$7:$B$1000,Settings!$B$14),SUMIFS(INDEX('Oxford Economics'!$A$7:$AZ$1000,0,IFERROR(MATCH(X$5,'Oxford Economics'!$A$6:$AZ$6,0),MATCH(X$5&amp;"",'Oxford Economics'!$A$6:$AZ$6,0))),'Oxford Economics'!$A$7:$A$1000,$C30,'Oxford Economics'!$B$7:$B$1000,Settings!$B$14)+SUMIFS(INDEX('Oxford Economics'!$A$7:$AZ$1000,0,IFERROR(MATCH(X$5,'Oxford Economics'!$A$6:$AZ$6,0),MATCH(X$5&amp;"",'Oxford Economics'!$A$6:$AZ$6,0))),'Oxford Economics'!$A$7:$A$1000,$C30,'Oxford Economics'!$B$7:$B$1000,Settings!$B$16)+IF(Settings!$B$18="",0,SUMIFS(INDEX('Oxford Economics'!$A$7:$AZ$1000,0,IFERROR(MATCH(X$5,'Oxford Economics'!$A$6:$AZ$6,0),MATCH(X$5&amp;"",'Oxford Economics'!$A$6:$AZ$6,0))),'Oxford Economics'!$A$7:$A$1000,$C30,'Oxford Economics'!$B$7:$B$1000,Settings!$B$18)))),""))</f>
        <v>38832.62</v>
      </c>
      <c r="Y30" s="37" t="n">
        <f aca="false">IF($A30="","",IFERROR(1/(1/IF($B30="Residential",SUMIFS(INDEX('Oxford Economics'!$A$7:$AZ$1000,0,IFERROR(MATCH(Y$5,'Oxford Economics'!$A$6:$AZ$6,0),MATCH(Y$5&amp;"",'Oxford Economics'!$A$6:$AZ$6,0))),'Oxford Economics'!$A$7:$A$1000,$C30,'Oxford Economics'!$B$7:$B$1000,Settings!$B$12)-SUMIFS(INDEX('Oxford Economics'!$A$7:$AZ$1000,0,IFERROR(MATCH(Y$5,'Oxford Economics'!$A$6:$AZ$6,0),MATCH(Y$5&amp;"",'Oxford Economics'!$A$6:$AZ$6,0))),'Oxford Economics'!$A$7:$A$1000,$C30,'Oxford Economics'!$B$7:$B$1000,Settings!$B$14),SUMIFS(INDEX('Oxford Economics'!$A$7:$AZ$1000,0,IFERROR(MATCH(Y$5,'Oxford Economics'!$A$6:$AZ$6,0),MATCH(Y$5&amp;"",'Oxford Economics'!$A$6:$AZ$6,0))),'Oxford Economics'!$A$7:$A$1000,$C30,'Oxford Economics'!$B$7:$B$1000,Settings!$B$14)+SUMIFS(INDEX('Oxford Economics'!$A$7:$AZ$1000,0,IFERROR(MATCH(Y$5,'Oxford Economics'!$A$6:$AZ$6,0),MATCH(Y$5&amp;"",'Oxford Economics'!$A$6:$AZ$6,0))),'Oxford Economics'!$A$7:$A$1000,$C30,'Oxford Economics'!$B$7:$B$1000,Settings!$B$16)+IF(Settings!$B$18="",0,SUMIFS(INDEX('Oxford Economics'!$A$7:$AZ$1000,0,IFERROR(MATCH(Y$5,'Oxford Economics'!$A$6:$AZ$6,0),MATCH(Y$5&amp;"",'Oxford Economics'!$A$6:$AZ$6,0))),'Oxford Economics'!$A$7:$A$1000,$C30,'Oxford Economics'!$B$7:$B$1000,Settings!$B$18)))),""))</f>
        <v>39676.57</v>
      </c>
      <c r="Z30" s="37" t="n">
        <f aca="false">IF($A30="","",IFERROR(1/(1/IF($B30="Residential",SUMIFS(INDEX('Oxford Economics'!$A$7:$AZ$1000,0,IFERROR(MATCH(Z$5,'Oxford Economics'!$A$6:$AZ$6,0),MATCH(Z$5&amp;"",'Oxford Economics'!$A$6:$AZ$6,0))),'Oxford Economics'!$A$7:$A$1000,$C30,'Oxford Economics'!$B$7:$B$1000,Settings!$B$12)-SUMIFS(INDEX('Oxford Economics'!$A$7:$AZ$1000,0,IFERROR(MATCH(Z$5,'Oxford Economics'!$A$6:$AZ$6,0),MATCH(Z$5&amp;"",'Oxford Economics'!$A$6:$AZ$6,0))),'Oxford Economics'!$A$7:$A$1000,$C30,'Oxford Economics'!$B$7:$B$1000,Settings!$B$14),SUMIFS(INDEX('Oxford Economics'!$A$7:$AZ$1000,0,IFERROR(MATCH(Z$5,'Oxford Economics'!$A$6:$AZ$6,0),MATCH(Z$5&amp;"",'Oxford Economics'!$A$6:$AZ$6,0))),'Oxford Economics'!$A$7:$A$1000,$C30,'Oxford Economics'!$B$7:$B$1000,Settings!$B$14)+SUMIFS(INDEX('Oxford Economics'!$A$7:$AZ$1000,0,IFERROR(MATCH(Z$5,'Oxford Economics'!$A$6:$AZ$6,0),MATCH(Z$5&amp;"",'Oxford Economics'!$A$6:$AZ$6,0))),'Oxford Economics'!$A$7:$A$1000,$C30,'Oxford Economics'!$B$7:$B$1000,Settings!$B$16)+IF(Settings!$B$18="",0,SUMIFS(INDEX('Oxford Economics'!$A$7:$AZ$1000,0,IFERROR(MATCH(Z$5,'Oxford Economics'!$A$6:$AZ$6,0),MATCH(Z$5&amp;"",'Oxford Economics'!$A$6:$AZ$6,0))),'Oxford Economics'!$A$7:$A$1000,$C30,'Oxford Economics'!$B$7:$B$1000,Settings!$B$18)))),""))</f>
        <v>40256.56</v>
      </c>
      <c r="AA30" s="37" t="n">
        <f aca="false">IF($A30="","",IFERROR(1/(1/IF($B30="Residential",SUMIFS(INDEX('Oxford Economics'!$A$7:$AZ$1000,0,IFERROR(MATCH(AA$5,'Oxford Economics'!$A$6:$AZ$6,0),MATCH(AA$5&amp;"",'Oxford Economics'!$A$6:$AZ$6,0))),'Oxford Economics'!$A$7:$A$1000,$C30,'Oxford Economics'!$B$7:$B$1000,Settings!$B$12)-SUMIFS(INDEX('Oxford Economics'!$A$7:$AZ$1000,0,IFERROR(MATCH(AA$5,'Oxford Economics'!$A$6:$AZ$6,0),MATCH(AA$5&amp;"",'Oxford Economics'!$A$6:$AZ$6,0))),'Oxford Economics'!$A$7:$A$1000,$C30,'Oxford Economics'!$B$7:$B$1000,Settings!$B$14),SUMIFS(INDEX('Oxford Economics'!$A$7:$AZ$1000,0,IFERROR(MATCH(AA$5,'Oxford Economics'!$A$6:$AZ$6,0),MATCH(AA$5&amp;"",'Oxford Economics'!$A$6:$AZ$6,0))),'Oxford Economics'!$A$7:$A$1000,$C30,'Oxford Economics'!$B$7:$B$1000,Settings!$B$14)+SUMIFS(INDEX('Oxford Economics'!$A$7:$AZ$1000,0,IFERROR(MATCH(AA$5,'Oxford Economics'!$A$6:$AZ$6,0),MATCH(AA$5&amp;"",'Oxford Economics'!$A$6:$AZ$6,0))),'Oxford Economics'!$A$7:$A$1000,$C30,'Oxford Economics'!$B$7:$B$1000,Settings!$B$16)+IF(Settings!$B$18="",0,SUMIFS(INDEX('Oxford Economics'!$A$7:$AZ$1000,0,IFERROR(MATCH(AA$5,'Oxford Economics'!$A$6:$AZ$6,0),MATCH(AA$5&amp;"",'Oxford Economics'!$A$6:$AZ$6,0))),'Oxford Economics'!$A$7:$A$1000,$C30,'Oxford Economics'!$B$7:$B$1000,Settings!$B$18)))),""))</f>
        <v>41210.91</v>
      </c>
      <c r="AB30" s="37" t="n">
        <f aca="false">IF($A30="","",IFERROR(1/(1/IF($B30="Residential",SUMIFS(INDEX('Oxford Economics'!$A$7:$AZ$1000,0,IFERROR(MATCH(AB$5,'Oxford Economics'!$A$6:$AZ$6,0),MATCH(AB$5&amp;"",'Oxford Economics'!$A$6:$AZ$6,0))),'Oxford Economics'!$A$7:$A$1000,$C30,'Oxford Economics'!$B$7:$B$1000,Settings!$B$11)-SUMIFS(INDEX('Oxford Economics'!$A$7:$AZ$1000,0,IFERROR(MATCH(AB$5,'Oxford Economics'!$A$6:$AZ$6,0),MATCH(AB$5&amp;"",'Oxford Economics'!$A$6:$AZ$6,0))),'Oxford Economics'!$A$7:$A$1000,$C30,'Oxford Economics'!$B$7:$B$1000,Settings!$B$13),SUMIFS(INDEX('Oxford Economics'!$A$7:$AZ$1000,0,IFERROR(MATCH(AB$5,'Oxford Economics'!$A$6:$AZ$6,0),MATCH(AB$5&amp;"",'Oxford Economics'!$A$6:$AZ$6,0))),'Oxford Economics'!$A$7:$A$1000,$C30,'Oxford Economics'!$B$7:$B$1000,Settings!$B$13)+SUMIFS(INDEX('Oxford Economics'!$A$7:$AZ$1000,0,IFERROR(MATCH(AB$5,'Oxford Economics'!$A$6:$AZ$6,0),MATCH(AB$5&amp;"",'Oxford Economics'!$A$6:$AZ$6,0))),'Oxford Economics'!$A$7:$A$1000,$C30,'Oxford Economics'!$B$7:$B$1000,Settings!$B$15)+IF(Settings!$B$17="",0,SUMIFS(INDEX('Oxford Economics'!$A$7:$AZ$1000,0,IFERROR(MATCH(AB$5,'Oxford Economics'!$A$6:$AZ$6,0),MATCH(AB$5&amp;"",'Oxford Economics'!$A$6:$AZ$6,0))),'Oxford Economics'!$A$7:$A$1000,$C30,'Oxford Economics'!$B$7:$B$1000,Settings!$B$17)))),""))</f>
        <v>19309.43</v>
      </c>
      <c r="AC30" s="37" t="n">
        <f aca="false">IF($A30="","",IFERROR(1/(1/IF($B30="Residential",SUMIFS(INDEX('Oxford Economics'!$A$7:$AZ$1000,0,IFERROR(MATCH(AC$5,'Oxford Economics'!$A$6:$AZ$6,0),MATCH(AC$5&amp;"",'Oxford Economics'!$A$6:$AZ$6,0))),'Oxford Economics'!$A$7:$A$1000,$C30,'Oxford Economics'!$B$7:$B$1000,Settings!$B$11)-SUMIFS(INDEX('Oxford Economics'!$A$7:$AZ$1000,0,IFERROR(MATCH(AC$5,'Oxford Economics'!$A$6:$AZ$6,0),MATCH(AC$5&amp;"",'Oxford Economics'!$A$6:$AZ$6,0))),'Oxford Economics'!$A$7:$A$1000,$C30,'Oxford Economics'!$B$7:$B$1000,Settings!$B$13),SUMIFS(INDEX('Oxford Economics'!$A$7:$AZ$1000,0,IFERROR(MATCH(AC$5,'Oxford Economics'!$A$6:$AZ$6,0),MATCH(AC$5&amp;"",'Oxford Economics'!$A$6:$AZ$6,0))),'Oxford Economics'!$A$7:$A$1000,$C30,'Oxford Economics'!$B$7:$B$1000,Settings!$B$13)+SUMIFS(INDEX('Oxford Economics'!$A$7:$AZ$1000,0,IFERROR(MATCH(AC$5,'Oxford Economics'!$A$6:$AZ$6,0),MATCH(AC$5&amp;"",'Oxford Economics'!$A$6:$AZ$6,0))),'Oxford Economics'!$A$7:$A$1000,$C30,'Oxford Economics'!$B$7:$B$1000,Settings!$B$15)+IF(Settings!$B$17="",0,SUMIFS(INDEX('Oxford Economics'!$A$7:$AZ$1000,0,IFERROR(MATCH(AC$5,'Oxford Economics'!$A$6:$AZ$6,0),MATCH(AC$5&amp;"",'Oxford Economics'!$A$6:$AZ$6,0))),'Oxford Economics'!$A$7:$A$1000,$C30,'Oxford Economics'!$B$7:$B$1000,Settings!$B$17)))),""))</f>
        <v>21666.07</v>
      </c>
      <c r="AD30" s="37" t="n">
        <f aca="false">IF($A30="","",IFERROR(1/(1/IF($B30="Residential",SUMIFS(INDEX('Oxford Economics'!$A$7:$AZ$1000,0,IFERROR(MATCH(AD$5,'Oxford Economics'!$A$6:$AZ$6,0),MATCH(AD$5&amp;"",'Oxford Economics'!$A$6:$AZ$6,0))),'Oxford Economics'!$A$7:$A$1000,$C30,'Oxford Economics'!$B$7:$B$1000,Settings!$B$11)-SUMIFS(INDEX('Oxford Economics'!$A$7:$AZ$1000,0,IFERROR(MATCH(AD$5,'Oxford Economics'!$A$6:$AZ$6,0),MATCH(AD$5&amp;"",'Oxford Economics'!$A$6:$AZ$6,0))),'Oxford Economics'!$A$7:$A$1000,$C30,'Oxford Economics'!$B$7:$B$1000,Settings!$B$13),SUMIFS(INDEX('Oxford Economics'!$A$7:$AZ$1000,0,IFERROR(MATCH(AD$5,'Oxford Economics'!$A$6:$AZ$6,0),MATCH(AD$5&amp;"",'Oxford Economics'!$A$6:$AZ$6,0))),'Oxford Economics'!$A$7:$A$1000,$C30,'Oxford Economics'!$B$7:$B$1000,Settings!$B$13)+SUMIFS(INDEX('Oxford Economics'!$A$7:$AZ$1000,0,IFERROR(MATCH(AD$5,'Oxford Economics'!$A$6:$AZ$6,0),MATCH(AD$5&amp;"",'Oxford Economics'!$A$6:$AZ$6,0))),'Oxford Economics'!$A$7:$A$1000,$C30,'Oxford Economics'!$B$7:$B$1000,Settings!$B$15)+IF(Settings!$B$17="",0,SUMIFS(INDEX('Oxford Economics'!$A$7:$AZ$1000,0,IFERROR(MATCH(AD$5,'Oxford Economics'!$A$6:$AZ$6,0),MATCH(AD$5&amp;"",'Oxford Economics'!$A$6:$AZ$6,0))),'Oxford Economics'!$A$7:$A$1000,$C30,'Oxford Economics'!$B$7:$B$1000,Settings!$B$17)))),""))</f>
        <v>20253.14</v>
      </c>
      <c r="AE30" s="37" t="n">
        <f aca="false">IF($A30="","",IFERROR(1/(1/IF($B30="Residential",SUMIFS(INDEX('Oxford Economics'!$A$7:$AZ$1000,0,IFERROR(MATCH(AE$5,'Oxford Economics'!$A$6:$AZ$6,0),MATCH(AE$5&amp;"",'Oxford Economics'!$A$6:$AZ$6,0))),'Oxford Economics'!$A$7:$A$1000,$C30,'Oxford Economics'!$B$7:$B$1000,Settings!$B$11)-SUMIFS(INDEX('Oxford Economics'!$A$7:$AZ$1000,0,IFERROR(MATCH(AE$5,'Oxford Economics'!$A$6:$AZ$6,0),MATCH(AE$5&amp;"",'Oxford Economics'!$A$6:$AZ$6,0))),'Oxford Economics'!$A$7:$A$1000,$C30,'Oxford Economics'!$B$7:$B$1000,Settings!$B$13),SUMIFS(INDEX('Oxford Economics'!$A$7:$AZ$1000,0,IFERROR(MATCH(AE$5,'Oxford Economics'!$A$6:$AZ$6,0),MATCH(AE$5&amp;"",'Oxford Economics'!$A$6:$AZ$6,0))),'Oxford Economics'!$A$7:$A$1000,$C30,'Oxford Economics'!$B$7:$B$1000,Settings!$B$13)+SUMIFS(INDEX('Oxford Economics'!$A$7:$AZ$1000,0,IFERROR(MATCH(AE$5,'Oxford Economics'!$A$6:$AZ$6,0),MATCH(AE$5&amp;"",'Oxford Economics'!$A$6:$AZ$6,0))),'Oxford Economics'!$A$7:$A$1000,$C30,'Oxford Economics'!$B$7:$B$1000,Settings!$B$15)+IF(Settings!$B$17="",0,SUMIFS(INDEX('Oxford Economics'!$A$7:$AZ$1000,0,IFERROR(MATCH(AE$5,'Oxford Economics'!$A$6:$AZ$6,0),MATCH(AE$5&amp;"",'Oxford Economics'!$A$6:$AZ$6,0))),'Oxford Economics'!$A$7:$A$1000,$C30,'Oxford Economics'!$B$7:$B$1000,Settings!$B$17)))),""))</f>
        <v>16052.74</v>
      </c>
      <c r="AF30" s="37" t="n">
        <f aca="false">IF($A30="","",IFERROR(1/(1/IF($B30="Residential",SUMIFS(INDEX('Oxford Economics'!$A$7:$AZ$1000,0,IFERROR(MATCH(AF$5,'Oxford Economics'!$A$6:$AZ$6,0),MATCH(AF$5&amp;"",'Oxford Economics'!$A$6:$AZ$6,0))),'Oxford Economics'!$A$7:$A$1000,$C30,'Oxford Economics'!$B$7:$B$1000,Settings!$B$11)-SUMIFS(INDEX('Oxford Economics'!$A$7:$AZ$1000,0,IFERROR(MATCH(AF$5,'Oxford Economics'!$A$6:$AZ$6,0),MATCH(AF$5&amp;"",'Oxford Economics'!$A$6:$AZ$6,0))),'Oxford Economics'!$A$7:$A$1000,$C30,'Oxford Economics'!$B$7:$B$1000,Settings!$B$13),SUMIFS(INDEX('Oxford Economics'!$A$7:$AZ$1000,0,IFERROR(MATCH(AF$5,'Oxford Economics'!$A$6:$AZ$6,0),MATCH(AF$5&amp;"",'Oxford Economics'!$A$6:$AZ$6,0))),'Oxford Economics'!$A$7:$A$1000,$C30,'Oxford Economics'!$B$7:$B$1000,Settings!$B$13)+SUMIFS(INDEX('Oxford Economics'!$A$7:$AZ$1000,0,IFERROR(MATCH(AF$5,'Oxford Economics'!$A$6:$AZ$6,0),MATCH(AF$5&amp;"",'Oxford Economics'!$A$6:$AZ$6,0))),'Oxford Economics'!$A$7:$A$1000,$C30,'Oxford Economics'!$B$7:$B$1000,Settings!$B$15)+IF(Settings!$B$17="",0,SUMIFS(INDEX('Oxford Economics'!$A$7:$AZ$1000,0,IFERROR(MATCH(AF$5,'Oxford Economics'!$A$6:$AZ$6,0),MATCH(AF$5&amp;"",'Oxford Economics'!$A$6:$AZ$6,0))),'Oxford Economics'!$A$7:$A$1000,$C30,'Oxford Economics'!$B$7:$B$1000,Settings!$B$17)))),""))</f>
        <v>11436.57</v>
      </c>
      <c r="AG30" s="37" t="n">
        <f aca="false">IF($A30="","",IFERROR(1/(1/IF($B30="Residential",SUMIFS(INDEX('Oxford Economics'!$A$7:$AZ$1000,0,IFERROR(MATCH(AG$5,'Oxford Economics'!$A$6:$AZ$6,0),MATCH(AG$5&amp;"",'Oxford Economics'!$A$6:$AZ$6,0))),'Oxford Economics'!$A$7:$A$1000,$C30,'Oxford Economics'!$B$7:$B$1000,Settings!$B$11)-SUMIFS(INDEX('Oxford Economics'!$A$7:$AZ$1000,0,IFERROR(MATCH(AG$5,'Oxford Economics'!$A$6:$AZ$6,0),MATCH(AG$5&amp;"",'Oxford Economics'!$A$6:$AZ$6,0))),'Oxford Economics'!$A$7:$A$1000,$C30,'Oxford Economics'!$B$7:$B$1000,Settings!$B$13),SUMIFS(INDEX('Oxford Economics'!$A$7:$AZ$1000,0,IFERROR(MATCH(AG$5,'Oxford Economics'!$A$6:$AZ$6,0),MATCH(AG$5&amp;"",'Oxford Economics'!$A$6:$AZ$6,0))),'Oxford Economics'!$A$7:$A$1000,$C30,'Oxford Economics'!$B$7:$B$1000,Settings!$B$13)+SUMIFS(INDEX('Oxford Economics'!$A$7:$AZ$1000,0,IFERROR(MATCH(AG$5,'Oxford Economics'!$A$6:$AZ$6,0),MATCH(AG$5&amp;"",'Oxford Economics'!$A$6:$AZ$6,0))),'Oxford Economics'!$A$7:$A$1000,$C30,'Oxford Economics'!$B$7:$B$1000,Settings!$B$15)+IF(Settings!$B$17="",0,SUMIFS(INDEX('Oxford Economics'!$A$7:$AZ$1000,0,IFERROR(MATCH(AG$5,'Oxford Economics'!$A$6:$AZ$6,0),MATCH(AG$5&amp;"",'Oxford Economics'!$A$6:$AZ$6,0))),'Oxford Economics'!$A$7:$A$1000,$C30,'Oxford Economics'!$B$7:$B$1000,Settings!$B$17)))),""))</f>
        <v>10691.08</v>
      </c>
      <c r="AH30" s="37" t="n">
        <f aca="false">IF($A30="","",IFERROR(1/(1/IF($B30="Residential",SUMIFS(INDEX('Oxford Economics'!$A$7:$AZ$1000,0,IFERROR(MATCH(AH$5,'Oxford Economics'!$A$6:$AZ$6,0),MATCH(AH$5&amp;"",'Oxford Economics'!$A$6:$AZ$6,0))),'Oxford Economics'!$A$7:$A$1000,$C30,'Oxford Economics'!$B$7:$B$1000,Settings!$B$11)-SUMIFS(INDEX('Oxford Economics'!$A$7:$AZ$1000,0,IFERROR(MATCH(AH$5,'Oxford Economics'!$A$6:$AZ$6,0),MATCH(AH$5&amp;"",'Oxford Economics'!$A$6:$AZ$6,0))),'Oxford Economics'!$A$7:$A$1000,$C30,'Oxford Economics'!$B$7:$B$1000,Settings!$B$13),SUMIFS(INDEX('Oxford Economics'!$A$7:$AZ$1000,0,IFERROR(MATCH(AH$5,'Oxford Economics'!$A$6:$AZ$6,0),MATCH(AH$5&amp;"",'Oxford Economics'!$A$6:$AZ$6,0))),'Oxford Economics'!$A$7:$A$1000,$C30,'Oxford Economics'!$B$7:$B$1000,Settings!$B$13)+SUMIFS(INDEX('Oxford Economics'!$A$7:$AZ$1000,0,IFERROR(MATCH(AH$5,'Oxford Economics'!$A$6:$AZ$6,0),MATCH(AH$5&amp;"",'Oxford Economics'!$A$6:$AZ$6,0))),'Oxford Economics'!$A$7:$A$1000,$C30,'Oxford Economics'!$B$7:$B$1000,Settings!$B$15)+IF(Settings!$B$17="",0,SUMIFS(INDEX('Oxford Economics'!$A$7:$AZ$1000,0,IFERROR(MATCH(AH$5,'Oxford Economics'!$A$6:$AZ$6,0),MATCH(AH$5&amp;"",'Oxford Economics'!$A$6:$AZ$6,0))),'Oxford Economics'!$A$7:$A$1000,$C30,'Oxford Economics'!$B$7:$B$1000,Settings!$B$17)))),""))</f>
        <v>10236.86</v>
      </c>
      <c r="AI30" s="37" t="n">
        <f aca="false">IF($A30="","",IFERROR(1/(1/IF($B30="Residential",SUMIFS(INDEX('Oxford Economics'!$A$7:$AZ$1000,0,IFERROR(MATCH(AI$5,'Oxford Economics'!$A$6:$AZ$6,0),MATCH(AI$5&amp;"",'Oxford Economics'!$A$6:$AZ$6,0))),'Oxford Economics'!$A$7:$A$1000,$C30,'Oxford Economics'!$B$7:$B$1000,Settings!$B$11)-SUMIFS(INDEX('Oxford Economics'!$A$7:$AZ$1000,0,IFERROR(MATCH(AI$5,'Oxford Economics'!$A$6:$AZ$6,0),MATCH(AI$5&amp;"",'Oxford Economics'!$A$6:$AZ$6,0))),'Oxford Economics'!$A$7:$A$1000,$C30,'Oxford Economics'!$B$7:$B$1000,Settings!$B$13),SUMIFS(INDEX('Oxford Economics'!$A$7:$AZ$1000,0,IFERROR(MATCH(AI$5,'Oxford Economics'!$A$6:$AZ$6,0),MATCH(AI$5&amp;"",'Oxford Economics'!$A$6:$AZ$6,0))),'Oxford Economics'!$A$7:$A$1000,$C30,'Oxford Economics'!$B$7:$B$1000,Settings!$B$13)+SUMIFS(INDEX('Oxford Economics'!$A$7:$AZ$1000,0,IFERROR(MATCH(AI$5,'Oxford Economics'!$A$6:$AZ$6,0),MATCH(AI$5&amp;"",'Oxford Economics'!$A$6:$AZ$6,0))),'Oxford Economics'!$A$7:$A$1000,$C30,'Oxford Economics'!$B$7:$B$1000,Settings!$B$15)+IF(Settings!$B$17="",0,SUMIFS(INDEX('Oxford Economics'!$A$7:$AZ$1000,0,IFERROR(MATCH(AI$5,'Oxford Economics'!$A$6:$AZ$6,0),MATCH(AI$5&amp;"",'Oxford Economics'!$A$6:$AZ$6,0))),'Oxford Economics'!$A$7:$A$1000,$C30,'Oxford Economics'!$B$7:$B$1000,Settings!$B$17)))),""))</f>
        <v>9983.2</v>
      </c>
      <c r="AJ30" s="37" t="n">
        <f aca="false">IF($A30="","",IFERROR(1/(1/IF($B30="Residential",SUMIFS(INDEX('Oxford Economics'!$A$7:$AZ$1000,0,IFERROR(MATCH(AJ$5,'Oxford Economics'!$A$6:$AZ$6,0),MATCH(AJ$5&amp;"",'Oxford Economics'!$A$6:$AZ$6,0))),'Oxford Economics'!$A$7:$A$1000,$C30,'Oxford Economics'!$B$7:$B$1000,Settings!$B$11)-SUMIFS(INDEX('Oxford Economics'!$A$7:$AZ$1000,0,IFERROR(MATCH(AJ$5,'Oxford Economics'!$A$6:$AZ$6,0),MATCH(AJ$5&amp;"",'Oxford Economics'!$A$6:$AZ$6,0))),'Oxford Economics'!$A$7:$A$1000,$C30,'Oxford Economics'!$B$7:$B$1000,Settings!$B$13),SUMIFS(INDEX('Oxford Economics'!$A$7:$AZ$1000,0,IFERROR(MATCH(AJ$5,'Oxford Economics'!$A$6:$AZ$6,0),MATCH(AJ$5&amp;"",'Oxford Economics'!$A$6:$AZ$6,0))),'Oxford Economics'!$A$7:$A$1000,$C30,'Oxford Economics'!$B$7:$B$1000,Settings!$B$13)+SUMIFS(INDEX('Oxford Economics'!$A$7:$AZ$1000,0,IFERROR(MATCH(AJ$5,'Oxford Economics'!$A$6:$AZ$6,0),MATCH(AJ$5&amp;"",'Oxford Economics'!$A$6:$AZ$6,0))),'Oxford Economics'!$A$7:$A$1000,$C30,'Oxford Economics'!$B$7:$B$1000,Settings!$B$15)+IF(Settings!$B$17="",0,SUMIFS(INDEX('Oxford Economics'!$A$7:$AZ$1000,0,IFERROR(MATCH(AJ$5,'Oxford Economics'!$A$6:$AZ$6,0),MATCH(AJ$5&amp;"",'Oxford Economics'!$A$6:$AZ$6,0))),'Oxford Economics'!$A$7:$A$1000,$C30,'Oxford Economics'!$B$7:$B$1000,Settings!$B$17)))),""))</f>
        <v>10165.83</v>
      </c>
      <c r="AK30" s="37" t="n">
        <f aca="false">IF($A30="","",IFERROR(1/(1/IF($B30="Residential",SUMIFS(INDEX('Oxford Economics'!$A$7:$AZ$1000,0,IFERROR(MATCH(AK$5,'Oxford Economics'!$A$6:$AZ$6,0),MATCH(AK$5&amp;"",'Oxford Economics'!$A$6:$AZ$6,0))),'Oxford Economics'!$A$7:$A$1000,$C30,'Oxford Economics'!$B$7:$B$1000,Settings!$B$11)-SUMIFS(INDEX('Oxford Economics'!$A$7:$AZ$1000,0,IFERROR(MATCH(AK$5,'Oxford Economics'!$A$6:$AZ$6,0),MATCH(AK$5&amp;"",'Oxford Economics'!$A$6:$AZ$6,0))),'Oxford Economics'!$A$7:$A$1000,$C30,'Oxford Economics'!$B$7:$B$1000,Settings!$B$13),SUMIFS(INDEX('Oxford Economics'!$A$7:$AZ$1000,0,IFERROR(MATCH(AK$5,'Oxford Economics'!$A$6:$AZ$6,0),MATCH(AK$5&amp;"",'Oxford Economics'!$A$6:$AZ$6,0))),'Oxford Economics'!$A$7:$A$1000,$C30,'Oxford Economics'!$B$7:$B$1000,Settings!$B$13)+SUMIFS(INDEX('Oxford Economics'!$A$7:$AZ$1000,0,IFERROR(MATCH(AK$5,'Oxford Economics'!$A$6:$AZ$6,0),MATCH(AK$5&amp;"",'Oxford Economics'!$A$6:$AZ$6,0))),'Oxford Economics'!$A$7:$A$1000,$C30,'Oxford Economics'!$B$7:$B$1000,Settings!$B$15)+IF(Settings!$B$17="",0,SUMIFS(INDEX('Oxford Economics'!$A$7:$AZ$1000,0,IFERROR(MATCH(AK$5,'Oxford Economics'!$A$6:$AZ$6,0),MATCH(AK$5&amp;"",'Oxford Economics'!$A$6:$AZ$6,0))),'Oxford Economics'!$A$7:$A$1000,$C30,'Oxford Economics'!$B$7:$B$1000,Settings!$B$17)))),""))</f>
        <v>10538.09</v>
      </c>
      <c r="AL30" s="37" t="n">
        <f aca="false">IF($A30="","",IFERROR(1/(1/IF($B30="Residential",SUMIFS(INDEX('Oxford Economics'!$A$7:$AZ$1000,0,IFERROR(MATCH(AL$5,'Oxford Economics'!$A$6:$AZ$6,0),MATCH(AL$5&amp;"",'Oxford Economics'!$A$6:$AZ$6,0))),'Oxford Economics'!$A$7:$A$1000,$C30,'Oxford Economics'!$B$7:$B$1000,Settings!$B$11)-SUMIFS(INDEX('Oxford Economics'!$A$7:$AZ$1000,0,IFERROR(MATCH(AL$5,'Oxford Economics'!$A$6:$AZ$6,0),MATCH(AL$5&amp;"",'Oxford Economics'!$A$6:$AZ$6,0))),'Oxford Economics'!$A$7:$A$1000,$C30,'Oxford Economics'!$B$7:$B$1000,Settings!$B$13),SUMIFS(INDEX('Oxford Economics'!$A$7:$AZ$1000,0,IFERROR(MATCH(AL$5,'Oxford Economics'!$A$6:$AZ$6,0),MATCH(AL$5&amp;"",'Oxford Economics'!$A$6:$AZ$6,0))),'Oxford Economics'!$A$7:$A$1000,$C30,'Oxford Economics'!$B$7:$B$1000,Settings!$B$13)+SUMIFS(INDEX('Oxford Economics'!$A$7:$AZ$1000,0,IFERROR(MATCH(AL$5,'Oxford Economics'!$A$6:$AZ$6,0),MATCH(AL$5&amp;"",'Oxford Economics'!$A$6:$AZ$6,0))),'Oxford Economics'!$A$7:$A$1000,$C30,'Oxford Economics'!$B$7:$B$1000,Settings!$B$15)+IF(Settings!$B$17="",0,SUMIFS(INDEX('Oxford Economics'!$A$7:$AZ$1000,0,IFERROR(MATCH(AL$5,'Oxford Economics'!$A$6:$AZ$6,0),MATCH(AL$5&amp;"",'Oxford Economics'!$A$6:$AZ$6,0))),'Oxford Economics'!$A$7:$A$1000,$C30,'Oxford Economics'!$B$7:$B$1000,Settings!$B$17)))),""))</f>
        <v>10870.05</v>
      </c>
      <c r="AM30" s="37" t="n">
        <f aca="false">IF($A30="","",IFERROR(1/(1/IF($B30="Residential",SUMIFS(INDEX('Oxford Economics'!$A$7:$AZ$1000,0,IFERROR(MATCH(AM$5,'Oxford Economics'!$A$6:$AZ$6,0),MATCH(AM$5&amp;"",'Oxford Economics'!$A$6:$AZ$6,0))),'Oxford Economics'!$A$7:$A$1000,$C30,'Oxford Economics'!$B$7:$B$1000,Settings!$B$11)-SUMIFS(INDEX('Oxford Economics'!$A$7:$AZ$1000,0,IFERROR(MATCH(AM$5,'Oxford Economics'!$A$6:$AZ$6,0),MATCH(AM$5&amp;"",'Oxford Economics'!$A$6:$AZ$6,0))),'Oxford Economics'!$A$7:$A$1000,$C30,'Oxford Economics'!$B$7:$B$1000,Settings!$B$13),SUMIFS(INDEX('Oxford Economics'!$A$7:$AZ$1000,0,IFERROR(MATCH(AM$5,'Oxford Economics'!$A$6:$AZ$6,0),MATCH(AM$5&amp;"",'Oxford Economics'!$A$6:$AZ$6,0))),'Oxford Economics'!$A$7:$A$1000,$C30,'Oxford Economics'!$B$7:$B$1000,Settings!$B$13)+SUMIFS(INDEX('Oxford Economics'!$A$7:$AZ$1000,0,IFERROR(MATCH(AM$5,'Oxford Economics'!$A$6:$AZ$6,0),MATCH(AM$5&amp;"",'Oxford Economics'!$A$6:$AZ$6,0))),'Oxford Economics'!$A$7:$A$1000,$C30,'Oxford Economics'!$B$7:$B$1000,Settings!$B$15)+IF(Settings!$B$17="",0,SUMIFS(INDEX('Oxford Economics'!$A$7:$AZ$1000,0,IFERROR(MATCH(AM$5,'Oxford Economics'!$A$6:$AZ$6,0),MATCH(AM$5&amp;"",'Oxford Economics'!$A$6:$AZ$6,0))),'Oxford Economics'!$A$7:$A$1000,$C30,'Oxford Economics'!$B$7:$B$1000,Settings!$B$17)))),""))</f>
        <v>11239.6</v>
      </c>
    </row>
    <row r="31" customFormat="false" ht="15" hidden="false" customHeight="false" outlineLevel="0" collapsed="false">
      <c r="A31" s="36" t="str">
        <f aca="false">IF('Raw data'!$A31="","",'Raw data'!$A31)</f>
        <v>France</v>
      </c>
      <c r="B31" s="36" t="str">
        <f aca="false">IF($A31="","",'Raw data'!$C31)</f>
        <v>Commercial</v>
      </c>
      <c r="C31" s="36" t="str">
        <f aca="false">IF($A31="","",IF('Raw data'!$D31="",$A31,'Raw data'!$D31))</f>
        <v>France</v>
      </c>
      <c r="D31" s="37" t="n">
        <f aca="false">IF($A31="","",IF(AND(ISNUMBER(P31),ISNUMBER(AB31)),P31+AB31,""))</f>
        <v>89594.8</v>
      </c>
      <c r="E31" s="37" t="n">
        <f aca="false">IF($A31="","",IF(AND(ISNUMBER(Q31),ISNUMBER(AC31)),Q31+AC31,""))</f>
        <v>94161.07</v>
      </c>
      <c r="F31" s="37" t="n">
        <f aca="false">IF($A31="","",IF(AND(ISNUMBER(R31),ISNUMBER(AD31)),R31+AD31,""))</f>
        <v>91159.33</v>
      </c>
      <c r="G31" s="37" t="n">
        <f aca="false">IF($A31="","",IF(AND(ISNUMBER(S31),ISNUMBER(AE31)),S31+AE31,""))</f>
        <v>94479.19</v>
      </c>
      <c r="H31" s="37" t="n">
        <f aca="false">IF($A31="","",IF(AND(ISNUMBER(T31),ISNUMBER(AF31)),T31+AF31,""))</f>
        <v>94583.6</v>
      </c>
      <c r="I31" s="37" t="n">
        <f aca="false">IF($A31="","",IF(AND(ISNUMBER(U31),ISNUMBER(AG31)),U31+AG31,""))</f>
        <v>92949.87</v>
      </c>
      <c r="J31" s="37" t="n">
        <f aca="false">IF($A31="","",IF(AND(ISNUMBER(V31),ISNUMBER(AH31)),V31+AH31,""))</f>
        <v>93918.48</v>
      </c>
      <c r="K31" s="37" t="n">
        <f aca="false">IF($A31="","",IF(AND(ISNUMBER(W31),ISNUMBER(AI31)),W31+AI31,""))</f>
        <v>94492.01</v>
      </c>
      <c r="L31" s="37" t="n">
        <f aca="false">IF($A31="","",IF(AND(ISNUMBER(X31),ISNUMBER(AJ31)),X31+AJ31,""))</f>
        <v>94816.89</v>
      </c>
      <c r="M31" s="37" t="n">
        <f aca="false">IF($A31="","",IF(AND(ISNUMBER(Y31),ISNUMBER(AK31)),Y31+AK31,""))</f>
        <v>96103.47</v>
      </c>
      <c r="N31" s="37" t="n">
        <f aca="false">IF($A31="","",IF(AND(ISNUMBER(Z31),ISNUMBER(AL31)),Z31+AL31,""))</f>
        <v>98103.02</v>
      </c>
      <c r="O31" s="37" t="n">
        <f aca="false">IF($A31="","",IF(AND(ISNUMBER(AA31),ISNUMBER(AM31)),AA31+AM31,""))</f>
        <v>99770.69</v>
      </c>
      <c r="P31" s="37" t="n">
        <f aca="false">IF($A31="","",IFERROR(1/(1/IF($B31="Residential",SUMIFS(INDEX('Oxford Economics'!$A$7:$AZ$1000,0,IFERROR(MATCH(P$5,'Oxford Economics'!$A$6:$AZ$6,0),MATCH(P$5&amp;"",'Oxford Economics'!$A$6:$AZ$6,0))),'Oxford Economics'!$A$7:$A$1000,$C31,'Oxford Economics'!$B$7:$B$1000,Settings!$B$12)-SUMIFS(INDEX('Oxford Economics'!$A$7:$AZ$1000,0,IFERROR(MATCH(P$5,'Oxford Economics'!$A$6:$AZ$6,0),MATCH(P$5&amp;"",'Oxford Economics'!$A$6:$AZ$6,0))),'Oxford Economics'!$A$7:$A$1000,$C31,'Oxford Economics'!$B$7:$B$1000,Settings!$B$14),SUMIFS(INDEX('Oxford Economics'!$A$7:$AZ$1000,0,IFERROR(MATCH(P$5,'Oxford Economics'!$A$6:$AZ$6,0),MATCH(P$5&amp;"",'Oxford Economics'!$A$6:$AZ$6,0))),'Oxford Economics'!$A$7:$A$1000,$C31,'Oxford Economics'!$B$7:$B$1000,Settings!$B$14)+SUMIFS(INDEX('Oxford Economics'!$A$7:$AZ$1000,0,IFERROR(MATCH(P$5,'Oxford Economics'!$A$6:$AZ$6,0),MATCH(P$5&amp;"",'Oxford Economics'!$A$6:$AZ$6,0))),'Oxford Economics'!$A$7:$A$1000,$C31,'Oxford Economics'!$B$7:$B$1000,Settings!$B$16)+IF(Settings!$B$18="",0,SUMIFS(INDEX('Oxford Economics'!$A$7:$AZ$1000,0,IFERROR(MATCH(P$5,'Oxford Economics'!$A$6:$AZ$6,0),MATCH(P$5&amp;"",'Oxford Economics'!$A$6:$AZ$6,0))),'Oxford Economics'!$A$7:$A$1000,$C31,'Oxford Economics'!$B$7:$B$1000,Settings!$B$18)))),""))</f>
        <v>47410.23</v>
      </c>
      <c r="Q31" s="37" t="n">
        <f aca="false">IF($A31="","",IFERROR(1/(1/IF($B31="Residential",SUMIFS(INDEX('Oxford Economics'!$A$7:$AZ$1000,0,IFERROR(MATCH(Q$5,'Oxford Economics'!$A$6:$AZ$6,0),MATCH(Q$5&amp;"",'Oxford Economics'!$A$6:$AZ$6,0))),'Oxford Economics'!$A$7:$A$1000,$C31,'Oxford Economics'!$B$7:$B$1000,Settings!$B$12)-SUMIFS(INDEX('Oxford Economics'!$A$7:$AZ$1000,0,IFERROR(MATCH(Q$5,'Oxford Economics'!$A$6:$AZ$6,0),MATCH(Q$5&amp;"",'Oxford Economics'!$A$6:$AZ$6,0))),'Oxford Economics'!$A$7:$A$1000,$C31,'Oxford Economics'!$B$7:$B$1000,Settings!$B$14),SUMIFS(INDEX('Oxford Economics'!$A$7:$AZ$1000,0,IFERROR(MATCH(Q$5,'Oxford Economics'!$A$6:$AZ$6,0),MATCH(Q$5&amp;"",'Oxford Economics'!$A$6:$AZ$6,0))),'Oxford Economics'!$A$7:$A$1000,$C31,'Oxford Economics'!$B$7:$B$1000,Settings!$B$14)+SUMIFS(INDEX('Oxford Economics'!$A$7:$AZ$1000,0,IFERROR(MATCH(Q$5,'Oxford Economics'!$A$6:$AZ$6,0),MATCH(Q$5&amp;"",'Oxford Economics'!$A$6:$AZ$6,0))),'Oxford Economics'!$A$7:$A$1000,$C31,'Oxford Economics'!$B$7:$B$1000,Settings!$B$16)+IF(Settings!$B$18="",0,SUMIFS(INDEX('Oxford Economics'!$A$7:$AZ$1000,0,IFERROR(MATCH(Q$5,'Oxford Economics'!$A$6:$AZ$6,0),MATCH(Q$5&amp;"",'Oxford Economics'!$A$6:$AZ$6,0))),'Oxford Economics'!$A$7:$A$1000,$C31,'Oxford Economics'!$B$7:$B$1000,Settings!$B$18)))),""))</f>
        <v>51400.31</v>
      </c>
      <c r="R31" s="37" t="n">
        <f aca="false">IF($A31="","",IFERROR(1/(1/IF($B31="Residential",SUMIFS(INDEX('Oxford Economics'!$A$7:$AZ$1000,0,IFERROR(MATCH(R$5,'Oxford Economics'!$A$6:$AZ$6,0),MATCH(R$5&amp;"",'Oxford Economics'!$A$6:$AZ$6,0))),'Oxford Economics'!$A$7:$A$1000,$C31,'Oxford Economics'!$B$7:$B$1000,Settings!$B$12)-SUMIFS(INDEX('Oxford Economics'!$A$7:$AZ$1000,0,IFERROR(MATCH(R$5,'Oxford Economics'!$A$6:$AZ$6,0),MATCH(R$5&amp;"",'Oxford Economics'!$A$6:$AZ$6,0))),'Oxford Economics'!$A$7:$A$1000,$C31,'Oxford Economics'!$B$7:$B$1000,Settings!$B$14),SUMIFS(INDEX('Oxford Economics'!$A$7:$AZ$1000,0,IFERROR(MATCH(R$5,'Oxford Economics'!$A$6:$AZ$6,0),MATCH(R$5&amp;"",'Oxford Economics'!$A$6:$AZ$6,0))),'Oxford Economics'!$A$7:$A$1000,$C31,'Oxford Economics'!$B$7:$B$1000,Settings!$B$14)+SUMIFS(INDEX('Oxford Economics'!$A$7:$AZ$1000,0,IFERROR(MATCH(R$5,'Oxford Economics'!$A$6:$AZ$6,0),MATCH(R$5&amp;"",'Oxford Economics'!$A$6:$AZ$6,0))),'Oxford Economics'!$A$7:$A$1000,$C31,'Oxford Economics'!$B$7:$B$1000,Settings!$B$16)+IF(Settings!$B$18="",0,SUMIFS(INDEX('Oxford Economics'!$A$7:$AZ$1000,0,IFERROR(MATCH(R$5,'Oxford Economics'!$A$6:$AZ$6,0),MATCH(R$5&amp;"",'Oxford Economics'!$A$6:$AZ$6,0))),'Oxford Economics'!$A$7:$A$1000,$C31,'Oxford Economics'!$B$7:$B$1000,Settings!$B$18)))),""))</f>
        <v>49518.14</v>
      </c>
      <c r="S31" s="37" t="n">
        <f aca="false">IF($A31="","",IFERROR(1/(1/IF($B31="Residential",SUMIFS(INDEX('Oxford Economics'!$A$7:$AZ$1000,0,IFERROR(MATCH(S$5,'Oxford Economics'!$A$6:$AZ$6,0),MATCH(S$5&amp;"",'Oxford Economics'!$A$6:$AZ$6,0))),'Oxford Economics'!$A$7:$A$1000,$C31,'Oxford Economics'!$B$7:$B$1000,Settings!$B$12)-SUMIFS(INDEX('Oxford Economics'!$A$7:$AZ$1000,0,IFERROR(MATCH(S$5,'Oxford Economics'!$A$6:$AZ$6,0),MATCH(S$5&amp;"",'Oxford Economics'!$A$6:$AZ$6,0))),'Oxford Economics'!$A$7:$A$1000,$C31,'Oxford Economics'!$B$7:$B$1000,Settings!$B$14),SUMIFS(INDEX('Oxford Economics'!$A$7:$AZ$1000,0,IFERROR(MATCH(S$5,'Oxford Economics'!$A$6:$AZ$6,0),MATCH(S$5&amp;"",'Oxford Economics'!$A$6:$AZ$6,0))),'Oxford Economics'!$A$7:$A$1000,$C31,'Oxford Economics'!$B$7:$B$1000,Settings!$B$14)+SUMIFS(INDEX('Oxford Economics'!$A$7:$AZ$1000,0,IFERROR(MATCH(S$5,'Oxford Economics'!$A$6:$AZ$6,0),MATCH(S$5&amp;"",'Oxford Economics'!$A$6:$AZ$6,0))),'Oxford Economics'!$A$7:$A$1000,$C31,'Oxford Economics'!$B$7:$B$1000,Settings!$B$16)+IF(Settings!$B$18="",0,SUMIFS(INDEX('Oxford Economics'!$A$7:$AZ$1000,0,IFERROR(MATCH(S$5,'Oxford Economics'!$A$6:$AZ$6,0),MATCH(S$5&amp;"",'Oxford Economics'!$A$6:$AZ$6,0))),'Oxford Economics'!$A$7:$A$1000,$C31,'Oxford Economics'!$B$7:$B$1000,Settings!$B$18)))),""))</f>
        <v>53778.22</v>
      </c>
      <c r="T31" s="37" t="n">
        <f aca="false">IF($A31="","",IFERROR(1/(1/IF($B31="Residential",SUMIFS(INDEX('Oxford Economics'!$A$7:$AZ$1000,0,IFERROR(MATCH(T$5,'Oxford Economics'!$A$6:$AZ$6,0),MATCH(T$5&amp;"",'Oxford Economics'!$A$6:$AZ$6,0))),'Oxford Economics'!$A$7:$A$1000,$C31,'Oxford Economics'!$B$7:$B$1000,Settings!$B$12)-SUMIFS(INDEX('Oxford Economics'!$A$7:$AZ$1000,0,IFERROR(MATCH(T$5,'Oxford Economics'!$A$6:$AZ$6,0),MATCH(T$5&amp;"",'Oxford Economics'!$A$6:$AZ$6,0))),'Oxford Economics'!$A$7:$A$1000,$C31,'Oxford Economics'!$B$7:$B$1000,Settings!$B$14),SUMIFS(INDEX('Oxford Economics'!$A$7:$AZ$1000,0,IFERROR(MATCH(T$5,'Oxford Economics'!$A$6:$AZ$6,0),MATCH(T$5&amp;"",'Oxford Economics'!$A$6:$AZ$6,0))),'Oxford Economics'!$A$7:$A$1000,$C31,'Oxford Economics'!$B$7:$B$1000,Settings!$B$14)+SUMIFS(INDEX('Oxford Economics'!$A$7:$AZ$1000,0,IFERROR(MATCH(T$5,'Oxford Economics'!$A$6:$AZ$6,0),MATCH(T$5&amp;"",'Oxford Economics'!$A$6:$AZ$6,0))),'Oxford Economics'!$A$7:$A$1000,$C31,'Oxford Economics'!$B$7:$B$1000,Settings!$B$16)+IF(Settings!$B$18="",0,SUMIFS(INDEX('Oxford Economics'!$A$7:$AZ$1000,0,IFERROR(MATCH(T$5,'Oxford Economics'!$A$6:$AZ$6,0),MATCH(T$5&amp;"",'Oxford Economics'!$A$6:$AZ$6,0))),'Oxford Economics'!$A$7:$A$1000,$C31,'Oxford Economics'!$B$7:$B$1000,Settings!$B$18)))),""))</f>
        <v>58852.35</v>
      </c>
      <c r="U31" s="37" t="n">
        <f aca="false">IF($A31="","",IFERROR(1/(1/IF($B31="Residential",SUMIFS(INDEX('Oxford Economics'!$A$7:$AZ$1000,0,IFERROR(MATCH(U$5,'Oxford Economics'!$A$6:$AZ$6,0),MATCH(U$5&amp;"",'Oxford Economics'!$A$6:$AZ$6,0))),'Oxford Economics'!$A$7:$A$1000,$C31,'Oxford Economics'!$B$7:$B$1000,Settings!$B$12)-SUMIFS(INDEX('Oxford Economics'!$A$7:$AZ$1000,0,IFERROR(MATCH(U$5,'Oxford Economics'!$A$6:$AZ$6,0),MATCH(U$5&amp;"",'Oxford Economics'!$A$6:$AZ$6,0))),'Oxford Economics'!$A$7:$A$1000,$C31,'Oxford Economics'!$B$7:$B$1000,Settings!$B$14),SUMIFS(INDEX('Oxford Economics'!$A$7:$AZ$1000,0,IFERROR(MATCH(U$5,'Oxford Economics'!$A$6:$AZ$6,0),MATCH(U$5&amp;"",'Oxford Economics'!$A$6:$AZ$6,0))),'Oxford Economics'!$A$7:$A$1000,$C31,'Oxford Economics'!$B$7:$B$1000,Settings!$B$14)+SUMIFS(INDEX('Oxford Economics'!$A$7:$AZ$1000,0,IFERROR(MATCH(U$5,'Oxford Economics'!$A$6:$AZ$6,0),MATCH(U$5&amp;"",'Oxford Economics'!$A$6:$AZ$6,0))),'Oxford Economics'!$A$7:$A$1000,$C31,'Oxford Economics'!$B$7:$B$1000,Settings!$B$16)+IF(Settings!$B$18="",0,SUMIFS(INDEX('Oxford Economics'!$A$7:$AZ$1000,0,IFERROR(MATCH(U$5,'Oxford Economics'!$A$6:$AZ$6,0),MATCH(U$5&amp;"",'Oxford Economics'!$A$6:$AZ$6,0))),'Oxford Economics'!$A$7:$A$1000,$C31,'Oxford Economics'!$B$7:$B$1000,Settings!$B$18)))),""))</f>
        <v>58962.14</v>
      </c>
      <c r="V31" s="37" t="n">
        <f aca="false">IF($A31="","",IFERROR(1/(1/IF($B31="Residential",SUMIFS(INDEX('Oxford Economics'!$A$7:$AZ$1000,0,IFERROR(MATCH(V$5,'Oxford Economics'!$A$6:$AZ$6,0),MATCH(V$5&amp;"",'Oxford Economics'!$A$6:$AZ$6,0))),'Oxford Economics'!$A$7:$A$1000,$C31,'Oxford Economics'!$B$7:$B$1000,Settings!$B$12)-SUMIFS(INDEX('Oxford Economics'!$A$7:$AZ$1000,0,IFERROR(MATCH(V$5,'Oxford Economics'!$A$6:$AZ$6,0),MATCH(V$5&amp;"",'Oxford Economics'!$A$6:$AZ$6,0))),'Oxford Economics'!$A$7:$A$1000,$C31,'Oxford Economics'!$B$7:$B$1000,Settings!$B$14),SUMIFS(INDEX('Oxford Economics'!$A$7:$AZ$1000,0,IFERROR(MATCH(V$5,'Oxford Economics'!$A$6:$AZ$6,0),MATCH(V$5&amp;"",'Oxford Economics'!$A$6:$AZ$6,0))),'Oxford Economics'!$A$7:$A$1000,$C31,'Oxford Economics'!$B$7:$B$1000,Settings!$B$14)+SUMIFS(INDEX('Oxford Economics'!$A$7:$AZ$1000,0,IFERROR(MATCH(V$5,'Oxford Economics'!$A$6:$AZ$6,0),MATCH(V$5&amp;"",'Oxford Economics'!$A$6:$AZ$6,0))),'Oxford Economics'!$A$7:$A$1000,$C31,'Oxford Economics'!$B$7:$B$1000,Settings!$B$16)+IF(Settings!$B$18="",0,SUMIFS(INDEX('Oxford Economics'!$A$7:$AZ$1000,0,IFERROR(MATCH(V$5,'Oxford Economics'!$A$6:$AZ$6,0),MATCH(V$5&amp;"",'Oxford Economics'!$A$6:$AZ$6,0))),'Oxford Economics'!$A$7:$A$1000,$C31,'Oxford Economics'!$B$7:$B$1000,Settings!$B$18)))),""))</f>
        <v>59929.88</v>
      </c>
      <c r="W31" s="37" t="n">
        <f aca="false">IF($A31="","",IFERROR(1/(1/IF($B31="Residential",SUMIFS(INDEX('Oxford Economics'!$A$7:$AZ$1000,0,IFERROR(MATCH(W$5,'Oxford Economics'!$A$6:$AZ$6,0),MATCH(W$5&amp;"",'Oxford Economics'!$A$6:$AZ$6,0))),'Oxford Economics'!$A$7:$A$1000,$C31,'Oxford Economics'!$B$7:$B$1000,Settings!$B$12)-SUMIFS(INDEX('Oxford Economics'!$A$7:$AZ$1000,0,IFERROR(MATCH(W$5,'Oxford Economics'!$A$6:$AZ$6,0),MATCH(W$5&amp;"",'Oxford Economics'!$A$6:$AZ$6,0))),'Oxford Economics'!$A$7:$A$1000,$C31,'Oxford Economics'!$B$7:$B$1000,Settings!$B$14),SUMIFS(INDEX('Oxford Economics'!$A$7:$AZ$1000,0,IFERROR(MATCH(W$5,'Oxford Economics'!$A$6:$AZ$6,0),MATCH(W$5&amp;"",'Oxford Economics'!$A$6:$AZ$6,0))),'Oxford Economics'!$A$7:$A$1000,$C31,'Oxford Economics'!$B$7:$B$1000,Settings!$B$14)+SUMIFS(INDEX('Oxford Economics'!$A$7:$AZ$1000,0,IFERROR(MATCH(W$5,'Oxford Economics'!$A$6:$AZ$6,0),MATCH(W$5&amp;"",'Oxford Economics'!$A$6:$AZ$6,0))),'Oxford Economics'!$A$7:$A$1000,$C31,'Oxford Economics'!$B$7:$B$1000,Settings!$B$16)+IF(Settings!$B$18="",0,SUMIFS(INDEX('Oxford Economics'!$A$7:$AZ$1000,0,IFERROR(MATCH(W$5,'Oxford Economics'!$A$6:$AZ$6,0),MATCH(W$5&amp;"",'Oxford Economics'!$A$6:$AZ$6,0))),'Oxford Economics'!$A$7:$A$1000,$C31,'Oxford Economics'!$B$7:$B$1000,Settings!$B$18)))),""))</f>
        <v>60976.74</v>
      </c>
      <c r="X31" s="37" t="n">
        <f aca="false">IF($A31="","",IFERROR(1/(1/IF($B31="Residential",SUMIFS(INDEX('Oxford Economics'!$A$7:$AZ$1000,0,IFERROR(MATCH(X$5,'Oxford Economics'!$A$6:$AZ$6,0),MATCH(X$5&amp;"",'Oxford Economics'!$A$6:$AZ$6,0))),'Oxford Economics'!$A$7:$A$1000,$C31,'Oxford Economics'!$B$7:$B$1000,Settings!$B$12)-SUMIFS(INDEX('Oxford Economics'!$A$7:$AZ$1000,0,IFERROR(MATCH(X$5,'Oxford Economics'!$A$6:$AZ$6,0),MATCH(X$5&amp;"",'Oxford Economics'!$A$6:$AZ$6,0))),'Oxford Economics'!$A$7:$A$1000,$C31,'Oxford Economics'!$B$7:$B$1000,Settings!$B$14),SUMIFS(INDEX('Oxford Economics'!$A$7:$AZ$1000,0,IFERROR(MATCH(X$5,'Oxford Economics'!$A$6:$AZ$6,0),MATCH(X$5&amp;"",'Oxford Economics'!$A$6:$AZ$6,0))),'Oxford Economics'!$A$7:$A$1000,$C31,'Oxford Economics'!$B$7:$B$1000,Settings!$B$14)+SUMIFS(INDEX('Oxford Economics'!$A$7:$AZ$1000,0,IFERROR(MATCH(X$5,'Oxford Economics'!$A$6:$AZ$6,0),MATCH(X$5&amp;"",'Oxford Economics'!$A$6:$AZ$6,0))),'Oxford Economics'!$A$7:$A$1000,$C31,'Oxford Economics'!$B$7:$B$1000,Settings!$B$16)+IF(Settings!$B$18="",0,SUMIFS(INDEX('Oxford Economics'!$A$7:$AZ$1000,0,IFERROR(MATCH(X$5,'Oxford Economics'!$A$6:$AZ$6,0),MATCH(X$5&amp;"",'Oxford Economics'!$A$6:$AZ$6,0))),'Oxford Economics'!$A$7:$A$1000,$C31,'Oxford Economics'!$B$7:$B$1000,Settings!$B$18)))),""))</f>
        <v>61471.62</v>
      </c>
      <c r="Y31" s="37" t="n">
        <f aca="false">IF($A31="","",IFERROR(1/(1/IF($B31="Residential",SUMIFS(INDEX('Oxford Economics'!$A$7:$AZ$1000,0,IFERROR(MATCH(Y$5,'Oxford Economics'!$A$6:$AZ$6,0),MATCH(Y$5&amp;"",'Oxford Economics'!$A$6:$AZ$6,0))),'Oxford Economics'!$A$7:$A$1000,$C31,'Oxford Economics'!$B$7:$B$1000,Settings!$B$12)-SUMIFS(INDEX('Oxford Economics'!$A$7:$AZ$1000,0,IFERROR(MATCH(Y$5,'Oxford Economics'!$A$6:$AZ$6,0),MATCH(Y$5&amp;"",'Oxford Economics'!$A$6:$AZ$6,0))),'Oxford Economics'!$A$7:$A$1000,$C31,'Oxford Economics'!$B$7:$B$1000,Settings!$B$14),SUMIFS(INDEX('Oxford Economics'!$A$7:$AZ$1000,0,IFERROR(MATCH(Y$5,'Oxford Economics'!$A$6:$AZ$6,0),MATCH(Y$5&amp;"",'Oxford Economics'!$A$6:$AZ$6,0))),'Oxford Economics'!$A$7:$A$1000,$C31,'Oxford Economics'!$B$7:$B$1000,Settings!$B$14)+SUMIFS(INDEX('Oxford Economics'!$A$7:$AZ$1000,0,IFERROR(MATCH(Y$5,'Oxford Economics'!$A$6:$AZ$6,0),MATCH(Y$5&amp;"",'Oxford Economics'!$A$6:$AZ$6,0))),'Oxford Economics'!$A$7:$A$1000,$C31,'Oxford Economics'!$B$7:$B$1000,Settings!$B$16)+IF(Settings!$B$18="",0,SUMIFS(INDEX('Oxford Economics'!$A$7:$AZ$1000,0,IFERROR(MATCH(Y$5,'Oxford Economics'!$A$6:$AZ$6,0),MATCH(Y$5&amp;"",'Oxford Economics'!$A$6:$AZ$6,0))),'Oxford Economics'!$A$7:$A$1000,$C31,'Oxford Economics'!$B$7:$B$1000,Settings!$B$18)))),""))</f>
        <v>62598.49</v>
      </c>
      <c r="Z31" s="37" t="n">
        <f aca="false">IF($A31="","",IFERROR(1/(1/IF($B31="Residential",SUMIFS(INDEX('Oxford Economics'!$A$7:$AZ$1000,0,IFERROR(MATCH(Z$5,'Oxford Economics'!$A$6:$AZ$6,0),MATCH(Z$5&amp;"",'Oxford Economics'!$A$6:$AZ$6,0))),'Oxford Economics'!$A$7:$A$1000,$C31,'Oxford Economics'!$B$7:$B$1000,Settings!$B$12)-SUMIFS(INDEX('Oxford Economics'!$A$7:$AZ$1000,0,IFERROR(MATCH(Z$5,'Oxford Economics'!$A$6:$AZ$6,0),MATCH(Z$5&amp;"",'Oxford Economics'!$A$6:$AZ$6,0))),'Oxford Economics'!$A$7:$A$1000,$C31,'Oxford Economics'!$B$7:$B$1000,Settings!$B$14),SUMIFS(INDEX('Oxford Economics'!$A$7:$AZ$1000,0,IFERROR(MATCH(Z$5,'Oxford Economics'!$A$6:$AZ$6,0),MATCH(Z$5&amp;"",'Oxford Economics'!$A$6:$AZ$6,0))),'Oxford Economics'!$A$7:$A$1000,$C31,'Oxford Economics'!$B$7:$B$1000,Settings!$B$14)+SUMIFS(INDEX('Oxford Economics'!$A$7:$AZ$1000,0,IFERROR(MATCH(Z$5,'Oxford Economics'!$A$6:$AZ$6,0),MATCH(Z$5&amp;"",'Oxford Economics'!$A$6:$AZ$6,0))),'Oxford Economics'!$A$7:$A$1000,$C31,'Oxford Economics'!$B$7:$B$1000,Settings!$B$16)+IF(Settings!$B$18="",0,SUMIFS(INDEX('Oxford Economics'!$A$7:$AZ$1000,0,IFERROR(MATCH(Z$5,'Oxford Economics'!$A$6:$AZ$6,0),MATCH(Z$5&amp;"",'Oxford Economics'!$A$6:$AZ$6,0))),'Oxford Economics'!$A$7:$A$1000,$C31,'Oxford Economics'!$B$7:$B$1000,Settings!$B$18)))),""))</f>
        <v>64151.44</v>
      </c>
      <c r="AA31" s="37" t="n">
        <f aca="false">IF($A31="","",IFERROR(1/(1/IF($B31="Residential",SUMIFS(INDEX('Oxford Economics'!$A$7:$AZ$1000,0,IFERROR(MATCH(AA$5,'Oxford Economics'!$A$6:$AZ$6,0),MATCH(AA$5&amp;"",'Oxford Economics'!$A$6:$AZ$6,0))),'Oxford Economics'!$A$7:$A$1000,$C31,'Oxford Economics'!$B$7:$B$1000,Settings!$B$12)-SUMIFS(INDEX('Oxford Economics'!$A$7:$AZ$1000,0,IFERROR(MATCH(AA$5,'Oxford Economics'!$A$6:$AZ$6,0),MATCH(AA$5&amp;"",'Oxford Economics'!$A$6:$AZ$6,0))),'Oxford Economics'!$A$7:$A$1000,$C31,'Oxford Economics'!$B$7:$B$1000,Settings!$B$14),SUMIFS(INDEX('Oxford Economics'!$A$7:$AZ$1000,0,IFERROR(MATCH(AA$5,'Oxford Economics'!$A$6:$AZ$6,0),MATCH(AA$5&amp;"",'Oxford Economics'!$A$6:$AZ$6,0))),'Oxford Economics'!$A$7:$A$1000,$C31,'Oxford Economics'!$B$7:$B$1000,Settings!$B$14)+SUMIFS(INDEX('Oxford Economics'!$A$7:$AZ$1000,0,IFERROR(MATCH(AA$5,'Oxford Economics'!$A$6:$AZ$6,0),MATCH(AA$5&amp;"",'Oxford Economics'!$A$6:$AZ$6,0))),'Oxford Economics'!$A$7:$A$1000,$C31,'Oxford Economics'!$B$7:$B$1000,Settings!$B$16)+IF(Settings!$B$18="",0,SUMIFS(INDEX('Oxford Economics'!$A$7:$AZ$1000,0,IFERROR(MATCH(AA$5,'Oxford Economics'!$A$6:$AZ$6,0),MATCH(AA$5&amp;"",'Oxford Economics'!$A$6:$AZ$6,0))),'Oxford Economics'!$A$7:$A$1000,$C31,'Oxford Economics'!$B$7:$B$1000,Settings!$B$18)))),""))</f>
        <v>65166.17</v>
      </c>
      <c r="AB31" s="37" t="n">
        <f aca="false">IF($A31="","",IFERROR(1/(1/IF($B31="Residential",SUMIFS(INDEX('Oxford Economics'!$A$7:$AZ$1000,0,IFERROR(MATCH(AB$5,'Oxford Economics'!$A$6:$AZ$6,0),MATCH(AB$5&amp;"",'Oxford Economics'!$A$6:$AZ$6,0))),'Oxford Economics'!$A$7:$A$1000,$C31,'Oxford Economics'!$B$7:$B$1000,Settings!$B$11)-SUMIFS(INDEX('Oxford Economics'!$A$7:$AZ$1000,0,IFERROR(MATCH(AB$5,'Oxford Economics'!$A$6:$AZ$6,0),MATCH(AB$5&amp;"",'Oxford Economics'!$A$6:$AZ$6,0))),'Oxford Economics'!$A$7:$A$1000,$C31,'Oxford Economics'!$B$7:$B$1000,Settings!$B$13),SUMIFS(INDEX('Oxford Economics'!$A$7:$AZ$1000,0,IFERROR(MATCH(AB$5,'Oxford Economics'!$A$6:$AZ$6,0),MATCH(AB$5&amp;"",'Oxford Economics'!$A$6:$AZ$6,0))),'Oxford Economics'!$A$7:$A$1000,$C31,'Oxford Economics'!$B$7:$B$1000,Settings!$B$13)+SUMIFS(INDEX('Oxford Economics'!$A$7:$AZ$1000,0,IFERROR(MATCH(AB$5,'Oxford Economics'!$A$6:$AZ$6,0),MATCH(AB$5&amp;"",'Oxford Economics'!$A$6:$AZ$6,0))),'Oxford Economics'!$A$7:$A$1000,$C31,'Oxford Economics'!$B$7:$B$1000,Settings!$B$15)+IF(Settings!$B$17="",0,SUMIFS(INDEX('Oxford Economics'!$A$7:$AZ$1000,0,IFERROR(MATCH(AB$5,'Oxford Economics'!$A$6:$AZ$6,0),MATCH(AB$5&amp;"",'Oxford Economics'!$A$6:$AZ$6,0))),'Oxford Economics'!$A$7:$A$1000,$C31,'Oxford Economics'!$B$7:$B$1000,Settings!$B$17)))),""))</f>
        <v>42184.57</v>
      </c>
      <c r="AC31" s="37" t="n">
        <f aca="false">IF($A31="","",IFERROR(1/(1/IF($B31="Residential",SUMIFS(INDEX('Oxford Economics'!$A$7:$AZ$1000,0,IFERROR(MATCH(AC$5,'Oxford Economics'!$A$6:$AZ$6,0),MATCH(AC$5&amp;"",'Oxford Economics'!$A$6:$AZ$6,0))),'Oxford Economics'!$A$7:$A$1000,$C31,'Oxford Economics'!$B$7:$B$1000,Settings!$B$11)-SUMIFS(INDEX('Oxford Economics'!$A$7:$AZ$1000,0,IFERROR(MATCH(AC$5,'Oxford Economics'!$A$6:$AZ$6,0),MATCH(AC$5&amp;"",'Oxford Economics'!$A$6:$AZ$6,0))),'Oxford Economics'!$A$7:$A$1000,$C31,'Oxford Economics'!$B$7:$B$1000,Settings!$B$13),SUMIFS(INDEX('Oxford Economics'!$A$7:$AZ$1000,0,IFERROR(MATCH(AC$5,'Oxford Economics'!$A$6:$AZ$6,0),MATCH(AC$5&amp;"",'Oxford Economics'!$A$6:$AZ$6,0))),'Oxford Economics'!$A$7:$A$1000,$C31,'Oxford Economics'!$B$7:$B$1000,Settings!$B$13)+SUMIFS(INDEX('Oxford Economics'!$A$7:$AZ$1000,0,IFERROR(MATCH(AC$5,'Oxford Economics'!$A$6:$AZ$6,0),MATCH(AC$5&amp;"",'Oxford Economics'!$A$6:$AZ$6,0))),'Oxford Economics'!$A$7:$A$1000,$C31,'Oxford Economics'!$B$7:$B$1000,Settings!$B$15)+IF(Settings!$B$17="",0,SUMIFS(INDEX('Oxford Economics'!$A$7:$AZ$1000,0,IFERROR(MATCH(AC$5,'Oxford Economics'!$A$6:$AZ$6,0),MATCH(AC$5&amp;"",'Oxford Economics'!$A$6:$AZ$6,0))),'Oxford Economics'!$A$7:$A$1000,$C31,'Oxford Economics'!$B$7:$B$1000,Settings!$B$17)))),""))</f>
        <v>42760.76</v>
      </c>
      <c r="AD31" s="37" t="n">
        <f aca="false">IF($A31="","",IFERROR(1/(1/IF($B31="Residential",SUMIFS(INDEX('Oxford Economics'!$A$7:$AZ$1000,0,IFERROR(MATCH(AD$5,'Oxford Economics'!$A$6:$AZ$6,0),MATCH(AD$5&amp;"",'Oxford Economics'!$A$6:$AZ$6,0))),'Oxford Economics'!$A$7:$A$1000,$C31,'Oxford Economics'!$B$7:$B$1000,Settings!$B$11)-SUMIFS(INDEX('Oxford Economics'!$A$7:$AZ$1000,0,IFERROR(MATCH(AD$5,'Oxford Economics'!$A$6:$AZ$6,0),MATCH(AD$5&amp;"",'Oxford Economics'!$A$6:$AZ$6,0))),'Oxford Economics'!$A$7:$A$1000,$C31,'Oxford Economics'!$B$7:$B$1000,Settings!$B$13),SUMIFS(INDEX('Oxford Economics'!$A$7:$AZ$1000,0,IFERROR(MATCH(AD$5,'Oxford Economics'!$A$6:$AZ$6,0),MATCH(AD$5&amp;"",'Oxford Economics'!$A$6:$AZ$6,0))),'Oxford Economics'!$A$7:$A$1000,$C31,'Oxford Economics'!$B$7:$B$1000,Settings!$B$13)+SUMIFS(INDEX('Oxford Economics'!$A$7:$AZ$1000,0,IFERROR(MATCH(AD$5,'Oxford Economics'!$A$6:$AZ$6,0),MATCH(AD$5&amp;"",'Oxford Economics'!$A$6:$AZ$6,0))),'Oxford Economics'!$A$7:$A$1000,$C31,'Oxford Economics'!$B$7:$B$1000,Settings!$B$15)+IF(Settings!$B$17="",0,SUMIFS(INDEX('Oxford Economics'!$A$7:$AZ$1000,0,IFERROR(MATCH(AD$5,'Oxford Economics'!$A$6:$AZ$6,0),MATCH(AD$5&amp;"",'Oxford Economics'!$A$6:$AZ$6,0))),'Oxford Economics'!$A$7:$A$1000,$C31,'Oxford Economics'!$B$7:$B$1000,Settings!$B$17)))),""))</f>
        <v>41641.19</v>
      </c>
      <c r="AE31" s="37" t="n">
        <f aca="false">IF($A31="","",IFERROR(1/(1/IF($B31="Residential",SUMIFS(INDEX('Oxford Economics'!$A$7:$AZ$1000,0,IFERROR(MATCH(AE$5,'Oxford Economics'!$A$6:$AZ$6,0),MATCH(AE$5&amp;"",'Oxford Economics'!$A$6:$AZ$6,0))),'Oxford Economics'!$A$7:$A$1000,$C31,'Oxford Economics'!$B$7:$B$1000,Settings!$B$11)-SUMIFS(INDEX('Oxford Economics'!$A$7:$AZ$1000,0,IFERROR(MATCH(AE$5,'Oxford Economics'!$A$6:$AZ$6,0),MATCH(AE$5&amp;"",'Oxford Economics'!$A$6:$AZ$6,0))),'Oxford Economics'!$A$7:$A$1000,$C31,'Oxford Economics'!$B$7:$B$1000,Settings!$B$13),SUMIFS(INDEX('Oxford Economics'!$A$7:$AZ$1000,0,IFERROR(MATCH(AE$5,'Oxford Economics'!$A$6:$AZ$6,0),MATCH(AE$5&amp;"",'Oxford Economics'!$A$6:$AZ$6,0))),'Oxford Economics'!$A$7:$A$1000,$C31,'Oxford Economics'!$B$7:$B$1000,Settings!$B$13)+SUMIFS(INDEX('Oxford Economics'!$A$7:$AZ$1000,0,IFERROR(MATCH(AE$5,'Oxford Economics'!$A$6:$AZ$6,0),MATCH(AE$5&amp;"",'Oxford Economics'!$A$6:$AZ$6,0))),'Oxford Economics'!$A$7:$A$1000,$C31,'Oxford Economics'!$B$7:$B$1000,Settings!$B$15)+IF(Settings!$B$17="",0,SUMIFS(INDEX('Oxford Economics'!$A$7:$AZ$1000,0,IFERROR(MATCH(AE$5,'Oxford Economics'!$A$6:$AZ$6,0),MATCH(AE$5&amp;"",'Oxford Economics'!$A$6:$AZ$6,0))),'Oxford Economics'!$A$7:$A$1000,$C31,'Oxford Economics'!$B$7:$B$1000,Settings!$B$17)))),""))</f>
        <v>40700.97</v>
      </c>
      <c r="AF31" s="37" t="n">
        <f aca="false">IF($A31="","",IFERROR(1/(1/IF($B31="Residential",SUMIFS(INDEX('Oxford Economics'!$A$7:$AZ$1000,0,IFERROR(MATCH(AF$5,'Oxford Economics'!$A$6:$AZ$6,0),MATCH(AF$5&amp;"",'Oxford Economics'!$A$6:$AZ$6,0))),'Oxford Economics'!$A$7:$A$1000,$C31,'Oxford Economics'!$B$7:$B$1000,Settings!$B$11)-SUMIFS(INDEX('Oxford Economics'!$A$7:$AZ$1000,0,IFERROR(MATCH(AF$5,'Oxford Economics'!$A$6:$AZ$6,0),MATCH(AF$5&amp;"",'Oxford Economics'!$A$6:$AZ$6,0))),'Oxford Economics'!$A$7:$A$1000,$C31,'Oxford Economics'!$B$7:$B$1000,Settings!$B$13),SUMIFS(INDEX('Oxford Economics'!$A$7:$AZ$1000,0,IFERROR(MATCH(AF$5,'Oxford Economics'!$A$6:$AZ$6,0),MATCH(AF$5&amp;"",'Oxford Economics'!$A$6:$AZ$6,0))),'Oxford Economics'!$A$7:$A$1000,$C31,'Oxford Economics'!$B$7:$B$1000,Settings!$B$13)+SUMIFS(INDEX('Oxford Economics'!$A$7:$AZ$1000,0,IFERROR(MATCH(AF$5,'Oxford Economics'!$A$6:$AZ$6,0),MATCH(AF$5&amp;"",'Oxford Economics'!$A$6:$AZ$6,0))),'Oxford Economics'!$A$7:$A$1000,$C31,'Oxford Economics'!$B$7:$B$1000,Settings!$B$15)+IF(Settings!$B$17="",0,SUMIFS(INDEX('Oxford Economics'!$A$7:$AZ$1000,0,IFERROR(MATCH(AF$5,'Oxford Economics'!$A$6:$AZ$6,0),MATCH(AF$5&amp;"",'Oxford Economics'!$A$6:$AZ$6,0))),'Oxford Economics'!$A$7:$A$1000,$C31,'Oxford Economics'!$B$7:$B$1000,Settings!$B$17)))),""))</f>
        <v>35731.25</v>
      </c>
      <c r="AG31" s="37" t="n">
        <f aca="false">IF($A31="","",IFERROR(1/(1/IF($B31="Residential",SUMIFS(INDEX('Oxford Economics'!$A$7:$AZ$1000,0,IFERROR(MATCH(AG$5,'Oxford Economics'!$A$6:$AZ$6,0),MATCH(AG$5&amp;"",'Oxford Economics'!$A$6:$AZ$6,0))),'Oxford Economics'!$A$7:$A$1000,$C31,'Oxford Economics'!$B$7:$B$1000,Settings!$B$11)-SUMIFS(INDEX('Oxford Economics'!$A$7:$AZ$1000,0,IFERROR(MATCH(AG$5,'Oxford Economics'!$A$6:$AZ$6,0),MATCH(AG$5&amp;"",'Oxford Economics'!$A$6:$AZ$6,0))),'Oxford Economics'!$A$7:$A$1000,$C31,'Oxford Economics'!$B$7:$B$1000,Settings!$B$13),SUMIFS(INDEX('Oxford Economics'!$A$7:$AZ$1000,0,IFERROR(MATCH(AG$5,'Oxford Economics'!$A$6:$AZ$6,0),MATCH(AG$5&amp;"",'Oxford Economics'!$A$6:$AZ$6,0))),'Oxford Economics'!$A$7:$A$1000,$C31,'Oxford Economics'!$B$7:$B$1000,Settings!$B$13)+SUMIFS(INDEX('Oxford Economics'!$A$7:$AZ$1000,0,IFERROR(MATCH(AG$5,'Oxford Economics'!$A$6:$AZ$6,0),MATCH(AG$5&amp;"",'Oxford Economics'!$A$6:$AZ$6,0))),'Oxford Economics'!$A$7:$A$1000,$C31,'Oxford Economics'!$B$7:$B$1000,Settings!$B$15)+IF(Settings!$B$17="",0,SUMIFS(INDEX('Oxford Economics'!$A$7:$AZ$1000,0,IFERROR(MATCH(AG$5,'Oxford Economics'!$A$6:$AZ$6,0),MATCH(AG$5&amp;"",'Oxford Economics'!$A$6:$AZ$6,0))),'Oxford Economics'!$A$7:$A$1000,$C31,'Oxford Economics'!$B$7:$B$1000,Settings!$B$17)))),""))</f>
        <v>33987.73</v>
      </c>
      <c r="AH31" s="37" t="n">
        <f aca="false">IF($A31="","",IFERROR(1/(1/IF($B31="Residential",SUMIFS(INDEX('Oxford Economics'!$A$7:$AZ$1000,0,IFERROR(MATCH(AH$5,'Oxford Economics'!$A$6:$AZ$6,0),MATCH(AH$5&amp;"",'Oxford Economics'!$A$6:$AZ$6,0))),'Oxford Economics'!$A$7:$A$1000,$C31,'Oxford Economics'!$B$7:$B$1000,Settings!$B$11)-SUMIFS(INDEX('Oxford Economics'!$A$7:$AZ$1000,0,IFERROR(MATCH(AH$5,'Oxford Economics'!$A$6:$AZ$6,0),MATCH(AH$5&amp;"",'Oxford Economics'!$A$6:$AZ$6,0))),'Oxford Economics'!$A$7:$A$1000,$C31,'Oxford Economics'!$B$7:$B$1000,Settings!$B$13),SUMIFS(INDEX('Oxford Economics'!$A$7:$AZ$1000,0,IFERROR(MATCH(AH$5,'Oxford Economics'!$A$6:$AZ$6,0),MATCH(AH$5&amp;"",'Oxford Economics'!$A$6:$AZ$6,0))),'Oxford Economics'!$A$7:$A$1000,$C31,'Oxford Economics'!$B$7:$B$1000,Settings!$B$13)+SUMIFS(INDEX('Oxford Economics'!$A$7:$AZ$1000,0,IFERROR(MATCH(AH$5,'Oxford Economics'!$A$6:$AZ$6,0),MATCH(AH$5&amp;"",'Oxford Economics'!$A$6:$AZ$6,0))),'Oxford Economics'!$A$7:$A$1000,$C31,'Oxford Economics'!$B$7:$B$1000,Settings!$B$15)+IF(Settings!$B$17="",0,SUMIFS(INDEX('Oxford Economics'!$A$7:$AZ$1000,0,IFERROR(MATCH(AH$5,'Oxford Economics'!$A$6:$AZ$6,0),MATCH(AH$5&amp;"",'Oxford Economics'!$A$6:$AZ$6,0))),'Oxford Economics'!$A$7:$A$1000,$C31,'Oxford Economics'!$B$7:$B$1000,Settings!$B$17)))),""))</f>
        <v>33988.6</v>
      </c>
      <c r="AI31" s="37" t="n">
        <f aca="false">IF($A31="","",IFERROR(1/(1/IF($B31="Residential",SUMIFS(INDEX('Oxford Economics'!$A$7:$AZ$1000,0,IFERROR(MATCH(AI$5,'Oxford Economics'!$A$6:$AZ$6,0),MATCH(AI$5&amp;"",'Oxford Economics'!$A$6:$AZ$6,0))),'Oxford Economics'!$A$7:$A$1000,$C31,'Oxford Economics'!$B$7:$B$1000,Settings!$B$11)-SUMIFS(INDEX('Oxford Economics'!$A$7:$AZ$1000,0,IFERROR(MATCH(AI$5,'Oxford Economics'!$A$6:$AZ$6,0),MATCH(AI$5&amp;"",'Oxford Economics'!$A$6:$AZ$6,0))),'Oxford Economics'!$A$7:$A$1000,$C31,'Oxford Economics'!$B$7:$B$1000,Settings!$B$13),SUMIFS(INDEX('Oxford Economics'!$A$7:$AZ$1000,0,IFERROR(MATCH(AI$5,'Oxford Economics'!$A$6:$AZ$6,0),MATCH(AI$5&amp;"",'Oxford Economics'!$A$6:$AZ$6,0))),'Oxford Economics'!$A$7:$A$1000,$C31,'Oxford Economics'!$B$7:$B$1000,Settings!$B$13)+SUMIFS(INDEX('Oxford Economics'!$A$7:$AZ$1000,0,IFERROR(MATCH(AI$5,'Oxford Economics'!$A$6:$AZ$6,0),MATCH(AI$5&amp;"",'Oxford Economics'!$A$6:$AZ$6,0))),'Oxford Economics'!$A$7:$A$1000,$C31,'Oxford Economics'!$B$7:$B$1000,Settings!$B$15)+IF(Settings!$B$17="",0,SUMIFS(INDEX('Oxford Economics'!$A$7:$AZ$1000,0,IFERROR(MATCH(AI$5,'Oxford Economics'!$A$6:$AZ$6,0),MATCH(AI$5&amp;"",'Oxford Economics'!$A$6:$AZ$6,0))),'Oxford Economics'!$A$7:$A$1000,$C31,'Oxford Economics'!$B$7:$B$1000,Settings!$B$17)))),""))</f>
        <v>33515.27</v>
      </c>
      <c r="AJ31" s="37" t="n">
        <f aca="false">IF($A31="","",IFERROR(1/(1/IF($B31="Residential",SUMIFS(INDEX('Oxford Economics'!$A$7:$AZ$1000,0,IFERROR(MATCH(AJ$5,'Oxford Economics'!$A$6:$AZ$6,0),MATCH(AJ$5&amp;"",'Oxford Economics'!$A$6:$AZ$6,0))),'Oxford Economics'!$A$7:$A$1000,$C31,'Oxford Economics'!$B$7:$B$1000,Settings!$B$11)-SUMIFS(INDEX('Oxford Economics'!$A$7:$AZ$1000,0,IFERROR(MATCH(AJ$5,'Oxford Economics'!$A$6:$AZ$6,0),MATCH(AJ$5&amp;"",'Oxford Economics'!$A$6:$AZ$6,0))),'Oxford Economics'!$A$7:$A$1000,$C31,'Oxford Economics'!$B$7:$B$1000,Settings!$B$13),SUMIFS(INDEX('Oxford Economics'!$A$7:$AZ$1000,0,IFERROR(MATCH(AJ$5,'Oxford Economics'!$A$6:$AZ$6,0),MATCH(AJ$5&amp;"",'Oxford Economics'!$A$6:$AZ$6,0))),'Oxford Economics'!$A$7:$A$1000,$C31,'Oxford Economics'!$B$7:$B$1000,Settings!$B$13)+SUMIFS(INDEX('Oxford Economics'!$A$7:$AZ$1000,0,IFERROR(MATCH(AJ$5,'Oxford Economics'!$A$6:$AZ$6,0),MATCH(AJ$5&amp;"",'Oxford Economics'!$A$6:$AZ$6,0))),'Oxford Economics'!$A$7:$A$1000,$C31,'Oxford Economics'!$B$7:$B$1000,Settings!$B$15)+IF(Settings!$B$17="",0,SUMIFS(INDEX('Oxford Economics'!$A$7:$AZ$1000,0,IFERROR(MATCH(AJ$5,'Oxford Economics'!$A$6:$AZ$6,0),MATCH(AJ$5&amp;"",'Oxford Economics'!$A$6:$AZ$6,0))),'Oxford Economics'!$A$7:$A$1000,$C31,'Oxford Economics'!$B$7:$B$1000,Settings!$B$17)))),""))</f>
        <v>33345.27</v>
      </c>
      <c r="AK31" s="37" t="n">
        <f aca="false">IF($A31="","",IFERROR(1/(1/IF($B31="Residential",SUMIFS(INDEX('Oxford Economics'!$A$7:$AZ$1000,0,IFERROR(MATCH(AK$5,'Oxford Economics'!$A$6:$AZ$6,0),MATCH(AK$5&amp;"",'Oxford Economics'!$A$6:$AZ$6,0))),'Oxford Economics'!$A$7:$A$1000,$C31,'Oxford Economics'!$B$7:$B$1000,Settings!$B$11)-SUMIFS(INDEX('Oxford Economics'!$A$7:$AZ$1000,0,IFERROR(MATCH(AK$5,'Oxford Economics'!$A$6:$AZ$6,0),MATCH(AK$5&amp;"",'Oxford Economics'!$A$6:$AZ$6,0))),'Oxford Economics'!$A$7:$A$1000,$C31,'Oxford Economics'!$B$7:$B$1000,Settings!$B$13),SUMIFS(INDEX('Oxford Economics'!$A$7:$AZ$1000,0,IFERROR(MATCH(AK$5,'Oxford Economics'!$A$6:$AZ$6,0),MATCH(AK$5&amp;"",'Oxford Economics'!$A$6:$AZ$6,0))),'Oxford Economics'!$A$7:$A$1000,$C31,'Oxford Economics'!$B$7:$B$1000,Settings!$B$13)+SUMIFS(INDEX('Oxford Economics'!$A$7:$AZ$1000,0,IFERROR(MATCH(AK$5,'Oxford Economics'!$A$6:$AZ$6,0),MATCH(AK$5&amp;"",'Oxford Economics'!$A$6:$AZ$6,0))),'Oxford Economics'!$A$7:$A$1000,$C31,'Oxford Economics'!$B$7:$B$1000,Settings!$B$15)+IF(Settings!$B$17="",0,SUMIFS(INDEX('Oxford Economics'!$A$7:$AZ$1000,0,IFERROR(MATCH(AK$5,'Oxford Economics'!$A$6:$AZ$6,0),MATCH(AK$5&amp;"",'Oxford Economics'!$A$6:$AZ$6,0))),'Oxford Economics'!$A$7:$A$1000,$C31,'Oxford Economics'!$B$7:$B$1000,Settings!$B$17)))),""))</f>
        <v>33504.98</v>
      </c>
      <c r="AL31" s="37" t="n">
        <f aca="false">IF($A31="","",IFERROR(1/(1/IF($B31="Residential",SUMIFS(INDEX('Oxford Economics'!$A$7:$AZ$1000,0,IFERROR(MATCH(AL$5,'Oxford Economics'!$A$6:$AZ$6,0),MATCH(AL$5&amp;"",'Oxford Economics'!$A$6:$AZ$6,0))),'Oxford Economics'!$A$7:$A$1000,$C31,'Oxford Economics'!$B$7:$B$1000,Settings!$B$11)-SUMIFS(INDEX('Oxford Economics'!$A$7:$AZ$1000,0,IFERROR(MATCH(AL$5,'Oxford Economics'!$A$6:$AZ$6,0),MATCH(AL$5&amp;"",'Oxford Economics'!$A$6:$AZ$6,0))),'Oxford Economics'!$A$7:$A$1000,$C31,'Oxford Economics'!$B$7:$B$1000,Settings!$B$13),SUMIFS(INDEX('Oxford Economics'!$A$7:$AZ$1000,0,IFERROR(MATCH(AL$5,'Oxford Economics'!$A$6:$AZ$6,0),MATCH(AL$5&amp;"",'Oxford Economics'!$A$6:$AZ$6,0))),'Oxford Economics'!$A$7:$A$1000,$C31,'Oxford Economics'!$B$7:$B$1000,Settings!$B$13)+SUMIFS(INDEX('Oxford Economics'!$A$7:$AZ$1000,0,IFERROR(MATCH(AL$5,'Oxford Economics'!$A$6:$AZ$6,0),MATCH(AL$5&amp;"",'Oxford Economics'!$A$6:$AZ$6,0))),'Oxford Economics'!$A$7:$A$1000,$C31,'Oxford Economics'!$B$7:$B$1000,Settings!$B$15)+IF(Settings!$B$17="",0,SUMIFS(INDEX('Oxford Economics'!$A$7:$AZ$1000,0,IFERROR(MATCH(AL$5,'Oxford Economics'!$A$6:$AZ$6,0),MATCH(AL$5&amp;"",'Oxford Economics'!$A$6:$AZ$6,0))),'Oxford Economics'!$A$7:$A$1000,$C31,'Oxford Economics'!$B$7:$B$1000,Settings!$B$17)))),""))</f>
        <v>33951.58</v>
      </c>
      <c r="AM31" s="37" t="n">
        <f aca="false">IF($A31="","",IFERROR(1/(1/IF($B31="Residential",SUMIFS(INDEX('Oxford Economics'!$A$7:$AZ$1000,0,IFERROR(MATCH(AM$5,'Oxford Economics'!$A$6:$AZ$6,0),MATCH(AM$5&amp;"",'Oxford Economics'!$A$6:$AZ$6,0))),'Oxford Economics'!$A$7:$A$1000,$C31,'Oxford Economics'!$B$7:$B$1000,Settings!$B$11)-SUMIFS(INDEX('Oxford Economics'!$A$7:$AZ$1000,0,IFERROR(MATCH(AM$5,'Oxford Economics'!$A$6:$AZ$6,0),MATCH(AM$5&amp;"",'Oxford Economics'!$A$6:$AZ$6,0))),'Oxford Economics'!$A$7:$A$1000,$C31,'Oxford Economics'!$B$7:$B$1000,Settings!$B$13),SUMIFS(INDEX('Oxford Economics'!$A$7:$AZ$1000,0,IFERROR(MATCH(AM$5,'Oxford Economics'!$A$6:$AZ$6,0),MATCH(AM$5&amp;"",'Oxford Economics'!$A$6:$AZ$6,0))),'Oxford Economics'!$A$7:$A$1000,$C31,'Oxford Economics'!$B$7:$B$1000,Settings!$B$13)+SUMIFS(INDEX('Oxford Economics'!$A$7:$AZ$1000,0,IFERROR(MATCH(AM$5,'Oxford Economics'!$A$6:$AZ$6,0),MATCH(AM$5&amp;"",'Oxford Economics'!$A$6:$AZ$6,0))),'Oxford Economics'!$A$7:$A$1000,$C31,'Oxford Economics'!$B$7:$B$1000,Settings!$B$15)+IF(Settings!$B$17="",0,SUMIFS(INDEX('Oxford Economics'!$A$7:$AZ$1000,0,IFERROR(MATCH(AM$5,'Oxford Economics'!$A$6:$AZ$6,0),MATCH(AM$5&amp;"",'Oxford Economics'!$A$6:$AZ$6,0))),'Oxford Economics'!$A$7:$A$1000,$C31,'Oxford Economics'!$B$7:$B$1000,Settings!$B$17)))),""))</f>
        <v>34604.52</v>
      </c>
    </row>
    <row r="32" customFormat="false" ht="15" hidden="false" customHeight="false" outlineLevel="0" collapsed="false">
      <c r="A32" s="36" t="str">
        <f aca="false">IF('Raw data'!$A32="","",'Raw data'!$A32)</f>
        <v>Italy</v>
      </c>
      <c r="B32" s="36" t="str">
        <f aca="false">IF($A32="","",'Raw data'!$C32)</f>
        <v>Residential</v>
      </c>
      <c r="C32" s="36" t="str">
        <f aca="false">IF($A32="","",IF('Raw data'!$D32="",$A32,'Raw data'!$D32))</f>
        <v>Italy</v>
      </c>
      <c r="D32" s="37" t="n">
        <f aca="false">IF($A32="","",IF(AND(ISNUMBER(P32),ISNUMBER(AB32)),P32+AB32,""))</f>
        <v>16621.24</v>
      </c>
      <c r="E32" s="37" t="n">
        <f aca="false">IF($A32="","",IF(AND(ISNUMBER(Q32),ISNUMBER(AC32)),Q32+AC32,""))</f>
        <v>21648.74</v>
      </c>
      <c r="F32" s="37" t="n">
        <f aca="false">IF($A32="","",IF(AND(ISNUMBER(R32),ISNUMBER(AD32)),R32+AD32,""))</f>
        <v>25555.35</v>
      </c>
      <c r="G32" s="37" t="n">
        <f aca="false">IF($A32="","",IF(AND(ISNUMBER(S32),ISNUMBER(AE32)),S32+AE32,""))</f>
        <v>28605.7</v>
      </c>
      <c r="H32" s="37" t="n">
        <f aca="false">IF($A32="","",IF(AND(ISNUMBER(T32),ISNUMBER(AF32)),T32+AF32,""))</f>
        <v>29129.08</v>
      </c>
      <c r="I32" s="37" t="n">
        <f aca="false">IF($A32="","",IF(AND(ISNUMBER(U32),ISNUMBER(AG32)),U32+AG32,""))</f>
        <v>27391</v>
      </c>
      <c r="J32" s="37" t="n">
        <f aca="false">IF($A32="","",IF(AND(ISNUMBER(V32),ISNUMBER(AH32)),V32+AH32,""))</f>
        <v>26617.93</v>
      </c>
      <c r="K32" s="37" t="n">
        <f aca="false">IF($A32="","",IF(AND(ISNUMBER(W32),ISNUMBER(AI32)),W32+AI32,""))</f>
        <v>25218.25</v>
      </c>
      <c r="L32" s="37" t="n">
        <f aca="false">IF($A32="","",IF(AND(ISNUMBER(X32),ISNUMBER(AJ32)),X32+AJ32,""))</f>
        <v>24089.79</v>
      </c>
      <c r="M32" s="37" t="n">
        <f aca="false">IF($A32="","",IF(AND(ISNUMBER(Y32),ISNUMBER(AK32)),Y32+AK32,""))</f>
        <v>23929.75</v>
      </c>
      <c r="N32" s="37" t="n">
        <f aca="false">IF($A32="","",IF(AND(ISNUMBER(Z32),ISNUMBER(AL32)),Z32+AL32,""))</f>
        <v>24090.8</v>
      </c>
      <c r="O32" s="37" t="n">
        <f aca="false">IF($A32="","",IF(AND(ISNUMBER(AA32),ISNUMBER(AM32)),AA32+AM32,""))</f>
        <v>23768.24</v>
      </c>
      <c r="P32" s="37" t="n">
        <f aca="false">IF($A32="","",IFERROR(1/(1/IF($B32="Residential",SUMIFS(INDEX('Oxford Economics'!$A$7:$AZ$1000,0,IFERROR(MATCH(P$5,'Oxford Economics'!$A$6:$AZ$6,0),MATCH(P$5&amp;"",'Oxford Economics'!$A$6:$AZ$6,0))),'Oxford Economics'!$A$7:$A$1000,$C32,'Oxford Economics'!$B$7:$B$1000,Settings!$B$12)-SUMIFS(INDEX('Oxford Economics'!$A$7:$AZ$1000,0,IFERROR(MATCH(P$5,'Oxford Economics'!$A$6:$AZ$6,0),MATCH(P$5&amp;"",'Oxford Economics'!$A$6:$AZ$6,0))),'Oxford Economics'!$A$7:$A$1000,$C32,'Oxford Economics'!$B$7:$B$1000,Settings!$B$14),SUMIFS(INDEX('Oxford Economics'!$A$7:$AZ$1000,0,IFERROR(MATCH(P$5,'Oxford Economics'!$A$6:$AZ$6,0),MATCH(P$5&amp;"",'Oxford Economics'!$A$6:$AZ$6,0))),'Oxford Economics'!$A$7:$A$1000,$C32,'Oxford Economics'!$B$7:$B$1000,Settings!$B$14)+SUMIFS(INDEX('Oxford Economics'!$A$7:$AZ$1000,0,IFERROR(MATCH(P$5,'Oxford Economics'!$A$6:$AZ$6,0),MATCH(P$5&amp;"",'Oxford Economics'!$A$6:$AZ$6,0))),'Oxford Economics'!$A$7:$A$1000,$C32,'Oxford Economics'!$B$7:$B$1000,Settings!$B$16)+IF(Settings!$B$18="",0,SUMIFS(INDEX('Oxford Economics'!$A$7:$AZ$1000,0,IFERROR(MATCH(P$5,'Oxford Economics'!$A$6:$AZ$6,0),MATCH(P$5&amp;"",'Oxford Economics'!$A$6:$AZ$6,0))),'Oxford Economics'!$A$7:$A$1000,$C32,'Oxford Economics'!$B$7:$B$1000,Settings!$B$18)))),""))</f>
        <v>13008.11</v>
      </c>
      <c r="Q32" s="37" t="n">
        <f aca="false">IF($A32="","",IFERROR(1/(1/IF($B32="Residential",SUMIFS(INDEX('Oxford Economics'!$A$7:$AZ$1000,0,IFERROR(MATCH(Q$5,'Oxford Economics'!$A$6:$AZ$6,0),MATCH(Q$5&amp;"",'Oxford Economics'!$A$6:$AZ$6,0))),'Oxford Economics'!$A$7:$A$1000,$C32,'Oxford Economics'!$B$7:$B$1000,Settings!$B$12)-SUMIFS(INDEX('Oxford Economics'!$A$7:$AZ$1000,0,IFERROR(MATCH(Q$5,'Oxford Economics'!$A$6:$AZ$6,0),MATCH(Q$5&amp;"",'Oxford Economics'!$A$6:$AZ$6,0))),'Oxford Economics'!$A$7:$A$1000,$C32,'Oxford Economics'!$B$7:$B$1000,Settings!$B$14),SUMIFS(INDEX('Oxford Economics'!$A$7:$AZ$1000,0,IFERROR(MATCH(Q$5,'Oxford Economics'!$A$6:$AZ$6,0),MATCH(Q$5&amp;"",'Oxford Economics'!$A$6:$AZ$6,0))),'Oxford Economics'!$A$7:$A$1000,$C32,'Oxford Economics'!$B$7:$B$1000,Settings!$B$14)+SUMIFS(INDEX('Oxford Economics'!$A$7:$AZ$1000,0,IFERROR(MATCH(Q$5,'Oxford Economics'!$A$6:$AZ$6,0),MATCH(Q$5&amp;"",'Oxford Economics'!$A$6:$AZ$6,0))),'Oxford Economics'!$A$7:$A$1000,$C32,'Oxford Economics'!$B$7:$B$1000,Settings!$B$16)+IF(Settings!$B$18="",0,SUMIFS(INDEX('Oxford Economics'!$A$7:$AZ$1000,0,IFERROR(MATCH(Q$5,'Oxford Economics'!$A$6:$AZ$6,0),MATCH(Q$5&amp;"",'Oxford Economics'!$A$6:$AZ$6,0))),'Oxford Economics'!$A$7:$A$1000,$C32,'Oxford Economics'!$B$7:$B$1000,Settings!$B$18)))),""))</f>
        <v>17124.8</v>
      </c>
      <c r="R32" s="37" t="n">
        <f aca="false">IF($A32="","",IFERROR(1/(1/IF($B32="Residential",SUMIFS(INDEX('Oxford Economics'!$A$7:$AZ$1000,0,IFERROR(MATCH(R$5,'Oxford Economics'!$A$6:$AZ$6,0),MATCH(R$5&amp;"",'Oxford Economics'!$A$6:$AZ$6,0))),'Oxford Economics'!$A$7:$A$1000,$C32,'Oxford Economics'!$B$7:$B$1000,Settings!$B$12)-SUMIFS(INDEX('Oxford Economics'!$A$7:$AZ$1000,0,IFERROR(MATCH(R$5,'Oxford Economics'!$A$6:$AZ$6,0),MATCH(R$5&amp;"",'Oxford Economics'!$A$6:$AZ$6,0))),'Oxford Economics'!$A$7:$A$1000,$C32,'Oxford Economics'!$B$7:$B$1000,Settings!$B$14),SUMIFS(INDEX('Oxford Economics'!$A$7:$AZ$1000,0,IFERROR(MATCH(R$5,'Oxford Economics'!$A$6:$AZ$6,0),MATCH(R$5&amp;"",'Oxford Economics'!$A$6:$AZ$6,0))),'Oxford Economics'!$A$7:$A$1000,$C32,'Oxford Economics'!$B$7:$B$1000,Settings!$B$14)+SUMIFS(INDEX('Oxford Economics'!$A$7:$AZ$1000,0,IFERROR(MATCH(R$5,'Oxford Economics'!$A$6:$AZ$6,0),MATCH(R$5&amp;"",'Oxford Economics'!$A$6:$AZ$6,0))),'Oxford Economics'!$A$7:$A$1000,$C32,'Oxford Economics'!$B$7:$B$1000,Settings!$B$16)+IF(Settings!$B$18="",0,SUMIFS(INDEX('Oxford Economics'!$A$7:$AZ$1000,0,IFERROR(MATCH(R$5,'Oxford Economics'!$A$6:$AZ$6,0),MATCH(R$5&amp;"",'Oxford Economics'!$A$6:$AZ$6,0))),'Oxford Economics'!$A$7:$A$1000,$C32,'Oxford Economics'!$B$7:$B$1000,Settings!$B$18)))),""))</f>
        <v>21058.04</v>
      </c>
      <c r="S32" s="37" t="n">
        <f aca="false">IF($A32="","",IFERROR(1/(1/IF($B32="Residential",SUMIFS(INDEX('Oxford Economics'!$A$7:$AZ$1000,0,IFERROR(MATCH(S$5,'Oxford Economics'!$A$6:$AZ$6,0),MATCH(S$5&amp;"",'Oxford Economics'!$A$6:$AZ$6,0))),'Oxford Economics'!$A$7:$A$1000,$C32,'Oxford Economics'!$B$7:$B$1000,Settings!$B$12)-SUMIFS(INDEX('Oxford Economics'!$A$7:$AZ$1000,0,IFERROR(MATCH(S$5,'Oxford Economics'!$A$6:$AZ$6,0),MATCH(S$5&amp;"",'Oxford Economics'!$A$6:$AZ$6,0))),'Oxford Economics'!$A$7:$A$1000,$C32,'Oxford Economics'!$B$7:$B$1000,Settings!$B$14),SUMIFS(INDEX('Oxford Economics'!$A$7:$AZ$1000,0,IFERROR(MATCH(S$5,'Oxford Economics'!$A$6:$AZ$6,0),MATCH(S$5&amp;"",'Oxford Economics'!$A$6:$AZ$6,0))),'Oxford Economics'!$A$7:$A$1000,$C32,'Oxford Economics'!$B$7:$B$1000,Settings!$B$14)+SUMIFS(INDEX('Oxford Economics'!$A$7:$AZ$1000,0,IFERROR(MATCH(S$5,'Oxford Economics'!$A$6:$AZ$6,0),MATCH(S$5&amp;"",'Oxford Economics'!$A$6:$AZ$6,0))),'Oxford Economics'!$A$7:$A$1000,$C32,'Oxford Economics'!$B$7:$B$1000,Settings!$B$16)+IF(Settings!$B$18="",0,SUMIFS(INDEX('Oxford Economics'!$A$7:$AZ$1000,0,IFERROR(MATCH(S$5,'Oxford Economics'!$A$6:$AZ$6,0),MATCH(S$5&amp;"",'Oxford Economics'!$A$6:$AZ$6,0))),'Oxford Economics'!$A$7:$A$1000,$C32,'Oxford Economics'!$B$7:$B$1000,Settings!$B$18)))),""))</f>
        <v>23305.68</v>
      </c>
      <c r="T32" s="37" t="n">
        <f aca="false">IF($A32="","",IFERROR(1/(1/IF($B32="Residential",SUMIFS(INDEX('Oxford Economics'!$A$7:$AZ$1000,0,IFERROR(MATCH(T$5,'Oxford Economics'!$A$6:$AZ$6,0),MATCH(T$5&amp;"",'Oxford Economics'!$A$6:$AZ$6,0))),'Oxford Economics'!$A$7:$A$1000,$C32,'Oxford Economics'!$B$7:$B$1000,Settings!$B$12)-SUMIFS(INDEX('Oxford Economics'!$A$7:$AZ$1000,0,IFERROR(MATCH(T$5,'Oxford Economics'!$A$6:$AZ$6,0),MATCH(T$5&amp;"",'Oxford Economics'!$A$6:$AZ$6,0))),'Oxford Economics'!$A$7:$A$1000,$C32,'Oxford Economics'!$B$7:$B$1000,Settings!$B$14),SUMIFS(INDEX('Oxford Economics'!$A$7:$AZ$1000,0,IFERROR(MATCH(T$5,'Oxford Economics'!$A$6:$AZ$6,0),MATCH(T$5&amp;"",'Oxford Economics'!$A$6:$AZ$6,0))),'Oxford Economics'!$A$7:$A$1000,$C32,'Oxford Economics'!$B$7:$B$1000,Settings!$B$14)+SUMIFS(INDEX('Oxford Economics'!$A$7:$AZ$1000,0,IFERROR(MATCH(T$5,'Oxford Economics'!$A$6:$AZ$6,0),MATCH(T$5&amp;"",'Oxford Economics'!$A$6:$AZ$6,0))),'Oxford Economics'!$A$7:$A$1000,$C32,'Oxford Economics'!$B$7:$B$1000,Settings!$B$16)+IF(Settings!$B$18="",0,SUMIFS(INDEX('Oxford Economics'!$A$7:$AZ$1000,0,IFERROR(MATCH(T$5,'Oxford Economics'!$A$6:$AZ$6,0),MATCH(T$5&amp;"",'Oxford Economics'!$A$6:$AZ$6,0))),'Oxford Economics'!$A$7:$A$1000,$C32,'Oxford Economics'!$B$7:$B$1000,Settings!$B$18)))),""))</f>
        <v>23100.52</v>
      </c>
      <c r="U32" s="37" t="n">
        <f aca="false">IF($A32="","",IFERROR(1/(1/IF($B32="Residential",SUMIFS(INDEX('Oxford Economics'!$A$7:$AZ$1000,0,IFERROR(MATCH(U$5,'Oxford Economics'!$A$6:$AZ$6,0),MATCH(U$5&amp;"",'Oxford Economics'!$A$6:$AZ$6,0))),'Oxford Economics'!$A$7:$A$1000,$C32,'Oxford Economics'!$B$7:$B$1000,Settings!$B$12)-SUMIFS(INDEX('Oxford Economics'!$A$7:$AZ$1000,0,IFERROR(MATCH(U$5,'Oxford Economics'!$A$6:$AZ$6,0),MATCH(U$5&amp;"",'Oxford Economics'!$A$6:$AZ$6,0))),'Oxford Economics'!$A$7:$A$1000,$C32,'Oxford Economics'!$B$7:$B$1000,Settings!$B$14),SUMIFS(INDEX('Oxford Economics'!$A$7:$AZ$1000,0,IFERROR(MATCH(U$5,'Oxford Economics'!$A$6:$AZ$6,0),MATCH(U$5&amp;"",'Oxford Economics'!$A$6:$AZ$6,0))),'Oxford Economics'!$A$7:$A$1000,$C32,'Oxford Economics'!$B$7:$B$1000,Settings!$B$14)+SUMIFS(INDEX('Oxford Economics'!$A$7:$AZ$1000,0,IFERROR(MATCH(U$5,'Oxford Economics'!$A$6:$AZ$6,0),MATCH(U$5&amp;"",'Oxford Economics'!$A$6:$AZ$6,0))),'Oxford Economics'!$A$7:$A$1000,$C32,'Oxford Economics'!$B$7:$B$1000,Settings!$B$16)+IF(Settings!$B$18="",0,SUMIFS(INDEX('Oxford Economics'!$A$7:$AZ$1000,0,IFERROR(MATCH(U$5,'Oxford Economics'!$A$6:$AZ$6,0),MATCH(U$5&amp;"",'Oxford Economics'!$A$6:$AZ$6,0))),'Oxford Economics'!$A$7:$A$1000,$C32,'Oxford Economics'!$B$7:$B$1000,Settings!$B$18)))),""))</f>
        <v>21681.32</v>
      </c>
      <c r="V32" s="37" t="n">
        <f aca="false">IF($A32="","",IFERROR(1/(1/IF($B32="Residential",SUMIFS(INDEX('Oxford Economics'!$A$7:$AZ$1000,0,IFERROR(MATCH(V$5,'Oxford Economics'!$A$6:$AZ$6,0),MATCH(V$5&amp;"",'Oxford Economics'!$A$6:$AZ$6,0))),'Oxford Economics'!$A$7:$A$1000,$C32,'Oxford Economics'!$B$7:$B$1000,Settings!$B$12)-SUMIFS(INDEX('Oxford Economics'!$A$7:$AZ$1000,0,IFERROR(MATCH(V$5,'Oxford Economics'!$A$6:$AZ$6,0),MATCH(V$5&amp;"",'Oxford Economics'!$A$6:$AZ$6,0))),'Oxford Economics'!$A$7:$A$1000,$C32,'Oxford Economics'!$B$7:$B$1000,Settings!$B$14),SUMIFS(INDEX('Oxford Economics'!$A$7:$AZ$1000,0,IFERROR(MATCH(V$5,'Oxford Economics'!$A$6:$AZ$6,0),MATCH(V$5&amp;"",'Oxford Economics'!$A$6:$AZ$6,0))),'Oxford Economics'!$A$7:$A$1000,$C32,'Oxford Economics'!$B$7:$B$1000,Settings!$B$14)+SUMIFS(INDEX('Oxford Economics'!$A$7:$AZ$1000,0,IFERROR(MATCH(V$5,'Oxford Economics'!$A$6:$AZ$6,0),MATCH(V$5&amp;"",'Oxford Economics'!$A$6:$AZ$6,0))),'Oxford Economics'!$A$7:$A$1000,$C32,'Oxford Economics'!$B$7:$B$1000,Settings!$B$16)+IF(Settings!$B$18="",0,SUMIFS(INDEX('Oxford Economics'!$A$7:$AZ$1000,0,IFERROR(MATCH(V$5,'Oxford Economics'!$A$6:$AZ$6,0),MATCH(V$5&amp;"",'Oxford Economics'!$A$6:$AZ$6,0))),'Oxford Economics'!$A$7:$A$1000,$C32,'Oxford Economics'!$B$7:$B$1000,Settings!$B$18)))),""))</f>
        <v>20783.71</v>
      </c>
      <c r="W32" s="37" t="n">
        <f aca="false">IF($A32="","",IFERROR(1/(1/IF($B32="Residential",SUMIFS(INDEX('Oxford Economics'!$A$7:$AZ$1000,0,IFERROR(MATCH(W$5,'Oxford Economics'!$A$6:$AZ$6,0),MATCH(W$5&amp;"",'Oxford Economics'!$A$6:$AZ$6,0))),'Oxford Economics'!$A$7:$A$1000,$C32,'Oxford Economics'!$B$7:$B$1000,Settings!$B$12)-SUMIFS(INDEX('Oxford Economics'!$A$7:$AZ$1000,0,IFERROR(MATCH(W$5,'Oxford Economics'!$A$6:$AZ$6,0),MATCH(W$5&amp;"",'Oxford Economics'!$A$6:$AZ$6,0))),'Oxford Economics'!$A$7:$A$1000,$C32,'Oxford Economics'!$B$7:$B$1000,Settings!$B$14),SUMIFS(INDEX('Oxford Economics'!$A$7:$AZ$1000,0,IFERROR(MATCH(W$5,'Oxford Economics'!$A$6:$AZ$6,0),MATCH(W$5&amp;"",'Oxford Economics'!$A$6:$AZ$6,0))),'Oxford Economics'!$A$7:$A$1000,$C32,'Oxford Economics'!$B$7:$B$1000,Settings!$B$14)+SUMIFS(INDEX('Oxford Economics'!$A$7:$AZ$1000,0,IFERROR(MATCH(W$5,'Oxford Economics'!$A$6:$AZ$6,0),MATCH(W$5&amp;"",'Oxford Economics'!$A$6:$AZ$6,0))),'Oxford Economics'!$A$7:$A$1000,$C32,'Oxford Economics'!$B$7:$B$1000,Settings!$B$16)+IF(Settings!$B$18="",0,SUMIFS(INDEX('Oxford Economics'!$A$7:$AZ$1000,0,IFERROR(MATCH(W$5,'Oxford Economics'!$A$6:$AZ$6,0),MATCH(W$5&amp;"",'Oxford Economics'!$A$6:$AZ$6,0))),'Oxford Economics'!$A$7:$A$1000,$C32,'Oxford Economics'!$B$7:$B$1000,Settings!$B$18)))),""))</f>
        <v>19831.64</v>
      </c>
      <c r="X32" s="37" t="n">
        <f aca="false">IF($A32="","",IFERROR(1/(1/IF($B32="Residential",SUMIFS(INDEX('Oxford Economics'!$A$7:$AZ$1000,0,IFERROR(MATCH(X$5,'Oxford Economics'!$A$6:$AZ$6,0),MATCH(X$5&amp;"",'Oxford Economics'!$A$6:$AZ$6,0))),'Oxford Economics'!$A$7:$A$1000,$C32,'Oxford Economics'!$B$7:$B$1000,Settings!$B$12)-SUMIFS(INDEX('Oxford Economics'!$A$7:$AZ$1000,0,IFERROR(MATCH(X$5,'Oxford Economics'!$A$6:$AZ$6,0),MATCH(X$5&amp;"",'Oxford Economics'!$A$6:$AZ$6,0))),'Oxford Economics'!$A$7:$A$1000,$C32,'Oxford Economics'!$B$7:$B$1000,Settings!$B$14),SUMIFS(INDEX('Oxford Economics'!$A$7:$AZ$1000,0,IFERROR(MATCH(X$5,'Oxford Economics'!$A$6:$AZ$6,0),MATCH(X$5&amp;"",'Oxford Economics'!$A$6:$AZ$6,0))),'Oxford Economics'!$A$7:$A$1000,$C32,'Oxford Economics'!$B$7:$B$1000,Settings!$B$14)+SUMIFS(INDEX('Oxford Economics'!$A$7:$AZ$1000,0,IFERROR(MATCH(X$5,'Oxford Economics'!$A$6:$AZ$6,0),MATCH(X$5&amp;"",'Oxford Economics'!$A$6:$AZ$6,0))),'Oxford Economics'!$A$7:$A$1000,$C32,'Oxford Economics'!$B$7:$B$1000,Settings!$B$16)+IF(Settings!$B$18="",0,SUMIFS(INDEX('Oxford Economics'!$A$7:$AZ$1000,0,IFERROR(MATCH(X$5,'Oxford Economics'!$A$6:$AZ$6,0),MATCH(X$5&amp;"",'Oxford Economics'!$A$6:$AZ$6,0))),'Oxford Economics'!$A$7:$A$1000,$C32,'Oxford Economics'!$B$7:$B$1000,Settings!$B$18)))),""))</f>
        <v>19222.89</v>
      </c>
      <c r="Y32" s="37" t="n">
        <f aca="false">IF($A32="","",IFERROR(1/(1/IF($B32="Residential",SUMIFS(INDEX('Oxford Economics'!$A$7:$AZ$1000,0,IFERROR(MATCH(Y$5,'Oxford Economics'!$A$6:$AZ$6,0),MATCH(Y$5&amp;"",'Oxford Economics'!$A$6:$AZ$6,0))),'Oxford Economics'!$A$7:$A$1000,$C32,'Oxford Economics'!$B$7:$B$1000,Settings!$B$12)-SUMIFS(INDEX('Oxford Economics'!$A$7:$AZ$1000,0,IFERROR(MATCH(Y$5,'Oxford Economics'!$A$6:$AZ$6,0),MATCH(Y$5&amp;"",'Oxford Economics'!$A$6:$AZ$6,0))),'Oxford Economics'!$A$7:$A$1000,$C32,'Oxford Economics'!$B$7:$B$1000,Settings!$B$14),SUMIFS(INDEX('Oxford Economics'!$A$7:$AZ$1000,0,IFERROR(MATCH(Y$5,'Oxford Economics'!$A$6:$AZ$6,0),MATCH(Y$5&amp;"",'Oxford Economics'!$A$6:$AZ$6,0))),'Oxford Economics'!$A$7:$A$1000,$C32,'Oxford Economics'!$B$7:$B$1000,Settings!$B$14)+SUMIFS(INDEX('Oxford Economics'!$A$7:$AZ$1000,0,IFERROR(MATCH(Y$5,'Oxford Economics'!$A$6:$AZ$6,0),MATCH(Y$5&amp;"",'Oxford Economics'!$A$6:$AZ$6,0))),'Oxford Economics'!$A$7:$A$1000,$C32,'Oxford Economics'!$B$7:$B$1000,Settings!$B$16)+IF(Settings!$B$18="",0,SUMIFS(INDEX('Oxford Economics'!$A$7:$AZ$1000,0,IFERROR(MATCH(Y$5,'Oxford Economics'!$A$6:$AZ$6,0),MATCH(Y$5&amp;"",'Oxford Economics'!$A$6:$AZ$6,0))),'Oxford Economics'!$A$7:$A$1000,$C32,'Oxford Economics'!$B$7:$B$1000,Settings!$B$18)))),""))</f>
        <v>19386.41</v>
      </c>
      <c r="Z32" s="37" t="n">
        <f aca="false">IF($A32="","",IFERROR(1/(1/IF($B32="Residential",SUMIFS(INDEX('Oxford Economics'!$A$7:$AZ$1000,0,IFERROR(MATCH(Z$5,'Oxford Economics'!$A$6:$AZ$6,0),MATCH(Z$5&amp;"",'Oxford Economics'!$A$6:$AZ$6,0))),'Oxford Economics'!$A$7:$A$1000,$C32,'Oxford Economics'!$B$7:$B$1000,Settings!$B$12)-SUMIFS(INDEX('Oxford Economics'!$A$7:$AZ$1000,0,IFERROR(MATCH(Z$5,'Oxford Economics'!$A$6:$AZ$6,0),MATCH(Z$5&amp;"",'Oxford Economics'!$A$6:$AZ$6,0))),'Oxford Economics'!$A$7:$A$1000,$C32,'Oxford Economics'!$B$7:$B$1000,Settings!$B$14),SUMIFS(INDEX('Oxford Economics'!$A$7:$AZ$1000,0,IFERROR(MATCH(Z$5,'Oxford Economics'!$A$6:$AZ$6,0),MATCH(Z$5&amp;"",'Oxford Economics'!$A$6:$AZ$6,0))),'Oxford Economics'!$A$7:$A$1000,$C32,'Oxford Economics'!$B$7:$B$1000,Settings!$B$14)+SUMIFS(INDEX('Oxford Economics'!$A$7:$AZ$1000,0,IFERROR(MATCH(Z$5,'Oxford Economics'!$A$6:$AZ$6,0),MATCH(Z$5&amp;"",'Oxford Economics'!$A$6:$AZ$6,0))),'Oxford Economics'!$A$7:$A$1000,$C32,'Oxford Economics'!$B$7:$B$1000,Settings!$B$16)+IF(Settings!$B$18="",0,SUMIFS(INDEX('Oxford Economics'!$A$7:$AZ$1000,0,IFERROR(MATCH(Z$5,'Oxford Economics'!$A$6:$AZ$6,0),MATCH(Z$5&amp;"",'Oxford Economics'!$A$6:$AZ$6,0))),'Oxford Economics'!$A$7:$A$1000,$C32,'Oxford Economics'!$B$7:$B$1000,Settings!$B$18)))),""))</f>
        <v>19725.88</v>
      </c>
      <c r="AA32" s="37" t="n">
        <f aca="false">IF($A32="","",IFERROR(1/(1/IF($B32="Residential",SUMIFS(INDEX('Oxford Economics'!$A$7:$AZ$1000,0,IFERROR(MATCH(AA$5,'Oxford Economics'!$A$6:$AZ$6,0),MATCH(AA$5&amp;"",'Oxford Economics'!$A$6:$AZ$6,0))),'Oxford Economics'!$A$7:$A$1000,$C32,'Oxford Economics'!$B$7:$B$1000,Settings!$B$12)-SUMIFS(INDEX('Oxford Economics'!$A$7:$AZ$1000,0,IFERROR(MATCH(AA$5,'Oxford Economics'!$A$6:$AZ$6,0),MATCH(AA$5&amp;"",'Oxford Economics'!$A$6:$AZ$6,0))),'Oxford Economics'!$A$7:$A$1000,$C32,'Oxford Economics'!$B$7:$B$1000,Settings!$B$14),SUMIFS(INDEX('Oxford Economics'!$A$7:$AZ$1000,0,IFERROR(MATCH(AA$5,'Oxford Economics'!$A$6:$AZ$6,0),MATCH(AA$5&amp;"",'Oxford Economics'!$A$6:$AZ$6,0))),'Oxford Economics'!$A$7:$A$1000,$C32,'Oxford Economics'!$B$7:$B$1000,Settings!$B$14)+SUMIFS(INDEX('Oxford Economics'!$A$7:$AZ$1000,0,IFERROR(MATCH(AA$5,'Oxford Economics'!$A$6:$AZ$6,0),MATCH(AA$5&amp;"",'Oxford Economics'!$A$6:$AZ$6,0))),'Oxford Economics'!$A$7:$A$1000,$C32,'Oxford Economics'!$B$7:$B$1000,Settings!$B$16)+IF(Settings!$B$18="",0,SUMIFS(INDEX('Oxford Economics'!$A$7:$AZ$1000,0,IFERROR(MATCH(AA$5,'Oxford Economics'!$A$6:$AZ$6,0),MATCH(AA$5&amp;"",'Oxford Economics'!$A$6:$AZ$6,0))),'Oxford Economics'!$A$7:$A$1000,$C32,'Oxford Economics'!$B$7:$B$1000,Settings!$B$18)))),""))</f>
        <v>19500.6</v>
      </c>
      <c r="AB32" s="37" t="n">
        <f aca="false">IF($A32="","",IFERROR(1/(1/IF($B32="Residential",SUMIFS(INDEX('Oxford Economics'!$A$7:$AZ$1000,0,IFERROR(MATCH(AB$5,'Oxford Economics'!$A$6:$AZ$6,0),MATCH(AB$5&amp;"",'Oxford Economics'!$A$6:$AZ$6,0))),'Oxford Economics'!$A$7:$A$1000,$C32,'Oxford Economics'!$B$7:$B$1000,Settings!$B$11)-SUMIFS(INDEX('Oxford Economics'!$A$7:$AZ$1000,0,IFERROR(MATCH(AB$5,'Oxford Economics'!$A$6:$AZ$6,0),MATCH(AB$5&amp;"",'Oxford Economics'!$A$6:$AZ$6,0))),'Oxford Economics'!$A$7:$A$1000,$C32,'Oxford Economics'!$B$7:$B$1000,Settings!$B$13),SUMIFS(INDEX('Oxford Economics'!$A$7:$AZ$1000,0,IFERROR(MATCH(AB$5,'Oxford Economics'!$A$6:$AZ$6,0),MATCH(AB$5&amp;"",'Oxford Economics'!$A$6:$AZ$6,0))),'Oxford Economics'!$A$7:$A$1000,$C32,'Oxford Economics'!$B$7:$B$1000,Settings!$B$13)+SUMIFS(INDEX('Oxford Economics'!$A$7:$AZ$1000,0,IFERROR(MATCH(AB$5,'Oxford Economics'!$A$6:$AZ$6,0),MATCH(AB$5&amp;"",'Oxford Economics'!$A$6:$AZ$6,0))),'Oxford Economics'!$A$7:$A$1000,$C32,'Oxford Economics'!$B$7:$B$1000,Settings!$B$15)+IF(Settings!$B$17="",0,SUMIFS(INDEX('Oxford Economics'!$A$7:$AZ$1000,0,IFERROR(MATCH(AB$5,'Oxford Economics'!$A$6:$AZ$6,0),MATCH(AB$5&amp;"",'Oxford Economics'!$A$6:$AZ$6,0))),'Oxford Economics'!$A$7:$A$1000,$C32,'Oxford Economics'!$B$7:$B$1000,Settings!$B$17)))),""))</f>
        <v>3613.13</v>
      </c>
      <c r="AC32" s="37" t="n">
        <f aca="false">IF($A32="","",IFERROR(1/(1/IF($B32="Residential",SUMIFS(INDEX('Oxford Economics'!$A$7:$AZ$1000,0,IFERROR(MATCH(AC$5,'Oxford Economics'!$A$6:$AZ$6,0),MATCH(AC$5&amp;"",'Oxford Economics'!$A$6:$AZ$6,0))),'Oxford Economics'!$A$7:$A$1000,$C32,'Oxford Economics'!$B$7:$B$1000,Settings!$B$11)-SUMIFS(INDEX('Oxford Economics'!$A$7:$AZ$1000,0,IFERROR(MATCH(AC$5,'Oxford Economics'!$A$6:$AZ$6,0),MATCH(AC$5&amp;"",'Oxford Economics'!$A$6:$AZ$6,0))),'Oxford Economics'!$A$7:$A$1000,$C32,'Oxford Economics'!$B$7:$B$1000,Settings!$B$13),SUMIFS(INDEX('Oxford Economics'!$A$7:$AZ$1000,0,IFERROR(MATCH(AC$5,'Oxford Economics'!$A$6:$AZ$6,0),MATCH(AC$5&amp;"",'Oxford Economics'!$A$6:$AZ$6,0))),'Oxford Economics'!$A$7:$A$1000,$C32,'Oxford Economics'!$B$7:$B$1000,Settings!$B$13)+SUMIFS(INDEX('Oxford Economics'!$A$7:$AZ$1000,0,IFERROR(MATCH(AC$5,'Oxford Economics'!$A$6:$AZ$6,0),MATCH(AC$5&amp;"",'Oxford Economics'!$A$6:$AZ$6,0))),'Oxford Economics'!$A$7:$A$1000,$C32,'Oxford Economics'!$B$7:$B$1000,Settings!$B$15)+IF(Settings!$B$17="",0,SUMIFS(INDEX('Oxford Economics'!$A$7:$AZ$1000,0,IFERROR(MATCH(AC$5,'Oxford Economics'!$A$6:$AZ$6,0),MATCH(AC$5&amp;"",'Oxford Economics'!$A$6:$AZ$6,0))),'Oxford Economics'!$A$7:$A$1000,$C32,'Oxford Economics'!$B$7:$B$1000,Settings!$B$17)))),""))</f>
        <v>4523.94</v>
      </c>
      <c r="AD32" s="37" t="n">
        <f aca="false">IF($A32="","",IFERROR(1/(1/IF($B32="Residential",SUMIFS(INDEX('Oxford Economics'!$A$7:$AZ$1000,0,IFERROR(MATCH(AD$5,'Oxford Economics'!$A$6:$AZ$6,0),MATCH(AD$5&amp;"",'Oxford Economics'!$A$6:$AZ$6,0))),'Oxford Economics'!$A$7:$A$1000,$C32,'Oxford Economics'!$B$7:$B$1000,Settings!$B$11)-SUMIFS(INDEX('Oxford Economics'!$A$7:$AZ$1000,0,IFERROR(MATCH(AD$5,'Oxford Economics'!$A$6:$AZ$6,0),MATCH(AD$5&amp;"",'Oxford Economics'!$A$6:$AZ$6,0))),'Oxford Economics'!$A$7:$A$1000,$C32,'Oxford Economics'!$B$7:$B$1000,Settings!$B$13),SUMIFS(INDEX('Oxford Economics'!$A$7:$AZ$1000,0,IFERROR(MATCH(AD$5,'Oxford Economics'!$A$6:$AZ$6,0),MATCH(AD$5&amp;"",'Oxford Economics'!$A$6:$AZ$6,0))),'Oxford Economics'!$A$7:$A$1000,$C32,'Oxford Economics'!$B$7:$B$1000,Settings!$B$13)+SUMIFS(INDEX('Oxford Economics'!$A$7:$AZ$1000,0,IFERROR(MATCH(AD$5,'Oxford Economics'!$A$6:$AZ$6,0),MATCH(AD$5&amp;"",'Oxford Economics'!$A$6:$AZ$6,0))),'Oxford Economics'!$A$7:$A$1000,$C32,'Oxford Economics'!$B$7:$B$1000,Settings!$B$15)+IF(Settings!$B$17="",0,SUMIFS(INDEX('Oxford Economics'!$A$7:$AZ$1000,0,IFERROR(MATCH(AD$5,'Oxford Economics'!$A$6:$AZ$6,0),MATCH(AD$5&amp;"",'Oxford Economics'!$A$6:$AZ$6,0))),'Oxford Economics'!$A$7:$A$1000,$C32,'Oxford Economics'!$B$7:$B$1000,Settings!$B$17)))),""))</f>
        <v>4497.31</v>
      </c>
      <c r="AE32" s="37" t="n">
        <f aca="false">IF($A32="","",IFERROR(1/(1/IF($B32="Residential",SUMIFS(INDEX('Oxford Economics'!$A$7:$AZ$1000,0,IFERROR(MATCH(AE$5,'Oxford Economics'!$A$6:$AZ$6,0),MATCH(AE$5&amp;"",'Oxford Economics'!$A$6:$AZ$6,0))),'Oxford Economics'!$A$7:$A$1000,$C32,'Oxford Economics'!$B$7:$B$1000,Settings!$B$11)-SUMIFS(INDEX('Oxford Economics'!$A$7:$AZ$1000,0,IFERROR(MATCH(AE$5,'Oxford Economics'!$A$6:$AZ$6,0),MATCH(AE$5&amp;"",'Oxford Economics'!$A$6:$AZ$6,0))),'Oxford Economics'!$A$7:$A$1000,$C32,'Oxford Economics'!$B$7:$B$1000,Settings!$B$13),SUMIFS(INDEX('Oxford Economics'!$A$7:$AZ$1000,0,IFERROR(MATCH(AE$5,'Oxford Economics'!$A$6:$AZ$6,0),MATCH(AE$5&amp;"",'Oxford Economics'!$A$6:$AZ$6,0))),'Oxford Economics'!$A$7:$A$1000,$C32,'Oxford Economics'!$B$7:$B$1000,Settings!$B$13)+SUMIFS(INDEX('Oxford Economics'!$A$7:$AZ$1000,0,IFERROR(MATCH(AE$5,'Oxford Economics'!$A$6:$AZ$6,0),MATCH(AE$5&amp;"",'Oxford Economics'!$A$6:$AZ$6,0))),'Oxford Economics'!$A$7:$A$1000,$C32,'Oxford Economics'!$B$7:$B$1000,Settings!$B$15)+IF(Settings!$B$17="",0,SUMIFS(INDEX('Oxford Economics'!$A$7:$AZ$1000,0,IFERROR(MATCH(AE$5,'Oxford Economics'!$A$6:$AZ$6,0),MATCH(AE$5&amp;"",'Oxford Economics'!$A$6:$AZ$6,0))),'Oxford Economics'!$A$7:$A$1000,$C32,'Oxford Economics'!$B$7:$B$1000,Settings!$B$17)))),""))</f>
        <v>5300.02</v>
      </c>
      <c r="AF32" s="37" t="n">
        <f aca="false">IF($A32="","",IFERROR(1/(1/IF($B32="Residential",SUMIFS(INDEX('Oxford Economics'!$A$7:$AZ$1000,0,IFERROR(MATCH(AF$5,'Oxford Economics'!$A$6:$AZ$6,0),MATCH(AF$5&amp;"",'Oxford Economics'!$A$6:$AZ$6,0))),'Oxford Economics'!$A$7:$A$1000,$C32,'Oxford Economics'!$B$7:$B$1000,Settings!$B$11)-SUMIFS(INDEX('Oxford Economics'!$A$7:$AZ$1000,0,IFERROR(MATCH(AF$5,'Oxford Economics'!$A$6:$AZ$6,0),MATCH(AF$5&amp;"",'Oxford Economics'!$A$6:$AZ$6,0))),'Oxford Economics'!$A$7:$A$1000,$C32,'Oxford Economics'!$B$7:$B$1000,Settings!$B$13),SUMIFS(INDEX('Oxford Economics'!$A$7:$AZ$1000,0,IFERROR(MATCH(AF$5,'Oxford Economics'!$A$6:$AZ$6,0),MATCH(AF$5&amp;"",'Oxford Economics'!$A$6:$AZ$6,0))),'Oxford Economics'!$A$7:$A$1000,$C32,'Oxford Economics'!$B$7:$B$1000,Settings!$B$13)+SUMIFS(INDEX('Oxford Economics'!$A$7:$AZ$1000,0,IFERROR(MATCH(AF$5,'Oxford Economics'!$A$6:$AZ$6,0),MATCH(AF$5&amp;"",'Oxford Economics'!$A$6:$AZ$6,0))),'Oxford Economics'!$A$7:$A$1000,$C32,'Oxford Economics'!$B$7:$B$1000,Settings!$B$15)+IF(Settings!$B$17="",0,SUMIFS(INDEX('Oxford Economics'!$A$7:$AZ$1000,0,IFERROR(MATCH(AF$5,'Oxford Economics'!$A$6:$AZ$6,0),MATCH(AF$5&amp;"",'Oxford Economics'!$A$6:$AZ$6,0))),'Oxford Economics'!$A$7:$A$1000,$C32,'Oxford Economics'!$B$7:$B$1000,Settings!$B$17)))),""))</f>
        <v>6028.56</v>
      </c>
      <c r="AG32" s="37" t="n">
        <f aca="false">IF($A32="","",IFERROR(1/(1/IF($B32="Residential",SUMIFS(INDEX('Oxford Economics'!$A$7:$AZ$1000,0,IFERROR(MATCH(AG$5,'Oxford Economics'!$A$6:$AZ$6,0),MATCH(AG$5&amp;"",'Oxford Economics'!$A$6:$AZ$6,0))),'Oxford Economics'!$A$7:$A$1000,$C32,'Oxford Economics'!$B$7:$B$1000,Settings!$B$11)-SUMIFS(INDEX('Oxford Economics'!$A$7:$AZ$1000,0,IFERROR(MATCH(AG$5,'Oxford Economics'!$A$6:$AZ$6,0),MATCH(AG$5&amp;"",'Oxford Economics'!$A$6:$AZ$6,0))),'Oxford Economics'!$A$7:$A$1000,$C32,'Oxford Economics'!$B$7:$B$1000,Settings!$B$13),SUMIFS(INDEX('Oxford Economics'!$A$7:$AZ$1000,0,IFERROR(MATCH(AG$5,'Oxford Economics'!$A$6:$AZ$6,0),MATCH(AG$5&amp;"",'Oxford Economics'!$A$6:$AZ$6,0))),'Oxford Economics'!$A$7:$A$1000,$C32,'Oxford Economics'!$B$7:$B$1000,Settings!$B$13)+SUMIFS(INDEX('Oxford Economics'!$A$7:$AZ$1000,0,IFERROR(MATCH(AG$5,'Oxford Economics'!$A$6:$AZ$6,0),MATCH(AG$5&amp;"",'Oxford Economics'!$A$6:$AZ$6,0))),'Oxford Economics'!$A$7:$A$1000,$C32,'Oxford Economics'!$B$7:$B$1000,Settings!$B$15)+IF(Settings!$B$17="",0,SUMIFS(INDEX('Oxford Economics'!$A$7:$AZ$1000,0,IFERROR(MATCH(AG$5,'Oxford Economics'!$A$6:$AZ$6,0),MATCH(AG$5&amp;"",'Oxford Economics'!$A$6:$AZ$6,0))),'Oxford Economics'!$A$7:$A$1000,$C32,'Oxford Economics'!$B$7:$B$1000,Settings!$B$17)))),""))</f>
        <v>5709.68</v>
      </c>
      <c r="AH32" s="37" t="n">
        <f aca="false">IF($A32="","",IFERROR(1/(1/IF($B32="Residential",SUMIFS(INDEX('Oxford Economics'!$A$7:$AZ$1000,0,IFERROR(MATCH(AH$5,'Oxford Economics'!$A$6:$AZ$6,0),MATCH(AH$5&amp;"",'Oxford Economics'!$A$6:$AZ$6,0))),'Oxford Economics'!$A$7:$A$1000,$C32,'Oxford Economics'!$B$7:$B$1000,Settings!$B$11)-SUMIFS(INDEX('Oxford Economics'!$A$7:$AZ$1000,0,IFERROR(MATCH(AH$5,'Oxford Economics'!$A$6:$AZ$6,0),MATCH(AH$5&amp;"",'Oxford Economics'!$A$6:$AZ$6,0))),'Oxford Economics'!$A$7:$A$1000,$C32,'Oxford Economics'!$B$7:$B$1000,Settings!$B$13),SUMIFS(INDEX('Oxford Economics'!$A$7:$AZ$1000,0,IFERROR(MATCH(AH$5,'Oxford Economics'!$A$6:$AZ$6,0),MATCH(AH$5&amp;"",'Oxford Economics'!$A$6:$AZ$6,0))),'Oxford Economics'!$A$7:$A$1000,$C32,'Oxford Economics'!$B$7:$B$1000,Settings!$B$13)+SUMIFS(INDEX('Oxford Economics'!$A$7:$AZ$1000,0,IFERROR(MATCH(AH$5,'Oxford Economics'!$A$6:$AZ$6,0),MATCH(AH$5&amp;"",'Oxford Economics'!$A$6:$AZ$6,0))),'Oxford Economics'!$A$7:$A$1000,$C32,'Oxford Economics'!$B$7:$B$1000,Settings!$B$15)+IF(Settings!$B$17="",0,SUMIFS(INDEX('Oxford Economics'!$A$7:$AZ$1000,0,IFERROR(MATCH(AH$5,'Oxford Economics'!$A$6:$AZ$6,0),MATCH(AH$5&amp;"",'Oxford Economics'!$A$6:$AZ$6,0))),'Oxford Economics'!$A$7:$A$1000,$C32,'Oxford Economics'!$B$7:$B$1000,Settings!$B$17)))),""))</f>
        <v>5834.22</v>
      </c>
      <c r="AI32" s="37" t="n">
        <f aca="false">IF($A32="","",IFERROR(1/(1/IF($B32="Residential",SUMIFS(INDEX('Oxford Economics'!$A$7:$AZ$1000,0,IFERROR(MATCH(AI$5,'Oxford Economics'!$A$6:$AZ$6,0),MATCH(AI$5&amp;"",'Oxford Economics'!$A$6:$AZ$6,0))),'Oxford Economics'!$A$7:$A$1000,$C32,'Oxford Economics'!$B$7:$B$1000,Settings!$B$11)-SUMIFS(INDEX('Oxford Economics'!$A$7:$AZ$1000,0,IFERROR(MATCH(AI$5,'Oxford Economics'!$A$6:$AZ$6,0),MATCH(AI$5&amp;"",'Oxford Economics'!$A$6:$AZ$6,0))),'Oxford Economics'!$A$7:$A$1000,$C32,'Oxford Economics'!$B$7:$B$1000,Settings!$B$13),SUMIFS(INDEX('Oxford Economics'!$A$7:$AZ$1000,0,IFERROR(MATCH(AI$5,'Oxford Economics'!$A$6:$AZ$6,0),MATCH(AI$5&amp;"",'Oxford Economics'!$A$6:$AZ$6,0))),'Oxford Economics'!$A$7:$A$1000,$C32,'Oxford Economics'!$B$7:$B$1000,Settings!$B$13)+SUMIFS(INDEX('Oxford Economics'!$A$7:$AZ$1000,0,IFERROR(MATCH(AI$5,'Oxford Economics'!$A$6:$AZ$6,0),MATCH(AI$5&amp;"",'Oxford Economics'!$A$6:$AZ$6,0))),'Oxford Economics'!$A$7:$A$1000,$C32,'Oxford Economics'!$B$7:$B$1000,Settings!$B$15)+IF(Settings!$B$17="",0,SUMIFS(INDEX('Oxford Economics'!$A$7:$AZ$1000,0,IFERROR(MATCH(AI$5,'Oxford Economics'!$A$6:$AZ$6,0),MATCH(AI$5&amp;"",'Oxford Economics'!$A$6:$AZ$6,0))),'Oxford Economics'!$A$7:$A$1000,$C32,'Oxford Economics'!$B$7:$B$1000,Settings!$B$17)))),""))</f>
        <v>5386.61</v>
      </c>
      <c r="AJ32" s="37" t="n">
        <f aca="false">IF($A32="","",IFERROR(1/(1/IF($B32="Residential",SUMIFS(INDEX('Oxford Economics'!$A$7:$AZ$1000,0,IFERROR(MATCH(AJ$5,'Oxford Economics'!$A$6:$AZ$6,0),MATCH(AJ$5&amp;"",'Oxford Economics'!$A$6:$AZ$6,0))),'Oxford Economics'!$A$7:$A$1000,$C32,'Oxford Economics'!$B$7:$B$1000,Settings!$B$11)-SUMIFS(INDEX('Oxford Economics'!$A$7:$AZ$1000,0,IFERROR(MATCH(AJ$5,'Oxford Economics'!$A$6:$AZ$6,0),MATCH(AJ$5&amp;"",'Oxford Economics'!$A$6:$AZ$6,0))),'Oxford Economics'!$A$7:$A$1000,$C32,'Oxford Economics'!$B$7:$B$1000,Settings!$B$13),SUMIFS(INDEX('Oxford Economics'!$A$7:$AZ$1000,0,IFERROR(MATCH(AJ$5,'Oxford Economics'!$A$6:$AZ$6,0),MATCH(AJ$5&amp;"",'Oxford Economics'!$A$6:$AZ$6,0))),'Oxford Economics'!$A$7:$A$1000,$C32,'Oxford Economics'!$B$7:$B$1000,Settings!$B$13)+SUMIFS(INDEX('Oxford Economics'!$A$7:$AZ$1000,0,IFERROR(MATCH(AJ$5,'Oxford Economics'!$A$6:$AZ$6,0),MATCH(AJ$5&amp;"",'Oxford Economics'!$A$6:$AZ$6,0))),'Oxford Economics'!$A$7:$A$1000,$C32,'Oxford Economics'!$B$7:$B$1000,Settings!$B$15)+IF(Settings!$B$17="",0,SUMIFS(INDEX('Oxford Economics'!$A$7:$AZ$1000,0,IFERROR(MATCH(AJ$5,'Oxford Economics'!$A$6:$AZ$6,0),MATCH(AJ$5&amp;"",'Oxford Economics'!$A$6:$AZ$6,0))),'Oxford Economics'!$A$7:$A$1000,$C32,'Oxford Economics'!$B$7:$B$1000,Settings!$B$17)))),""))</f>
        <v>4866.9</v>
      </c>
      <c r="AK32" s="37" t="n">
        <f aca="false">IF($A32="","",IFERROR(1/(1/IF($B32="Residential",SUMIFS(INDEX('Oxford Economics'!$A$7:$AZ$1000,0,IFERROR(MATCH(AK$5,'Oxford Economics'!$A$6:$AZ$6,0),MATCH(AK$5&amp;"",'Oxford Economics'!$A$6:$AZ$6,0))),'Oxford Economics'!$A$7:$A$1000,$C32,'Oxford Economics'!$B$7:$B$1000,Settings!$B$11)-SUMIFS(INDEX('Oxford Economics'!$A$7:$AZ$1000,0,IFERROR(MATCH(AK$5,'Oxford Economics'!$A$6:$AZ$6,0),MATCH(AK$5&amp;"",'Oxford Economics'!$A$6:$AZ$6,0))),'Oxford Economics'!$A$7:$A$1000,$C32,'Oxford Economics'!$B$7:$B$1000,Settings!$B$13),SUMIFS(INDEX('Oxford Economics'!$A$7:$AZ$1000,0,IFERROR(MATCH(AK$5,'Oxford Economics'!$A$6:$AZ$6,0),MATCH(AK$5&amp;"",'Oxford Economics'!$A$6:$AZ$6,0))),'Oxford Economics'!$A$7:$A$1000,$C32,'Oxford Economics'!$B$7:$B$1000,Settings!$B$13)+SUMIFS(INDEX('Oxford Economics'!$A$7:$AZ$1000,0,IFERROR(MATCH(AK$5,'Oxford Economics'!$A$6:$AZ$6,0),MATCH(AK$5&amp;"",'Oxford Economics'!$A$6:$AZ$6,0))),'Oxford Economics'!$A$7:$A$1000,$C32,'Oxford Economics'!$B$7:$B$1000,Settings!$B$15)+IF(Settings!$B$17="",0,SUMIFS(INDEX('Oxford Economics'!$A$7:$AZ$1000,0,IFERROR(MATCH(AK$5,'Oxford Economics'!$A$6:$AZ$6,0),MATCH(AK$5&amp;"",'Oxford Economics'!$A$6:$AZ$6,0))),'Oxford Economics'!$A$7:$A$1000,$C32,'Oxford Economics'!$B$7:$B$1000,Settings!$B$17)))),""))</f>
        <v>4543.34</v>
      </c>
      <c r="AL32" s="37" t="n">
        <f aca="false">IF($A32="","",IFERROR(1/(1/IF($B32="Residential",SUMIFS(INDEX('Oxford Economics'!$A$7:$AZ$1000,0,IFERROR(MATCH(AL$5,'Oxford Economics'!$A$6:$AZ$6,0),MATCH(AL$5&amp;"",'Oxford Economics'!$A$6:$AZ$6,0))),'Oxford Economics'!$A$7:$A$1000,$C32,'Oxford Economics'!$B$7:$B$1000,Settings!$B$11)-SUMIFS(INDEX('Oxford Economics'!$A$7:$AZ$1000,0,IFERROR(MATCH(AL$5,'Oxford Economics'!$A$6:$AZ$6,0),MATCH(AL$5&amp;"",'Oxford Economics'!$A$6:$AZ$6,0))),'Oxford Economics'!$A$7:$A$1000,$C32,'Oxford Economics'!$B$7:$B$1000,Settings!$B$13),SUMIFS(INDEX('Oxford Economics'!$A$7:$AZ$1000,0,IFERROR(MATCH(AL$5,'Oxford Economics'!$A$6:$AZ$6,0),MATCH(AL$5&amp;"",'Oxford Economics'!$A$6:$AZ$6,0))),'Oxford Economics'!$A$7:$A$1000,$C32,'Oxford Economics'!$B$7:$B$1000,Settings!$B$13)+SUMIFS(INDEX('Oxford Economics'!$A$7:$AZ$1000,0,IFERROR(MATCH(AL$5,'Oxford Economics'!$A$6:$AZ$6,0),MATCH(AL$5&amp;"",'Oxford Economics'!$A$6:$AZ$6,0))),'Oxford Economics'!$A$7:$A$1000,$C32,'Oxford Economics'!$B$7:$B$1000,Settings!$B$15)+IF(Settings!$B$17="",0,SUMIFS(INDEX('Oxford Economics'!$A$7:$AZ$1000,0,IFERROR(MATCH(AL$5,'Oxford Economics'!$A$6:$AZ$6,0),MATCH(AL$5&amp;"",'Oxford Economics'!$A$6:$AZ$6,0))),'Oxford Economics'!$A$7:$A$1000,$C32,'Oxford Economics'!$B$7:$B$1000,Settings!$B$17)))),""))</f>
        <v>4364.92</v>
      </c>
      <c r="AM32" s="37" t="n">
        <f aca="false">IF($A32="","",IFERROR(1/(1/IF($B32="Residential",SUMIFS(INDEX('Oxford Economics'!$A$7:$AZ$1000,0,IFERROR(MATCH(AM$5,'Oxford Economics'!$A$6:$AZ$6,0),MATCH(AM$5&amp;"",'Oxford Economics'!$A$6:$AZ$6,0))),'Oxford Economics'!$A$7:$A$1000,$C32,'Oxford Economics'!$B$7:$B$1000,Settings!$B$11)-SUMIFS(INDEX('Oxford Economics'!$A$7:$AZ$1000,0,IFERROR(MATCH(AM$5,'Oxford Economics'!$A$6:$AZ$6,0),MATCH(AM$5&amp;"",'Oxford Economics'!$A$6:$AZ$6,0))),'Oxford Economics'!$A$7:$A$1000,$C32,'Oxford Economics'!$B$7:$B$1000,Settings!$B$13),SUMIFS(INDEX('Oxford Economics'!$A$7:$AZ$1000,0,IFERROR(MATCH(AM$5,'Oxford Economics'!$A$6:$AZ$6,0),MATCH(AM$5&amp;"",'Oxford Economics'!$A$6:$AZ$6,0))),'Oxford Economics'!$A$7:$A$1000,$C32,'Oxford Economics'!$B$7:$B$1000,Settings!$B$13)+SUMIFS(INDEX('Oxford Economics'!$A$7:$AZ$1000,0,IFERROR(MATCH(AM$5,'Oxford Economics'!$A$6:$AZ$6,0),MATCH(AM$5&amp;"",'Oxford Economics'!$A$6:$AZ$6,0))),'Oxford Economics'!$A$7:$A$1000,$C32,'Oxford Economics'!$B$7:$B$1000,Settings!$B$15)+IF(Settings!$B$17="",0,SUMIFS(INDEX('Oxford Economics'!$A$7:$AZ$1000,0,IFERROR(MATCH(AM$5,'Oxford Economics'!$A$6:$AZ$6,0),MATCH(AM$5&amp;"",'Oxford Economics'!$A$6:$AZ$6,0))),'Oxford Economics'!$A$7:$A$1000,$C32,'Oxford Economics'!$B$7:$B$1000,Settings!$B$17)))),""))</f>
        <v>4267.64</v>
      </c>
    </row>
    <row r="33" customFormat="false" ht="15" hidden="false" customHeight="false" outlineLevel="0" collapsed="false">
      <c r="A33" s="36" t="str">
        <f aca="false">IF('Raw data'!$A33="","",'Raw data'!$A33)</f>
        <v>Italy</v>
      </c>
      <c r="B33" s="36" t="str">
        <f aca="false">IF($A33="","",'Raw data'!$C33)</f>
        <v>Commercial</v>
      </c>
      <c r="C33" s="36" t="str">
        <f aca="false">IF($A33="","",IF('Raw data'!$D33="",$A33,'Raw data'!$D33))</f>
        <v>Italy</v>
      </c>
      <c r="D33" s="37" t="n">
        <f aca="false">IF($A33="","",IF(AND(ISNUMBER(P33),ISNUMBER(AB33)),P33+AB33,""))</f>
        <v>59128.93</v>
      </c>
      <c r="E33" s="37" t="n">
        <f aca="false">IF($A33="","",IF(AND(ISNUMBER(Q33),ISNUMBER(AC33)),Q33+AC33,""))</f>
        <v>75387.57</v>
      </c>
      <c r="F33" s="37" t="n">
        <f aca="false">IF($A33="","",IF(AND(ISNUMBER(R33),ISNUMBER(AD33)),R33+AD33,""))</f>
        <v>92196.41</v>
      </c>
      <c r="G33" s="37" t="n">
        <f aca="false">IF($A33="","",IF(AND(ISNUMBER(S33),ISNUMBER(AE33)),S33+AE33,""))</f>
        <v>98255.12</v>
      </c>
      <c r="H33" s="37" t="n">
        <f aca="false">IF($A33="","",IF(AND(ISNUMBER(T33),ISNUMBER(AF33)),T33+AF33,""))</f>
        <v>95187.17</v>
      </c>
      <c r="I33" s="37" t="n">
        <f aca="false">IF($A33="","",IF(AND(ISNUMBER(U33),ISNUMBER(AG33)),U33+AG33,""))</f>
        <v>93406.3</v>
      </c>
      <c r="J33" s="37" t="n">
        <f aca="false">IF($A33="","",IF(AND(ISNUMBER(V33),ISNUMBER(AH33)),V33+AH33,""))</f>
        <v>93565.32</v>
      </c>
      <c r="K33" s="37" t="n">
        <f aca="false">IF($A33="","",IF(AND(ISNUMBER(W33),ISNUMBER(AI33)),W33+AI33,""))</f>
        <v>93939.64</v>
      </c>
      <c r="L33" s="37" t="n">
        <f aca="false">IF($A33="","",IF(AND(ISNUMBER(X33),ISNUMBER(AJ33)),X33+AJ33,""))</f>
        <v>95054.76</v>
      </c>
      <c r="M33" s="37" t="n">
        <f aca="false">IF($A33="","",IF(AND(ISNUMBER(Y33),ISNUMBER(AK33)),Y33+AK33,""))</f>
        <v>97160.54</v>
      </c>
      <c r="N33" s="37" t="n">
        <f aca="false">IF($A33="","",IF(AND(ISNUMBER(Z33),ISNUMBER(AL33)),Z33+AL33,""))</f>
        <v>99643.57</v>
      </c>
      <c r="O33" s="37" t="n">
        <f aca="false">IF($A33="","",IF(AND(ISNUMBER(AA33),ISNUMBER(AM33)),AA33+AM33,""))</f>
        <v>100358.14</v>
      </c>
      <c r="P33" s="37" t="n">
        <f aca="false">IF($A33="","",IFERROR(1/(1/IF($B33="Residential",SUMIFS(INDEX('Oxford Economics'!$A$7:$AZ$1000,0,IFERROR(MATCH(P$5,'Oxford Economics'!$A$6:$AZ$6,0),MATCH(P$5&amp;"",'Oxford Economics'!$A$6:$AZ$6,0))),'Oxford Economics'!$A$7:$A$1000,$C33,'Oxford Economics'!$B$7:$B$1000,Settings!$B$12)-SUMIFS(INDEX('Oxford Economics'!$A$7:$AZ$1000,0,IFERROR(MATCH(P$5,'Oxford Economics'!$A$6:$AZ$6,0),MATCH(P$5&amp;"",'Oxford Economics'!$A$6:$AZ$6,0))),'Oxford Economics'!$A$7:$A$1000,$C33,'Oxford Economics'!$B$7:$B$1000,Settings!$B$14),SUMIFS(INDEX('Oxford Economics'!$A$7:$AZ$1000,0,IFERROR(MATCH(P$5,'Oxford Economics'!$A$6:$AZ$6,0),MATCH(P$5&amp;"",'Oxford Economics'!$A$6:$AZ$6,0))),'Oxford Economics'!$A$7:$A$1000,$C33,'Oxford Economics'!$B$7:$B$1000,Settings!$B$14)+SUMIFS(INDEX('Oxford Economics'!$A$7:$AZ$1000,0,IFERROR(MATCH(P$5,'Oxford Economics'!$A$6:$AZ$6,0),MATCH(P$5&amp;"",'Oxford Economics'!$A$6:$AZ$6,0))),'Oxford Economics'!$A$7:$A$1000,$C33,'Oxford Economics'!$B$7:$B$1000,Settings!$B$16)+IF(Settings!$B$18="",0,SUMIFS(INDEX('Oxford Economics'!$A$7:$AZ$1000,0,IFERROR(MATCH(P$5,'Oxford Economics'!$A$6:$AZ$6,0),MATCH(P$5&amp;"",'Oxford Economics'!$A$6:$AZ$6,0))),'Oxford Economics'!$A$7:$A$1000,$C33,'Oxford Economics'!$B$7:$B$1000,Settings!$B$18)))),""))</f>
        <v>48572.37</v>
      </c>
      <c r="Q33" s="37" t="n">
        <f aca="false">IF($A33="","",IFERROR(1/(1/IF($B33="Residential",SUMIFS(INDEX('Oxford Economics'!$A$7:$AZ$1000,0,IFERROR(MATCH(Q$5,'Oxford Economics'!$A$6:$AZ$6,0),MATCH(Q$5&amp;"",'Oxford Economics'!$A$6:$AZ$6,0))),'Oxford Economics'!$A$7:$A$1000,$C33,'Oxford Economics'!$B$7:$B$1000,Settings!$B$12)-SUMIFS(INDEX('Oxford Economics'!$A$7:$AZ$1000,0,IFERROR(MATCH(Q$5,'Oxford Economics'!$A$6:$AZ$6,0),MATCH(Q$5&amp;"",'Oxford Economics'!$A$6:$AZ$6,0))),'Oxford Economics'!$A$7:$A$1000,$C33,'Oxford Economics'!$B$7:$B$1000,Settings!$B$14),SUMIFS(INDEX('Oxford Economics'!$A$7:$AZ$1000,0,IFERROR(MATCH(Q$5,'Oxford Economics'!$A$6:$AZ$6,0),MATCH(Q$5&amp;"",'Oxford Economics'!$A$6:$AZ$6,0))),'Oxford Economics'!$A$7:$A$1000,$C33,'Oxford Economics'!$B$7:$B$1000,Settings!$B$14)+SUMIFS(INDEX('Oxford Economics'!$A$7:$AZ$1000,0,IFERROR(MATCH(Q$5,'Oxford Economics'!$A$6:$AZ$6,0),MATCH(Q$5&amp;"",'Oxford Economics'!$A$6:$AZ$6,0))),'Oxford Economics'!$A$7:$A$1000,$C33,'Oxford Economics'!$B$7:$B$1000,Settings!$B$16)+IF(Settings!$B$18="",0,SUMIFS(INDEX('Oxford Economics'!$A$7:$AZ$1000,0,IFERROR(MATCH(Q$5,'Oxford Economics'!$A$6:$AZ$6,0),MATCH(Q$5&amp;"",'Oxford Economics'!$A$6:$AZ$6,0))),'Oxford Economics'!$A$7:$A$1000,$C33,'Oxford Economics'!$B$7:$B$1000,Settings!$B$18)))),""))</f>
        <v>63053.82</v>
      </c>
      <c r="R33" s="37" t="n">
        <f aca="false">IF($A33="","",IFERROR(1/(1/IF($B33="Residential",SUMIFS(INDEX('Oxford Economics'!$A$7:$AZ$1000,0,IFERROR(MATCH(R$5,'Oxford Economics'!$A$6:$AZ$6,0),MATCH(R$5&amp;"",'Oxford Economics'!$A$6:$AZ$6,0))),'Oxford Economics'!$A$7:$A$1000,$C33,'Oxford Economics'!$B$7:$B$1000,Settings!$B$12)-SUMIFS(INDEX('Oxford Economics'!$A$7:$AZ$1000,0,IFERROR(MATCH(R$5,'Oxford Economics'!$A$6:$AZ$6,0),MATCH(R$5&amp;"",'Oxford Economics'!$A$6:$AZ$6,0))),'Oxford Economics'!$A$7:$A$1000,$C33,'Oxford Economics'!$B$7:$B$1000,Settings!$B$14),SUMIFS(INDEX('Oxford Economics'!$A$7:$AZ$1000,0,IFERROR(MATCH(R$5,'Oxford Economics'!$A$6:$AZ$6,0),MATCH(R$5&amp;"",'Oxford Economics'!$A$6:$AZ$6,0))),'Oxford Economics'!$A$7:$A$1000,$C33,'Oxford Economics'!$B$7:$B$1000,Settings!$B$14)+SUMIFS(INDEX('Oxford Economics'!$A$7:$AZ$1000,0,IFERROR(MATCH(R$5,'Oxford Economics'!$A$6:$AZ$6,0),MATCH(R$5&amp;"",'Oxford Economics'!$A$6:$AZ$6,0))),'Oxford Economics'!$A$7:$A$1000,$C33,'Oxford Economics'!$B$7:$B$1000,Settings!$B$16)+IF(Settings!$B$18="",0,SUMIFS(INDEX('Oxford Economics'!$A$7:$AZ$1000,0,IFERROR(MATCH(R$5,'Oxford Economics'!$A$6:$AZ$6,0),MATCH(R$5&amp;"",'Oxford Economics'!$A$6:$AZ$6,0))),'Oxford Economics'!$A$7:$A$1000,$C33,'Oxford Economics'!$B$7:$B$1000,Settings!$B$18)))),""))</f>
        <v>78878.63</v>
      </c>
      <c r="S33" s="37" t="n">
        <f aca="false">IF($A33="","",IFERROR(1/(1/IF($B33="Residential",SUMIFS(INDEX('Oxford Economics'!$A$7:$AZ$1000,0,IFERROR(MATCH(S$5,'Oxford Economics'!$A$6:$AZ$6,0),MATCH(S$5&amp;"",'Oxford Economics'!$A$6:$AZ$6,0))),'Oxford Economics'!$A$7:$A$1000,$C33,'Oxford Economics'!$B$7:$B$1000,Settings!$B$12)-SUMIFS(INDEX('Oxford Economics'!$A$7:$AZ$1000,0,IFERROR(MATCH(S$5,'Oxford Economics'!$A$6:$AZ$6,0),MATCH(S$5&amp;"",'Oxford Economics'!$A$6:$AZ$6,0))),'Oxford Economics'!$A$7:$A$1000,$C33,'Oxford Economics'!$B$7:$B$1000,Settings!$B$14),SUMIFS(INDEX('Oxford Economics'!$A$7:$AZ$1000,0,IFERROR(MATCH(S$5,'Oxford Economics'!$A$6:$AZ$6,0),MATCH(S$5&amp;"",'Oxford Economics'!$A$6:$AZ$6,0))),'Oxford Economics'!$A$7:$A$1000,$C33,'Oxford Economics'!$B$7:$B$1000,Settings!$B$14)+SUMIFS(INDEX('Oxford Economics'!$A$7:$AZ$1000,0,IFERROR(MATCH(S$5,'Oxford Economics'!$A$6:$AZ$6,0),MATCH(S$5&amp;"",'Oxford Economics'!$A$6:$AZ$6,0))),'Oxford Economics'!$A$7:$A$1000,$C33,'Oxford Economics'!$B$7:$B$1000,Settings!$B$16)+IF(Settings!$B$18="",0,SUMIFS(INDEX('Oxford Economics'!$A$7:$AZ$1000,0,IFERROR(MATCH(S$5,'Oxford Economics'!$A$6:$AZ$6,0),MATCH(S$5&amp;"",'Oxford Economics'!$A$6:$AZ$6,0))),'Oxford Economics'!$A$7:$A$1000,$C33,'Oxford Economics'!$B$7:$B$1000,Settings!$B$18)))),""))</f>
        <v>83254.03</v>
      </c>
      <c r="T33" s="37" t="n">
        <f aca="false">IF($A33="","",IFERROR(1/(1/IF($B33="Residential",SUMIFS(INDEX('Oxford Economics'!$A$7:$AZ$1000,0,IFERROR(MATCH(T$5,'Oxford Economics'!$A$6:$AZ$6,0),MATCH(T$5&amp;"",'Oxford Economics'!$A$6:$AZ$6,0))),'Oxford Economics'!$A$7:$A$1000,$C33,'Oxford Economics'!$B$7:$B$1000,Settings!$B$12)-SUMIFS(INDEX('Oxford Economics'!$A$7:$AZ$1000,0,IFERROR(MATCH(T$5,'Oxford Economics'!$A$6:$AZ$6,0),MATCH(T$5&amp;"",'Oxford Economics'!$A$6:$AZ$6,0))),'Oxford Economics'!$A$7:$A$1000,$C33,'Oxford Economics'!$B$7:$B$1000,Settings!$B$14),SUMIFS(INDEX('Oxford Economics'!$A$7:$AZ$1000,0,IFERROR(MATCH(T$5,'Oxford Economics'!$A$6:$AZ$6,0),MATCH(T$5&amp;"",'Oxford Economics'!$A$6:$AZ$6,0))),'Oxford Economics'!$A$7:$A$1000,$C33,'Oxford Economics'!$B$7:$B$1000,Settings!$B$14)+SUMIFS(INDEX('Oxford Economics'!$A$7:$AZ$1000,0,IFERROR(MATCH(T$5,'Oxford Economics'!$A$6:$AZ$6,0),MATCH(T$5&amp;"",'Oxford Economics'!$A$6:$AZ$6,0))),'Oxford Economics'!$A$7:$A$1000,$C33,'Oxford Economics'!$B$7:$B$1000,Settings!$B$16)+IF(Settings!$B$18="",0,SUMIFS(INDEX('Oxford Economics'!$A$7:$AZ$1000,0,IFERROR(MATCH(T$5,'Oxford Economics'!$A$6:$AZ$6,0),MATCH(T$5&amp;"",'Oxford Economics'!$A$6:$AZ$6,0))),'Oxford Economics'!$A$7:$A$1000,$C33,'Oxford Economics'!$B$7:$B$1000,Settings!$B$18)))),""))</f>
        <v>79008.07</v>
      </c>
      <c r="U33" s="37" t="n">
        <f aca="false">IF($A33="","",IFERROR(1/(1/IF($B33="Residential",SUMIFS(INDEX('Oxford Economics'!$A$7:$AZ$1000,0,IFERROR(MATCH(U$5,'Oxford Economics'!$A$6:$AZ$6,0),MATCH(U$5&amp;"",'Oxford Economics'!$A$6:$AZ$6,0))),'Oxford Economics'!$A$7:$A$1000,$C33,'Oxford Economics'!$B$7:$B$1000,Settings!$B$12)-SUMIFS(INDEX('Oxford Economics'!$A$7:$AZ$1000,0,IFERROR(MATCH(U$5,'Oxford Economics'!$A$6:$AZ$6,0),MATCH(U$5&amp;"",'Oxford Economics'!$A$6:$AZ$6,0))),'Oxford Economics'!$A$7:$A$1000,$C33,'Oxford Economics'!$B$7:$B$1000,Settings!$B$14),SUMIFS(INDEX('Oxford Economics'!$A$7:$AZ$1000,0,IFERROR(MATCH(U$5,'Oxford Economics'!$A$6:$AZ$6,0),MATCH(U$5&amp;"",'Oxford Economics'!$A$6:$AZ$6,0))),'Oxford Economics'!$A$7:$A$1000,$C33,'Oxford Economics'!$B$7:$B$1000,Settings!$B$14)+SUMIFS(INDEX('Oxford Economics'!$A$7:$AZ$1000,0,IFERROR(MATCH(U$5,'Oxford Economics'!$A$6:$AZ$6,0),MATCH(U$5&amp;"",'Oxford Economics'!$A$6:$AZ$6,0))),'Oxford Economics'!$A$7:$A$1000,$C33,'Oxford Economics'!$B$7:$B$1000,Settings!$B$16)+IF(Settings!$B$18="",0,SUMIFS(INDEX('Oxford Economics'!$A$7:$AZ$1000,0,IFERROR(MATCH(U$5,'Oxford Economics'!$A$6:$AZ$6,0),MATCH(U$5&amp;"",'Oxford Economics'!$A$6:$AZ$6,0))),'Oxford Economics'!$A$7:$A$1000,$C33,'Oxford Economics'!$B$7:$B$1000,Settings!$B$18)))),""))</f>
        <v>77309</v>
      </c>
      <c r="V33" s="37" t="n">
        <f aca="false">IF($A33="","",IFERROR(1/(1/IF($B33="Residential",SUMIFS(INDEX('Oxford Economics'!$A$7:$AZ$1000,0,IFERROR(MATCH(V$5,'Oxford Economics'!$A$6:$AZ$6,0),MATCH(V$5&amp;"",'Oxford Economics'!$A$6:$AZ$6,0))),'Oxford Economics'!$A$7:$A$1000,$C33,'Oxford Economics'!$B$7:$B$1000,Settings!$B$12)-SUMIFS(INDEX('Oxford Economics'!$A$7:$AZ$1000,0,IFERROR(MATCH(V$5,'Oxford Economics'!$A$6:$AZ$6,0),MATCH(V$5&amp;"",'Oxford Economics'!$A$6:$AZ$6,0))),'Oxford Economics'!$A$7:$A$1000,$C33,'Oxford Economics'!$B$7:$B$1000,Settings!$B$14),SUMIFS(INDEX('Oxford Economics'!$A$7:$AZ$1000,0,IFERROR(MATCH(V$5,'Oxford Economics'!$A$6:$AZ$6,0),MATCH(V$5&amp;"",'Oxford Economics'!$A$6:$AZ$6,0))),'Oxford Economics'!$A$7:$A$1000,$C33,'Oxford Economics'!$B$7:$B$1000,Settings!$B$14)+SUMIFS(INDEX('Oxford Economics'!$A$7:$AZ$1000,0,IFERROR(MATCH(V$5,'Oxford Economics'!$A$6:$AZ$6,0),MATCH(V$5&amp;"",'Oxford Economics'!$A$6:$AZ$6,0))),'Oxford Economics'!$A$7:$A$1000,$C33,'Oxford Economics'!$B$7:$B$1000,Settings!$B$16)+IF(Settings!$B$18="",0,SUMIFS(INDEX('Oxford Economics'!$A$7:$AZ$1000,0,IFERROR(MATCH(V$5,'Oxford Economics'!$A$6:$AZ$6,0),MATCH(V$5&amp;"",'Oxford Economics'!$A$6:$AZ$6,0))),'Oxford Economics'!$A$7:$A$1000,$C33,'Oxford Economics'!$B$7:$B$1000,Settings!$B$18)))),""))</f>
        <v>77236.33</v>
      </c>
      <c r="W33" s="37" t="n">
        <f aca="false">IF($A33="","",IFERROR(1/(1/IF($B33="Residential",SUMIFS(INDEX('Oxford Economics'!$A$7:$AZ$1000,0,IFERROR(MATCH(W$5,'Oxford Economics'!$A$6:$AZ$6,0),MATCH(W$5&amp;"",'Oxford Economics'!$A$6:$AZ$6,0))),'Oxford Economics'!$A$7:$A$1000,$C33,'Oxford Economics'!$B$7:$B$1000,Settings!$B$12)-SUMIFS(INDEX('Oxford Economics'!$A$7:$AZ$1000,0,IFERROR(MATCH(W$5,'Oxford Economics'!$A$6:$AZ$6,0),MATCH(W$5&amp;"",'Oxford Economics'!$A$6:$AZ$6,0))),'Oxford Economics'!$A$7:$A$1000,$C33,'Oxford Economics'!$B$7:$B$1000,Settings!$B$14),SUMIFS(INDEX('Oxford Economics'!$A$7:$AZ$1000,0,IFERROR(MATCH(W$5,'Oxford Economics'!$A$6:$AZ$6,0),MATCH(W$5&amp;"",'Oxford Economics'!$A$6:$AZ$6,0))),'Oxford Economics'!$A$7:$A$1000,$C33,'Oxford Economics'!$B$7:$B$1000,Settings!$B$14)+SUMIFS(INDEX('Oxford Economics'!$A$7:$AZ$1000,0,IFERROR(MATCH(W$5,'Oxford Economics'!$A$6:$AZ$6,0),MATCH(W$5&amp;"",'Oxford Economics'!$A$6:$AZ$6,0))),'Oxford Economics'!$A$7:$A$1000,$C33,'Oxford Economics'!$B$7:$B$1000,Settings!$B$16)+IF(Settings!$B$18="",0,SUMIFS(INDEX('Oxford Economics'!$A$7:$AZ$1000,0,IFERROR(MATCH(W$5,'Oxford Economics'!$A$6:$AZ$6,0),MATCH(W$5&amp;"",'Oxford Economics'!$A$6:$AZ$6,0))),'Oxford Economics'!$A$7:$A$1000,$C33,'Oxford Economics'!$B$7:$B$1000,Settings!$B$18)))),""))</f>
        <v>77555.95</v>
      </c>
      <c r="X33" s="37" t="n">
        <f aca="false">IF($A33="","",IFERROR(1/(1/IF($B33="Residential",SUMIFS(INDEX('Oxford Economics'!$A$7:$AZ$1000,0,IFERROR(MATCH(X$5,'Oxford Economics'!$A$6:$AZ$6,0),MATCH(X$5&amp;"",'Oxford Economics'!$A$6:$AZ$6,0))),'Oxford Economics'!$A$7:$A$1000,$C33,'Oxford Economics'!$B$7:$B$1000,Settings!$B$12)-SUMIFS(INDEX('Oxford Economics'!$A$7:$AZ$1000,0,IFERROR(MATCH(X$5,'Oxford Economics'!$A$6:$AZ$6,0),MATCH(X$5&amp;"",'Oxford Economics'!$A$6:$AZ$6,0))),'Oxford Economics'!$A$7:$A$1000,$C33,'Oxford Economics'!$B$7:$B$1000,Settings!$B$14),SUMIFS(INDEX('Oxford Economics'!$A$7:$AZ$1000,0,IFERROR(MATCH(X$5,'Oxford Economics'!$A$6:$AZ$6,0),MATCH(X$5&amp;"",'Oxford Economics'!$A$6:$AZ$6,0))),'Oxford Economics'!$A$7:$A$1000,$C33,'Oxford Economics'!$B$7:$B$1000,Settings!$B$14)+SUMIFS(INDEX('Oxford Economics'!$A$7:$AZ$1000,0,IFERROR(MATCH(X$5,'Oxford Economics'!$A$6:$AZ$6,0),MATCH(X$5&amp;"",'Oxford Economics'!$A$6:$AZ$6,0))),'Oxford Economics'!$A$7:$A$1000,$C33,'Oxford Economics'!$B$7:$B$1000,Settings!$B$16)+IF(Settings!$B$18="",0,SUMIFS(INDEX('Oxford Economics'!$A$7:$AZ$1000,0,IFERROR(MATCH(X$5,'Oxford Economics'!$A$6:$AZ$6,0),MATCH(X$5&amp;"",'Oxford Economics'!$A$6:$AZ$6,0))),'Oxford Economics'!$A$7:$A$1000,$C33,'Oxford Economics'!$B$7:$B$1000,Settings!$B$18)))),""))</f>
        <v>78151.17</v>
      </c>
      <c r="Y33" s="37" t="n">
        <f aca="false">IF($A33="","",IFERROR(1/(1/IF($B33="Residential",SUMIFS(INDEX('Oxford Economics'!$A$7:$AZ$1000,0,IFERROR(MATCH(Y$5,'Oxford Economics'!$A$6:$AZ$6,0),MATCH(Y$5&amp;"",'Oxford Economics'!$A$6:$AZ$6,0))),'Oxford Economics'!$A$7:$A$1000,$C33,'Oxford Economics'!$B$7:$B$1000,Settings!$B$12)-SUMIFS(INDEX('Oxford Economics'!$A$7:$AZ$1000,0,IFERROR(MATCH(Y$5,'Oxford Economics'!$A$6:$AZ$6,0),MATCH(Y$5&amp;"",'Oxford Economics'!$A$6:$AZ$6,0))),'Oxford Economics'!$A$7:$A$1000,$C33,'Oxford Economics'!$B$7:$B$1000,Settings!$B$14),SUMIFS(INDEX('Oxford Economics'!$A$7:$AZ$1000,0,IFERROR(MATCH(Y$5,'Oxford Economics'!$A$6:$AZ$6,0),MATCH(Y$5&amp;"",'Oxford Economics'!$A$6:$AZ$6,0))),'Oxford Economics'!$A$7:$A$1000,$C33,'Oxford Economics'!$B$7:$B$1000,Settings!$B$14)+SUMIFS(INDEX('Oxford Economics'!$A$7:$AZ$1000,0,IFERROR(MATCH(Y$5,'Oxford Economics'!$A$6:$AZ$6,0),MATCH(Y$5&amp;"",'Oxford Economics'!$A$6:$AZ$6,0))),'Oxford Economics'!$A$7:$A$1000,$C33,'Oxford Economics'!$B$7:$B$1000,Settings!$B$16)+IF(Settings!$B$18="",0,SUMIFS(INDEX('Oxford Economics'!$A$7:$AZ$1000,0,IFERROR(MATCH(Y$5,'Oxford Economics'!$A$6:$AZ$6,0),MATCH(Y$5&amp;"",'Oxford Economics'!$A$6:$AZ$6,0))),'Oxford Economics'!$A$7:$A$1000,$C33,'Oxford Economics'!$B$7:$B$1000,Settings!$B$18)))),""))</f>
        <v>79803.08</v>
      </c>
      <c r="Z33" s="37" t="n">
        <f aca="false">IF($A33="","",IFERROR(1/(1/IF($B33="Residential",SUMIFS(INDEX('Oxford Economics'!$A$7:$AZ$1000,0,IFERROR(MATCH(Z$5,'Oxford Economics'!$A$6:$AZ$6,0),MATCH(Z$5&amp;"",'Oxford Economics'!$A$6:$AZ$6,0))),'Oxford Economics'!$A$7:$A$1000,$C33,'Oxford Economics'!$B$7:$B$1000,Settings!$B$12)-SUMIFS(INDEX('Oxford Economics'!$A$7:$AZ$1000,0,IFERROR(MATCH(Z$5,'Oxford Economics'!$A$6:$AZ$6,0),MATCH(Z$5&amp;"",'Oxford Economics'!$A$6:$AZ$6,0))),'Oxford Economics'!$A$7:$A$1000,$C33,'Oxford Economics'!$B$7:$B$1000,Settings!$B$14),SUMIFS(INDEX('Oxford Economics'!$A$7:$AZ$1000,0,IFERROR(MATCH(Z$5,'Oxford Economics'!$A$6:$AZ$6,0),MATCH(Z$5&amp;"",'Oxford Economics'!$A$6:$AZ$6,0))),'Oxford Economics'!$A$7:$A$1000,$C33,'Oxford Economics'!$B$7:$B$1000,Settings!$B$14)+SUMIFS(INDEX('Oxford Economics'!$A$7:$AZ$1000,0,IFERROR(MATCH(Z$5,'Oxford Economics'!$A$6:$AZ$6,0),MATCH(Z$5&amp;"",'Oxford Economics'!$A$6:$AZ$6,0))),'Oxford Economics'!$A$7:$A$1000,$C33,'Oxford Economics'!$B$7:$B$1000,Settings!$B$16)+IF(Settings!$B$18="",0,SUMIFS(INDEX('Oxford Economics'!$A$7:$AZ$1000,0,IFERROR(MATCH(Z$5,'Oxford Economics'!$A$6:$AZ$6,0),MATCH(Z$5&amp;"",'Oxford Economics'!$A$6:$AZ$6,0))),'Oxford Economics'!$A$7:$A$1000,$C33,'Oxford Economics'!$B$7:$B$1000,Settings!$B$18)))),""))</f>
        <v>81746.5</v>
      </c>
      <c r="AA33" s="37" t="n">
        <f aca="false">IF($A33="","",IFERROR(1/(1/IF($B33="Residential",SUMIFS(INDEX('Oxford Economics'!$A$7:$AZ$1000,0,IFERROR(MATCH(AA$5,'Oxford Economics'!$A$6:$AZ$6,0),MATCH(AA$5&amp;"",'Oxford Economics'!$A$6:$AZ$6,0))),'Oxford Economics'!$A$7:$A$1000,$C33,'Oxford Economics'!$B$7:$B$1000,Settings!$B$12)-SUMIFS(INDEX('Oxford Economics'!$A$7:$AZ$1000,0,IFERROR(MATCH(AA$5,'Oxford Economics'!$A$6:$AZ$6,0),MATCH(AA$5&amp;"",'Oxford Economics'!$A$6:$AZ$6,0))),'Oxford Economics'!$A$7:$A$1000,$C33,'Oxford Economics'!$B$7:$B$1000,Settings!$B$14),SUMIFS(INDEX('Oxford Economics'!$A$7:$AZ$1000,0,IFERROR(MATCH(AA$5,'Oxford Economics'!$A$6:$AZ$6,0),MATCH(AA$5&amp;"",'Oxford Economics'!$A$6:$AZ$6,0))),'Oxford Economics'!$A$7:$A$1000,$C33,'Oxford Economics'!$B$7:$B$1000,Settings!$B$14)+SUMIFS(INDEX('Oxford Economics'!$A$7:$AZ$1000,0,IFERROR(MATCH(AA$5,'Oxford Economics'!$A$6:$AZ$6,0),MATCH(AA$5&amp;"",'Oxford Economics'!$A$6:$AZ$6,0))),'Oxford Economics'!$A$7:$A$1000,$C33,'Oxford Economics'!$B$7:$B$1000,Settings!$B$16)+IF(Settings!$B$18="",0,SUMIFS(INDEX('Oxford Economics'!$A$7:$AZ$1000,0,IFERROR(MATCH(AA$5,'Oxford Economics'!$A$6:$AZ$6,0),MATCH(AA$5&amp;"",'Oxford Economics'!$A$6:$AZ$6,0))),'Oxford Economics'!$A$7:$A$1000,$C33,'Oxford Economics'!$B$7:$B$1000,Settings!$B$18)))),""))</f>
        <v>82077.83</v>
      </c>
      <c r="AB33" s="37" t="n">
        <f aca="false">IF($A33="","",IFERROR(1/(1/IF($B33="Residential",SUMIFS(INDEX('Oxford Economics'!$A$7:$AZ$1000,0,IFERROR(MATCH(AB$5,'Oxford Economics'!$A$6:$AZ$6,0),MATCH(AB$5&amp;"",'Oxford Economics'!$A$6:$AZ$6,0))),'Oxford Economics'!$A$7:$A$1000,$C33,'Oxford Economics'!$B$7:$B$1000,Settings!$B$11)-SUMIFS(INDEX('Oxford Economics'!$A$7:$AZ$1000,0,IFERROR(MATCH(AB$5,'Oxford Economics'!$A$6:$AZ$6,0),MATCH(AB$5&amp;"",'Oxford Economics'!$A$6:$AZ$6,0))),'Oxford Economics'!$A$7:$A$1000,$C33,'Oxford Economics'!$B$7:$B$1000,Settings!$B$13),SUMIFS(INDEX('Oxford Economics'!$A$7:$AZ$1000,0,IFERROR(MATCH(AB$5,'Oxford Economics'!$A$6:$AZ$6,0),MATCH(AB$5&amp;"",'Oxford Economics'!$A$6:$AZ$6,0))),'Oxford Economics'!$A$7:$A$1000,$C33,'Oxford Economics'!$B$7:$B$1000,Settings!$B$13)+SUMIFS(INDEX('Oxford Economics'!$A$7:$AZ$1000,0,IFERROR(MATCH(AB$5,'Oxford Economics'!$A$6:$AZ$6,0),MATCH(AB$5&amp;"",'Oxford Economics'!$A$6:$AZ$6,0))),'Oxford Economics'!$A$7:$A$1000,$C33,'Oxford Economics'!$B$7:$B$1000,Settings!$B$15)+IF(Settings!$B$17="",0,SUMIFS(INDEX('Oxford Economics'!$A$7:$AZ$1000,0,IFERROR(MATCH(AB$5,'Oxford Economics'!$A$6:$AZ$6,0),MATCH(AB$5&amp;"",'Oxford Economics'!$A$6:$AZ$6,0))),'Oxford Economics'!$A$7:$A$1000,$C33,'Oxford Economics'!$B$7:$B$1000,Settings!$B$17)))),""))</f>
        <v>10556.56</v>
      </c>
      <c r="AC33" s="37" t="n">
        <f aca="false">IF($A33="","",IFERROR(1/(1/IF($B33="Residential",SUMIFS(INDEX('Oxford Economics'!$A$7:$AZ$1000,0,IFERROR(MATCH(AC$5,'Oxford Economics'!$A$6:$AZ$6,0),MATCH(AC$5&amp;"",'Oxford Economics'!$A$6:$AZ$6,0))),'Oxford Economics'!$A$7:$A$1000,$C33,'Oxford Economics'!$B$7:$B$1000,Settings!$B$11)-SUMIFS(INDEX('Oxford Economics'!$A$7:$AZ$1000,0,IFERROR(MATCH(AC$5,'Oxford Economics'!$A$6:$AZ$6,0),MATCH(AC$5&amp;"",'Oxford Economics'!$A$6:$AZ$6,0))),'Oxford Economics'!$A$7:$A$1000,$C33,'Oxford Economics'!$B$7:$B$1000,Settings!$B$13),SUMIFS(INDEX('Oxford Economics'!$A$7:$AZ$1000,0,IFERROR(MATCH(AC$5,'Oxford Economics'!$A$6:$AZ$6,0),MATCH(AC$5&amp;"",'Oxford Economics'!$A$6:$AZ$6,0))),'Oxford Economics'!$A$7:$A$1000,$C33,'Oxford Economics'!$B$7:$B$1000,Settings!$B$13)+SUMIFS(INDEX('Oxford Economics'!$A$7:$AZ$1000,0,IFERROR(MATCH(AC$5,'Oxford Economics'!$A$6:$AZ$6,0),MATCH(AC$5&amp;"",'Oxford Economics'!$A$6:$AZ$6,0))),'Oxford Economics'!$A$7:$A$1000,$C33,'Oxford Economics'!$B$7:$B$1000,Settings!$B$15)+IF(Settings!$B$17="",0,SUMIFS(INDEX('Oxford Economics'!$A$7:$AZ$1000,0,IFERROR(MATCH(AC$5,'Oxford Economics'!$A$6:$AZ$6,0),MATCH(AC$5&amp;"",'Oxford Economics'!$A$6:$AZ$6,0))),'Oxford Economics'!$A$7:$A$1000,$C33,'Oxford Economics'!$B$7:$B$1000,Settings!$B$17)))),""))</f>
        <v>12333.75</v>
      </c>
      <c r="AD33" s="37" t="n">
        <f aca="false">IF($A33="","",IFERROR(1/(1/IF($B33="Residential",SUMIFS(INDEX('Oxford Economics'!$A$7:$AZ$1000,0,IFERROR(MATCH(AD$5,'Oxford Economics'!$A$6:$AZ$6,0),MATCH(AD$5&amp;"",'Oxford Economics'!$A$6:$AZ$6,0))),'Oxford Economics'!$A$7:$A$1000,$C33,'Oxford Economics'!$B$7:$B$1000,Settings!$B$11)-SUMIFS(INDEX('Oxford Economics'!$A$7:$AZ$1000,0,IFERROR(MATCH(AD$5,'Oxford Economics'!$A$6:$AZ$6,0),MATCH(AD$5&amp;"",'Oxford Economics'!$A$6:$AZ$6,0))),'Oxford Economics'!$A$7:$A$1000,$C33,'Oxford Economics'!$B$7:$B$1000,Settings!$B$13),SUMIFS(INDEX('Oxford Economics'!$A$7:$AZ$1000,0,IFERROR(MATCH(AD$5,'Oxford Economics'!$A$6:$AZ$6,0),MATCH(AD$5&amp;"",'Oxford Economics'!$A$6:$AZ$6,0))),'Oxford Economics'!$A$7:$A$1000,$C33,'Oxford Economics'!$B$7:$B$1000,Settings!$B$13)+SUMIFS(INDEX('Oxford Economics'!$A$7:$AZ$1000,0,IFERROR(MATCH(AD$5,'Oxford Economics'!$A$6:$AZ$6,0),MATCH(AD$5&amp;"",'Oxford Economics'!$A$6:$AZ$6,0))),'Oxford Economics'!$A$7:$A$1000,$C33,'Oxford Economics'!$B$7:$B$1000,Settings!$B$15)+IF(Settings!$B$17="",0,SUMIFS(INDEX('Oxford Economics'!$A$7:$AZ$1000,0,IFERROR(MATCH(AD$5,'Oxford Economics'!$A$6:$AZ$6,0),MATCH(AD$5&amp;"",'Oxford Economics'!$A$6:$AZ$6,0))),'Oxford Economics'!$A$7:$A$1000,$C33,'Oxford Economics'!$B$7:$B$1000,Settings!$B$17)))),""))</f>
        <v>13317.78</v>
      </c>
      <c r="AE33" s="37" t="n">
        <f aca="false">IF($A33="","",IFERROR(1/(1/IF($B33="Residential",SUMIFS(INDEX('Oxford Economics'!$A$7:$AZ$1000,0,IFERROR(MATCH(AE$5,'Oxford Economics'!$A$6:$AZ$6,0),MATCH(AE$5&amp;"",'Oxford Economics'!$A$6:$AZ$6,0))),'Oxford Economics'!$A$7:$A$1000,$C33,'Oxford Economics'!$B$7:$B$1000,Settings!$B$11)-SUMIFS(INDEX('Oxford Economics'!$A$7:$AZ$1000,0,IFERROR(MATCH(AE$5,'Oxford Economics'!$A$6:$AZ$6,0),MATCH(AE$5&amp;"",'Oxford Economics'!$A$6:$AZ$6,0))),'Oxford Economics'!$A$7:$A$1000,$C33,'Oxford Economics'!$B$7:$B$1000,Settings!$B$13),SUMIFS(INDEX('Oxford Economics'!$A$7:$AZ$1000,0,IFERROR(MATCH(AE$5,'Oxford Economics'!$A$6:$AZ$6,0),MATCH(AE$5&amp;"",'Oxford Economics'!$A$6:$AZ$6,0))),'Oxford Economics'!$A$7:$A$1000,$C33,'Oxford Economics'!$B$7:$B$1000,Settings!$B$13)+SUMIFS(INDEX('Oxford Economics'!$A$7:$AZ$1000,0,IFERROR(MATCH(AE$5,'Oxford Economics'!$A$6:$AZ$6,0),MATCH(AE$5&amp;"",'Oxford Economics'!$A$6:$AZ$6,0))),'Oxford Economics'!$A$7:$A$1000,$C33,'Oxford Economics'!$B$7:$B$1000,Settings!$B$15)+IF(Settings!$B$17="",0,SUMIFS(INDEX('Oxford Economics'!$A$7:$AZ$1000,0,IFERROR(MATCH(AE$5,'Oxford Economics'!$A$6:$AZ$6,0),MATCH(AE$5&amp;"",'Oxford Economics'!$A$6:$AZ$6,0))),'Oxford Economics'!$A$7:$A$1000,$C33,'Oxford Economics'!$B$7:$B$1000,Settings!$B$17)))),""))</f>
        <v>15001.09</v>
      </c>
      <c r="AF33" s="37" t="n">
        <f aca="false">IF($A33="","",IFERROR(1/(1/IF($B33="Residential",SUMIFS(INDEX('Oxford Economics'!$A$7:$AZ$1000,0,IFERROR(MATCH(AF$5,'Oxford Economics'!$A$6:$AZ$6,0),MATCH(AF$5&amp;"",'Oxford Economics'!$A$6:$AZ$6,0))),'Oxford Economics'!$A$7:$A$1000,$C33,'Oxford Economics'!$B$7:$B$1000,Settings!$B$11)-SUMIFS(INDEX('Oxford Economics'!$A$7:$AZ$1000,0,IFERROR(MATCH(AF$5,'Oxford Economics'!$A$6:$AZ$6,0),MATCH(AF$5&amp;"",'Oxford Economics'!$A$6:$AZ$6,0))),'Oxford Economics'!$A$7:$A$1000,$C33,'Oxford Economics'!$B$7:$B$1000,Settings!$B$13),SUMIFS(INDEX('Oxford Economics'!$A$7:$AZ$1000,0,IFERROR(MATCH(AF$5,'Oxford Economics'!$A$6:$AZ$6,0),MATCH(AF$5&amp;"",'Oxford Economics'!$A$6:$AZ$6,0))),'Oxford Economics'!$A$7:$A$1000,$C33,'Oxford Economics'!$B$7:$B$1000,Settings!$B$13)+SUMIFS(INDEX('Oxford Economics'!$A$7:$AZ$1000,0,IFERROR(MATCH(AF$5,'Oxford Economics'!$A$6:$AZ$6,0),MATCH(AF$5&amp;"",'Oxford Economics'!$A$6:$AZ$6,0))),'Oxford Economics'!$A$7:$A$1000,$C33,'Oxford Economics'!$B$7:$B$1000,Settings!$B$15)+IF(Settings!$B$17="",0,SUMIFS(INDEX('Oxford Economics'!$A$7:$AZ$1000,0,IFERROR(MATCH(AF$5,'Oxford Economics'!$A$6:$AZ$6,0),MATCH(AF$5&amp;"",'Oxford Economics'!$A$6:$AZ$6,0))),'Oxford Economics'!$A$7:$A$1000,$C33,'Oxford Economics'!$B$7:$B$1000,Settings!$B$17)))),""))</f>
        <v>16179.1</v>
      </c>
      <c r="AG33" s="37" t="n">
        <f aca="false">IF($A33="","",IFERROR(1/(1/IF($B33="Residential",SUMIFS(INDEX('Oxford Economics'!$A$7:$AZ$1000,0,IFERROR(MATCH(AG$5,'Oxford Economics'!$A$6:$AZ$6,0),MATCH(AG$5&amp;"",'Oxford Economics'!$A$6:$AZ$6,0))),'Oxford Economics'!$A$7:$A$1000,$C33,'Oxford Economics'!$B$7:$B$1000,Settings!$B$11)-SUMIFS(INDEX('Oxford Economics'!$A$7:$AZ$1000,0,IFERROR(MATCH(AG$5,'Oxford Economics'!$A$6:$AZ$6,0),MATCH(AG$5&amp;"",'Oxford Economics'!$A$6:$AZ$6,0))),'Oxford Economics'!$A$7:$A$1000,$C33,'Oxford Economics'!$B$7:$B$1000,Settings!$B$13),SUMIFS(INDEX('Oxford Economics'!$A$7:$AZ$1000,0,IFERROR(MATCH(AG$5,'Oxford Economics'!$A$6:$AZ$6,0),MATCH(AG$5&amp;"",'Oxford Economics'!$A$6:$AZ$6,0))),'Oxford Economics'!$A$7:$A$1000,$C33,'Oxford Economics'!$B$7:$B$1000,Settings!$B$13)+SUMIFS(INDEX('Oxford Economics'!$A$7:$AZ$1000,0,IFERROR(MATCH(AG$5,'Oxford Economics'!$A$6:$AZ$6,0),MATCH(AG$5&amp;"",'Oxford Economics'!$A$6:$AZ$6,0))),'Oxford Economics'!$A$7:$A$1000,$C33,'Oxford Economics'!$B$7:$B$1000,Settings!$B$15)+IF(Settings!$B$17="",0,SUMIFS(INDEX('Oxford Economics'!$A$7:$AZ$1000,0,IFERROR(MATCH(AG$5,'Oxford Economics'!$A$6:$AZ$6,0),MATCH(AG$5&amp;"",'Oxford Economics'!$A$6:$AZ$6,0))),'Oxford Economics'!$A$7:$A$1000,$C33,'Oxford Economics'!$B$7:$B$1000,Settings!$B$17)))),""))</f>
        <v>16097.3</v>
      </c>
      <c r="AH33" s="37" t="n">
        <f aca="false">IF($A33="","",IFERROR(1/(1/IF($B33="Residential",SUMIFS(INDEX('Oxford Economics'!$A$7:$AZ$1000,0,IFERROR(MATCH(AH$5,'Oxford Economics'!$A$6:$AZ$6,0),MATCH(AH$5&amp;"",'Oxford Economics'!$A$6:$AZ$6,0))),'Oxford Economics'!$A$7:$A$1000,$C33,'Oxford Economics'!$B$7:$B$1000,Settings!$B$11)-SUMIFS(INDEX('Oxford Economics'!$A$7:$AZ$1000,0,IFERROR(MATCH(AH$5,'Oxford Economics'!$A$6:$AZ$6,0),MATCH(AH$5&amp;"",'Oxford Economics'!$A$6:$AZ$6,0))),'Oxford Economics'!$A$7:$A$1000,$C33,'Oxford Economics'!$B$7:$B$1000,Settings!$B$13),SUMIFS(INDEX('Oxford Economics'!$A$7:$AZ$1000,0,IFERROR(MATCH(AH$5,'Oxford Economics'!$A$6:$AZ$6,0),MATCH(AH$5&amp;"",'Oxford Economics'!$A$6:$AZ$6,0))),'Oxford Economics'!$A$7:$A$1000,$C33,'Oxford Economics'!$B$7:$B$1000,Settings!$B$13)+SUMIFS(INDEX('Oxford Economics'!$A$7:$AZ$1000,0,IFERROR(MATCH(AH$5,'Oxford Economics'!$A$6:$AZ$6,0),MATCH(AH$5&amp;"",'Oxford Economics'!$A$6:$AZ$6,0))),'Oxford Economics'!$A$7:$A$1000,$C33,'Oxford Economics'!$B$7:$B$1000,Settings!$B$15)+IF(Settings!$B$17="",0,SUMIFS(INDEX('Oxford Economics'!$A$7:$AZ$1000,0,IFERROR(MATCH(AH$5,'Oxford Economics'!$A$6:$AZ$6,0),MATCH(AH$5&amp;"",'Oxford Economics'!$A$6:$AZ$6,0))),'Oxford Economics'!$A$7:$A$1000,$C33,'Oxford Economics'!$B$7:$B$1000,Settings!$B$17)))),""))</f>
        <v>16328.99</v>
      </c>
      <c r="AI33" s="37" t="n">
        <f aca="false">IF($A33="","",IFERROR(1/(1/IF($B33="Residential",SUMIFS(INDEX('Oxford Economics'!$A$7:$AZ$1000,0,IFERROR(MATCH(AI$5,'Oxford Economics'!$A$6:$AZ$6,0),MATCH(AI$5&amp;"",'Oxford Economics'!$A$6:$AZ$6,0))),'Oxford Economics'!$A$7:$A$1000,$C33,'Oxford Economics'!$B$7:$B$1000,Settings!$B$11)-SUMIFS(INDEX('Oxford Economics'!$A$7:$AZ$1000,0,IFERROR(MATCH(AI$5,'Oxford Economics'!$A$6:$AZ$6,0),MATCH(AI$5&amp;"",'Oxford Economics'!$A$6:$AZ$6,0))),'Oxford Economics'!$A$7:$A$1000,$C33,'Oxford Economics'!$B$7:$B$1000,Settings!$B$13),SUMIFS(INDEX('Oxford Economics'!$A$7:$AZ$1000,0,IFERROR(MATCH(AI$5,'Oxford Economics'!$A$6:$AZ$6,0),MATCH(AI$5&amp;"",'Oxford Economics'!$A$6:$AZ$6,0))),'Oxford Economics'!$A$7:$A$1000,$C33,'Oxford Economics'!$B$7:$B$1000,Settings!$B$13)+SUMIFS(INDEX('Oxford Economics'!$A$7:$AZ$1000,0,IFERROR(MATCH(AI$5,'Oxford Economics'!$A$6:$AZ$6,0),MATCH(AI$5&amp;"",'Oxford Economics'!$A$6:$AZ$6,0))),'Oxford Economics'!$A$7:$A$1000,$C33,'Oxford Economics'!$B$7:$B$1000,Settings!$B$15)+IF(Settings!$B$17="",0,SUMIFS(INDEX('Oxford Economics'!$A$7:$AZ$1000,0,IFERROR(MATCH(AI$5,'Oxford Economics'!$A$6:$AZ$6,0),MATCH(AI$5&amp;"",'Oxford Economics'!$A$6:$AZ$6,0))),'Oxford Economics'!$A$7:$A$1000,$C33,'Oxford Economics'!$B$7:$B$1000,Settings!$B$17)))),""))</f>
        <v>16383.69</v>
      </c>
      <c r="AJ33" s="37" t="n">
        <f aca="false">IF($A33="","",IFERROR(1/(1/IF($B33="Residential",SUMIFS(INDEX('Oxford Economics'!$A$7:$AZ$1000,0,IFERROR(MATCH(AJ$5,'Oxford Economics'!$A$6:$AZ$6,0),MATCH(AJ$5&amp;"",'Oxford Economics'!$A$6:$AZ$6,0))),'Oxford Economics'!$A$7:$A$1000,$C33,'Oxford Economics'!$B$7:$B$1000,Settings!$B$11)-SUMIFS(INDEX('Oxford Economics'!$A$7:$AZ$1000,0,IFERROR(MATCH(AJ$5,'Oxford Economics'!$A$6:$AZ$6,0),MATCH(AJ$5&amp;"",'Oxford Economics'!$A$6:$AZ$6,0))),'Oxford Economics'!$A$7:$A$1000,$C33,'Oxford Economics'!$B$7:$B$1000,Settings!$B$13),SUMIFS(INDEX('Oxford Economics'!$A$7:$AZ$1000,0,IFERROR(MATCH(AJ$5,'Oxford Economics'!$A$6:$AZ$6,0),MATCH(AJ$5&amp;"",'Oxford Economics'!$A$6:$AZ$6,0))),'Oxford Economics'!$A$7:$A$1000,$C33,'Oxford Economics'!$B$7:$B$1000,Settings!$B$13)+SUMIFS(INDEX('Oxford Economics'!$A$7:$AZ$1000,0,IFERROR(MATCH(AJ$5,'Oxford Economics'!$A$6:$AZ$6,0),MATCH(AJ$5&amp;"",'Oxford Economics'!$A$6:$AZ$6,0))),'Oxford Economics'!$A$7:$A$1000,$C33,'Oxford Economics'!$B$7:$B$1000,Settings!$B$15)+IF(Settings!$B$17="",0,SUMIFS(INDEX('Oxford Economics'!$A$7:$AZ$1000,0,IFERROR(MATCH(AJ$5,'Oxford Economics'!$A$6:$AZ$6,0),MATCH(AJ$5&amp;"",'Oxford Economics'!$A$6:$AZ$6,0))),'Oxford Economics'!$A$7:$A$1000,$C33,'Oxford Economics'!$B$7:$B$1000,Settings!$B$17)))),""))</f>
        <v>16903.59</v>
      </c>
      <c r="AK33" s="37" t="n">
        <f aca="false">IF($A33="","",IFERROR(1/(1/IF($B33="Residential",SUMIFS(INDEX('Oxford Economics'!$A$7:$AZ$1000,0,IFERROR(MATCH(AK$5,'Oxford Economics'!$A$6:$AZ$6,0),MATCH(AK$5&amp;"",'Oxford Economics'!$A$6:$AZ$6,0))),'Oxford Economics'!$A$7:$A$1000,$C33,'Oxford Economics'!$B$7:$B$1000,Settings!$B$11)-SUMIFS(INDEX('Oxford Economics'!$A$7:$AZ$1000,0,IFERROR(MATCH(AK$5,'Oxford Economics'!$A$6:$AZ$6,0),MATCH(AK$5&amp;"",'Oxford Economics'!$A$6:$AZ$6,0))),'Oxford Economics'!$A$7:$A$1000,$C33,'Oxford Economics'!$B$7:$B$1000,Settings!$B$13),SUMIFS(INDEX('Oxford Economics'!$A$7:$AZ$1000,0,IFERROR(MATCH(AK$5,'Oxford Economics'!$A$6:$AZ$6,0),MATCH(AK$5&amp;"",'Oxford Economics'!$A$6:$AZ$6,0))),'Oxford Economics'!$A$7:$A$1000,$C33,'Oxford Economics'!$B$7:$B$1000,Settings!$B$13)+SUMIFS(INDEX('Oxford Economics'!$A$7:$AZ$1000,0,IFERROR(MATCH(AK$5,'Oxford Economics'!$A$6:$AZ$6,0),MATCH(AK$5&amp;"",'Oxford Economics'!$A$6:$AZ$6,0))),'Oxford Economics'!$A$7:$A$1000,$C33,'Oxford Economics'!$B$7:$B$1000,Settings!$B$15)+IF(Settings!$B$17="",0,SUMIFS(INDEX('Oxford Economics'!$A$7:$AZ$1000,0,IFERROR(MATCH(AK$5,'Oxford Economics'!$A$6:$AZ$6,0),MATCH(AK$5&amp;"",'Oxford Economics'!$A$6:$AZ$6,0))),'Oxford Economics'!$A$7:$A$1000,$C33,'Oxford Economics'!$B$7:$B$1000,Settings!$B$17)))),""))</f>
        <v>17357.46</v>
      </c>
      <c r="AL33" s="37" t="n">
        <f aca="false">IF($A33="","",IFERROR(1/(1/IF($B33="Residential",SUMIFS(INDEX('Oxford Economics'!$A$7:$AZ$1000,0,IFERROR(MATCH(AL$5,'Oxford Economics'!$A$6:$AZ$6,0),MATCH(AL$5&amp;"",'Oxford Economics'!$A$6:$AZ$6,0))),'Oxford Economics'!$A$7:$A$1000,$C33,'Oxford Economics'!$B$7:$B$1000,Settings!$B$11)-SUMIFS(INDEX('Oxford Economics'!$A$7:$AZ$1000,0,IFERROR(MATCH(AL$5,'Oxford Economics'!$A$6:$AZ$6,0),MATCH(AL$5&amp;"",'Oxford Economics'!$A$6:$AZ$6,0))),'Oxford Economics'!$A$7:$A$1000,$C33,'Oxford Economics'!$B$7:$B$1000,Settings!$B$13),SUMIFS(INDEX('Oxford Economics'!$A$7:$AZ$1000,0,IFERROR(MATCH(AL$5,'Oxford Economics'!$A$6:$AZ$6,0),MATCH(AL$5&amp;"",'Oxford Economics'!$A$6:$AZ$6,0))),'Oxford Economics'!$A$7:$A$1000,$C33,'Oxford Economics'!$B$7:$B$1000,Settings!$B$13)+SUMIFS(INDEX('Oxford Economics'!$A$7:$AZ$1000,0,IFERROR(MATCH(AL$5,'Oxford Economics'!$A$6:$AZ$6,0),MATCH(AL$5&amp;"",'Oxford Economics'!$A$6:$AZ$6,0))),'Oxford Economics'!$A$7:$A$1000,$C33,'Oxford Economics'!$B$7:$B$1000,Settings!$B$15)+IF(Settings!$B$17="",0,SUMIFS(INDEX('Oxford Economics'!$A$7:$AZ$1000,0,IFERROR(MATCH(AL$5,'Oxford Economics'!$A$6:$AZ$6,0),MATCH(AL$5&amp;"",'Oxford Economics'!$A$6:$AZ$6,0))),'Oxford Economics'!$A$7:$A$1000,$C33,'Oxford Economics'!$B$7:$B$1000,Settings!$B$17)))),""))</f>
        <v>17897.07</v>
      </c>
      <c r="AM33" s="37" t="n">
        <f aca="false">IF($A33="","",IFERROR(1/(1/IF($B33="Residential",SUMIFS(INDEX('Oxford Economics'!$A$7:$AZ$1000,0,IFERROR(MATCH(AM$5,'Oxford Economics'!$A$6:$AZ$6,0),MATCH(AM$5&amp;"",'Oxford Economics'!$A$6:$AZ$6,0))),'Oxford Economics'!$A$7:$A$1000,$C33,'Oxford Economics'!$B$7:$B$1000,Settings!$B$11)-SUMIFS(INDEX('Oxford Economics'!$A$7:$AZ$1000,0,IFERROR(MATCH(AM$5,'Oxford Economics'!$A$6:$AZ$6,0),MATCH(AM$5&amp;"",'Oxford Economics'!$A$6:$AZ$6,0))),'Oxford Economics'!$A$7:$A$1000,$C33,'Oxford Economics'!$B$7:$B$1000,Settings!$B$13),SUMIFS(INDEX('Oxford Economics'!$A$7:$AZ$1000,0,IFERROR(MATCH(AM$5,'Oxford Economics'!$A$6:$AZ$6,0),MATCH(AM$5&amp;"",'Oxford Economics'!$A$6:$AZ$6,0))),'Oxford Economics'!$A$7:$A$1000,$C33,'Oxford Economics'!$B$7:$B$1000,Settings!$B$13)+SUMIFS(INDEX('Oxford Economics'!$A$7:$AZ$1000,0,IFERROR(MATCH(AM$5,'Oxford Economics'!$A$6:$AZ$6,0),MATCH(AM$5&amp;"",'Oxford Economics'!$A$6:$AZ$6,0))),'Oxford Economics'!$A$7:$A$1000,$C33,'Oxford Economics'!$B$7:$B$1000,Settings!$B$15)+IF(Settings!$B$17="",0,SUMIFS(INDEX('Oxford Economics'!$A$7:$AZ$1000,0,IFERROR(MATCH(AM$5,'Oxford Economics'!$A$6:$AZ$6,0),MATCH(AM$5&amp;"",'Oxford Economics'!$A$6:$AZ$6,0))),'Oxford Economics'!$A$7:$A$1000,$C33,'Oxford Economics'!$B$7:$B$1000,Settings!$B$17)))),""))</f>
        <v>18280.31</v>
      </c>
    </row>
    <row r="34" customFormat="false" ht="15" hidden="false" customHeight="false" outlineLevel="0" collapsed="false">
      <c r="A34" s="36" t="str">
        <f aca="false">IF('Raw data'!$A34="","",'Raw data'!$A34)</f>
        <v>Belgium</v>
      </c>
      <c r="B34" s="36" t="str">
        <f aca="false">IF($A34="","",'Raw data'!$C34)</f>
        <v>Residential</v>
      </c>
      <c r="C34" s="36" t="str">
        <f aca="false">IF($A34="","",IF('Raw data'!$D34="",$A34,'Raw data'!$D34))</f>
        <v>Belgium</v>
      </c>
      <c r="D34" s="37" t="n">
        <f aca="false">IF($A34="","",IF(AND(ISNUMBER(P34),ISNUMBER(AB34)),P34+AB34,""))</f>
        <v>10309.84</v>
      </c>
      <c r="E34" s="37" t="n">
        <f aca="false">IF($A34="","",IF(AND(ISNUMBER(Q34),ISNUMBER(AC34)),Q34+AC34,""))</f>
        <v>11222.04</v>
      </c>
      <c r="F34" s="37" t="n">
        <f aca="false">IF($A34="","",IF(AND(ISNUMBER(R34),ISNUMBER(AD34)),R34+AD34,""))</f>
        <v>11215.13</v>
      </c>
      <c r="G34" s="37" t="n">
        <f aca="false">IF($A34="","",IF(AND(ISNUMBER(S34),ISNUMBER(AE34)),S34+AE34,""))</f>
        <v>10946.37</v>
      </c>
      <c r="H34" s="37" t="n">
        <f aca="false">IF($A34="","",IF(AND(ISNUMBER(T34),ISNUMBER(AF34)),T34+AF34,""))</f>
        <v>10983.09</v>
      </c>
      <c r="I34" s="37" t="n">
        <f aca="false">IF($A34="","",IF(AND(ISNUMBER(U34),ISNUMBER(AG34)),U34+AG34,""))</f>
        <v>10603.3</v>
      </c>
      <c r="J34" s="37" t="n">
        <f aca="false">IF($A34="","",IF(AND(ISNUMBER(V34),ISNUMBER(AH34)),V34+AH34,""))</f>
        <v>10284.51</v>
      </c>
      <c r="K34" s="37" t="n">
        <f aca="false">IF($A34="","",IF(AND(ISNUMBER(W34),ISNUMBER(AI34)),W34+AI34,""))</f>
        <v>10361.53</v>
      </c>
      <c r="L34" s="37" t="n">
        <f aca="false">IF($A34="","",IF(AND(ISNUMBER(X34),ISNUMBER(AJ34)),X34+AJ34,""))</f>
        <v>10674.52</v>
      </c>
      <c r="M34" s="37" t="n">
        <f aca="false">IF($A34="","",IF(AND(ISNUMBER(Y34),ISNUMBER(AK34)),Y34+AK34,""))</f>
        <v>10942.69</v>
      </c>
      <c r="N34" s="37" t="n">
        <f aca="false">IF($A34="","",IF(AND(ISNUMBER(Z34),ISNUMBER(AL34)),Z34+AL34,""))</f>
        <v>11264.14</v>
      </c>
      <c r="O34" s="37" t="n">
        <f aca="false">IF($A34="","",IF(AND(ISNUMBER(AA34),ISNUMBER(AM34)),AA34+AM34,""))</f>
        <v>11514.62</v>
      </c>
      <c r="P34" s="37" t="n">
        <f aca="false">IF($A34="","",IFERROR(1/(1/IF($B34="Residential",SUMIFS(INDEX('Oxford Economics'!$A$7:$AZ$1000,0,IFERROR(MATCH(P$5,'Oxford Economics'!$A$6:$AZ$6,0),MATCH(P$5&amp;"",'Oxford Economics'!$A$6:$AZ$6,0))),'Oxford Economics'!$A$7:$A$1000,$C34,'Oxford Economics'!$B$7:$B$1000,Settings!$B$12)-SUMIFS(INDEX('Oxford Economics'!$A$7:$AZ$1000,0,IFERROR(MATCH(P$5,'Oxford Economics'!$A$6:$AZ$6,0),MATCH(P$5&amp;"",'Oxford Economics'!$A$6:$AZ$6,0))),'Oxford Economics'!$A$7:$A$1000,$C34,'Oxford Economics'!$B$7:$B$1000,Settings!$B$14),SUMIFS(INDEX('Oxford Economics'!$A$7:$AZ$1000,0,IFERROR(MATCH(P$5,'Oxford Economics'!$A$6:$AZ$6,0),MATCH(P$5&amp;"",'Oxford Economics'!$A$6:$AZ$6,0))),'Oxford Economics'!$A$7:$A$1000,$C34,'Oxford Economics'!$B$7:$B$1000,Settings!$B$14)+SUMIFS(INDEX('Oxford Economics'!$A$7:$AZ$1000,0,IFERROR(MATCH(P$5,'Oxford Economics'!$A$6:$AZ$6,0),MATCH(P$5&amp;"",'Oxford Economics'!$A$6:$AZ$6,0))),'Oxford Economics'!$A$7:$A$1000,$C34,'Oxford Economics'!$B$7:$B$1000,Settings!$B$16)+IF(Settings!$B$18="",0,SUMIFS(INDEX('Oxford Economics'!$A$7:$AZ$1000,0,IFERROR(MATCH(P$5,'Oxford Economics'!$A$6:$AZ$6,0),MATCH(P$5&amp;"",'Oxford Economics'!$A$6:$AZ$6,0))),'Oxford Economics'!$A$7:$A$1000,$C34,'Oxford Economics'!$B$7:$B$1000,Settings!$B$18)))),""))</f>
        <v>6694.52</v>
      </c>
      <c r="Q34" s="37" t="n">
        <f aca="false">IF($A34="","",IFERROR(1/(1/IF($B34="Residential",SUMIFS(INDEX('Oxford Economics'!$A$7:$AZ$1000,0,IFERROR(MATCH(Q$5,'Oxford Economics'!$A$6:$AZ$6,0),MATCH(Q$5&amp;"",'Oxford Economics'!$A$6:$AZ$6,0))),'Oxford Economics'!$A$7:$A$1000,$C34,'Oxford Economics'!$B$7:$B$1000,Settings!$B$12)-SUMIFS(INDEX('Oxford Economics'!$A$7:$AZ$1000,0,IFERROR(MATCH(Q$5,'Oxford Economics'!$A$6:$AZ$6,0),MATCH(Q$5&amp;"",'Oxford Economics'!$A$6:$AZ$6,0))),'Oxford Economics'!$A$7:$A$1000,$C34,'Oxford Economics'!$B$7:$B$1000,Settings!$B$14),SUMIFS(INDEX('Oxford Economics'!$A$7:$AZ$1000,0,IFERROR(MATCH(Q$5,'Oxford Economics'!$A$6:$AZ$6,0),MATCH(Q$5&amp;"",'Oxford Economics'!$A$6:$AZ$6,0))),'Oxford Economics'!$A$7:$A$1000,$C34,'Oxford Economics'!$B$7:$B$1000,Settings!$B$14)+SUMIFS(INDEX('Oxford Economics'!$A$7:$AZ$1000,0,IFERROR(MATCH(Q$5,'Oxford Economics'!$A$6:$AZ$6,0),MATCH(Q$5&amp;"",'Oxford Economics'!$A$6:$AZ$6,0))),'Oxford Economics'!$A$7:$A$1000,$C34,'Oxford Economics'!$B$7:$B$1000,Settings!$B$16)+IF(Settings!$B$18="",0,SUMIFS(INDEX('Oxford Economics'!$A$7:$AZ$1000,0,IFERROR(MATCH(Q$5,'Oxford Economics'!$A$6:$AZ$6,0),MATCH(Q$5&amp;"",'Oxford Economics'!$A$6:$AZ$6,0))),'Oxford Economics'!$A$7:$A$1000,$C34,'Oxford Economics'!$B$7:$B$1000,Settings!$B$18)))),""))</f>
        <v>7534.95</v>
      </c>
      <c r="R34" s="37" t="n">
        <f aca="false">IF($A34="","",IFERROR(1/(1/IF($B34="Residential",SUMIFS(INDEX('Oxford Economics'!$A$7:$AZ$1000,0,IFERROR(MATCH(R$5,'Oxford Economics'!$A$6:$AZ$6,0),MATCH(R$5&amp;"",'Oxford Economics'!$A$6:$AZ$6,0))),'Oxford Economics'!$A$7:$A$1000,$C34,'Oxford Economics'!$B$7:$B$1000,Settings!$B$12)-SUMIFS(INDEX('Oxford Economics'!$A$7:$AZ$1000,0,IFERROR(MATCH(R$5,'Oxford Economics'!$A$6:$AZ$6,0),MATCH(R$5&amp;"",'Oxford Economics'!$A$6:$AZ$6,0))),'Oxford Economics'!$A$7:$A$1000,$C34,'Oxford Economics'!$B$7:$B$1000,Settings!$B$14),SUMIFS(INDEX('Oxford Economics'!$A$7:$AZ$1000,0,IFERROR(MATCH(R$5,'Oxford Economics'!$A$6:$AZ$6,0),MATCH(R$5&amp;"",'Oxford Economics'!$A$6:$AZ$6,0))),'Oxford Economics'!$A$7:$A$1000,$C34,'Oxford Economics'!$B$7:$B$1000,Settings!$B$14)+SUMIFS(INDEX('Oxford Economics'!$A$7:$AZ$1000,0,IFERROR(MATCH(R$5,'Oxford Economics'!$A$6:$AZ$6,0),MATCH(R$5&amp;"",'Oxford Economics'!$A$6:$AZ$6,0))),'Oxford Economics'!$A$7:$A$1000,$C34,'Oxford Economics'!$B$7:$B$1000,Settings!$B$16)+IF(Settings!$B$18="",0,SUMIFS(INDEX('Oxford Economics'!$A$7:$AZ$1000,0,IFERROR(MATCH(R$5,'Oxford Economics'!$A$6:$AZ$6,0),MATCH(R$5&amp;"",'Oxford Economics'!$A$6:$AZ$6,0))),'Oxford Economics'!$A$7:$A$1000,$C34,'Oxford Economics'!$B$7:$B$1000,Settings!$B$18)))),""))</f>
        <v>7716.04</v>
      </c>
      <c r="S34" s="37" t="n">
        <f aca="false">IF($A34="","",IFERROR(1/(1/IF($B34="Residential",SUMIFS(INDEX('Oxford Economics'!$A$7:$AZ$1000,0,IFERROR(MATCH(S$5,'Oxford Economics'!$A$6:$AZ$6,0),MATCH(S$5&amp;"",'Oxford Economics'!$A$6:$AZ$6,0))),'Oxford Economics'!$A$7:$A$1000,$C34,'Oxford Economics'!$B$7:$B$1000,Settings!$B$12)-SUMIFS(INDEX('Oxford Economics'!$A$7:$AZ$1000,0,IFERROR(MATCH(S$5,'Oxford Economics'!$A$6:$AZ$6,0),MATCH(S$5&amp;"",'Oxford Economics'!$A$6:$AZ$6,0))),'Oxford Economics'!$A$7:$A$1000,$C34,'Oxford Economics'!$B$7:$B$1000,Settings!$B$14),SUMIFS(INDEX('Oxford Economics'!$A$7:$AZ$1000,0,IFERROR(MATCH(S$5,'Oxford Economics'!$A$6:$AZ$6,0),MATCH(S$5&amp;"",'Oxford Economics'!$A$6:$AZ$6,0))),'Oxford Economics'!$A$7:$A$1000,$C34,'Oxford Economics'!$B$7:$B$1000,Settings!$B$14)+SUMIFS(INDEX('Oxford Economics'!$A$7:$AZ$1000,0,IFERROR(MATCH(S$5,'Oxford Economics'!$A$6:$AZ$6,0),MATCH(S$5&amp;"",'Oxford Economics'!$A$6:$AZ$6,0))),'Oxford Economics'!$A$7:$A$1000,$C34,'Oxford Economics'!$B$7:$B$1000,Settings!$B$16)+IF(Settings!$B$18="",0,SUMIFS(INDEX('Oxford Economics'!$A$7:$AZ$1000,0,IFERROR(MATCH(S$5,'Oxford Economics'!$A$6:$AZ$6,0),MATCH(S$5&amp;"",'Oxford Economics'!$A$6:$AZ$6,0))),'Oxford Economics'!$A$7:$A$1000,$C34,'Oxford Economics'!$B$7:$B$1000,Settings!$B$18)))),""))</f>
        <v>7652.44</v>
      </c>
      <c r="T34" s="37" t="n">
        <f aca="false">IF($A34="","",IFERROR(1/(1/IF($B34="Residential",SUMIFS(INDEX('Oxford Economics'!$A$7:$AZ$1000,0,IFERROR(MATCH(T$5,'Oxford Economics'!$A$6:$AZ$6,0),MATCH(T$5&amp;"",'Oxford Economics'!$A$6:$AZ$6,0))),'Oxford Economics'!$A$7:$A$1000,$C34,'Oxford Economics'!$B$7:$B$1000,Settings!$B$12)-SUMIFS(INDEX('Oxford Economics'!$A$7:$AZ$1000,0,IFERROR(MATCH(T$5,'Oxford Economics'!$A$6:$AZ$6,0),MATCH(T$5&amp;"",'Oxford Economics'!$A$6:$AZ$6,0))),'Oxford Economics'!$A$7:$A$1000,$C34,'Oxford Economics'!$B$7:$B$1000,Settings!$B$14),SUMIFS(INDEX('Oxford Economics'!$A$7:$AZ$1000,0,IFERROR(MATCH(T$5,'Oxford Economics'!$A$6:$AZ$6,0),MATCH(T$5&amp;"",'Oxford Economics'!$A$6:$AZ$6,0))),'Oxford Economics'!$A$7:$A$1000,$C34,'Oxford Economics'!$B$7:$B$1000,Settings!$B$14)+SUMIFS(INDEX('Oxford Economics'!$A$7:$AZ$1000,0,IFERROR(MATCH(T$5,'Oxford Economics'!$A$6:$AZ$6,0),MATCH(T$5&amp;"",'Oxford Economics'!$A$6:$AZ$6,0))),'Oxford Economics'!$A$7:$A$1000,$C34,'Oxford Economics'!$B$7:$B$1000,Settings!$B$16)+IF(Settings!$B$18="",0,SUMIFS(INDEX('Oxford Economics'!$A$7:$AZ$1000,0,IFERROR(MATCH(T$5,'Oxford Economics'!$A$6:$AZ$6,0),MATCH(T$5&amp;"",'Oxford Economics'!$A$6:$AZ$6,0))),'Oxford Economics'!$A$7:$A$1000,$C34,'Oxford Economics'!$B$7:$B$1000,Settings!$B$18)))),""))</f>
        <v>7935.55</v>
      </c>
      <c r="U34" s="37" t="n">
        <f aca="false">IF($A34="","",IFERROR(1/(1/IF($B34="Residential",SUMIFS(INDEX('Oxford Economics'!$A$7:$AZ$1000,0,IFERROR(MATCH(U$5,'Oxford Economics'!$A$6:$AZ$6,0),MATCH(U$5&amp;"",'Oxford Economics'!$A$6:$AZ$6,0))),'Oxford Economics'!$A$7:$A$1000,$C34,'Oxford Economics'!$B$7:$B$1000,Settings!$B$12)-SUMIFS(INDEX('Oxford Economics'!$A$7:$AZ$1000,0,IFERROR(MATCH(U$5,'Oxford Economics'!$A$6:$AZ$6,0),MATCH(U$5&amp;"",'Oxford Economics'!$A$6:$AZ$6,0))),'Oxford Economics'!$A$7:$A$1000,$C34,'Oxford Economics'!$B$7:$B$1000,Settings!$B$14),SUMIFS(INDEX('Oxford Economics'!$A$7:$AZ$1000,0,IFERROR(MATCH(U$5,'Oxford Economics'!$A$6:$AZ$6,0),MATCH(U$5&amp;"",'Oxford Economics'!$A$6:$AZ$6,0))),'Oxford Economics'!$A$7:$A$1000,$C34,'Oxford Economics'!$B$7:$B$1000,Settings!$B$14)+SUMIFS(INDEX('Oxford Economics'!$A$7:$AZ$1000,0,IFERROR(MATCH(U$5,'Oxford Economics'!$A$6:$AZ$6,0),MATCH(U$5&amp;"",'Oxford Economics'!$A$6:$AZ$6,0))),'Oxford Economics'!$A$7:$A$1000,$C34,'Oxford Economics'!$B$7:$B$1000,Settings!$B$16)+IF(Settings!$B$18="",0,SUMIFS(INDEX('Oxford Economics'!$A$7:$AZ$1000,0,IFERROR(MATCH(U$5,'Oxford Economics'!$A$6:$AZ$6,0),MATCH(U$5&amp;"",'Oxford Economics'!$A$6:$AZ$6,0))),'Oxford Economics'!$A$7:$A$1000,$C34,'Oxford Economics'!$B$7:$B$1000,Settings!$B$18)))),""))</f>
        <v>7792.85</v>
      </c>
      <c r="V34" s="37" t="n">
        <f aca="false">IF($A34="","",IFERROR(1/(1/IF($B34="Residential",SUMIFS(INDEX('Oxford Economics'!$A$7:$AZ$1000,0,IFERROR(MATCH(V$5,'Oxford Economics'!$A$6:$AZ$6,0),MATCH(V$5&amp;"",'Oxford Economics'!$A$6:$AZ$6,0))),'Oxford Economics'!$A$7:$A$1000,$C34,'Oxford Economics'!$B$7:$B$1000,Settings!$B$12)-SUMIFS(INDEX('Oxford Economics'!$A$7:$AZ$1000,0,IFERROR(MATCH(V$5,'Oxford Economics'!$A$6:$AZ$6,0),MATCH(V$5&amp;"",'Oxford Economics'!$A$6:$AZ$6,0))),'Oxford Economics'!$A$7:$A$1000,$C34,'Oxford Economics'!$B$7:$B$1000,Settings!$B$14),SUMIFS(INDEX('Oxford Economics'!$A$7:$AZ$1000,0,IFERROR(MATCH(V$5,'Oxford Economics'!$A$6:$AZ$6,0),MATCH(V$5&amp;"",'Oxford Economics'!$A$6:$AZ$6,0))),'Oxford Economics'!$A$7:$A$1000,$C34,'Oxford Economics'!$B$7:$B$1000,Settings!$B$14)+SUMIFS(INDEX('Oxford Economics'!$A$7:$AZ$1000,0,IFERROR(MATCH(V$5,'Oxford Economics'!$A$6:$AZ$6,0),MATCH(V$5&amp;"",'Oxford Economics'!$A$6:$AZ$6,0))),'Oxford Economics'!$A$7:$A$1000,$C34,'Oxford Economics'!$B$7:$B$1000,Settings!$B$16)+IF(Settings!$B$18="",0,SUMIFS(INDEX('Oxford Economics'!$A$7:$AZ$1000,0,IFERROR(MATCH(V$5,'Oxford Economics'!$A$6:$AZ$6,0),MATCH(V$5&amp;"",'Oxford Economics'!$A$6:$AZ$6,0))),'Oxford Economics'!$A$7:$A$1000,$C34,'Oxford Economics'!$B$7:$B$1000,Settings!$B$18)))),""))</f>
        <v>7705.69</v>
      </c>
      <c r="W34" s="37" t="n">
        <f aca="false">IF($A34="","",IFERROR(1/(1/IF($B34="Residential",SUMIFS(INDEX('Oxford Economics'!$A$7:$AZ$1000,0,IFERROR(MATCH(W$5,'Oxford Economics'!$A$6:$AZ$6,0),MATCH(W$5&amp;"",'Oxford Economics'!$A$6:$AZ$6,0))),'Oxford Economics'!$A$7:$A$1000,$C34,'Oxford Economics'!$B$7:$B$1000,Settings!$B$12)-SUMIFS(INDEX('Oxford Economics'!$A$7:$AZ$1000,0,IFERROR(MATCH(W$5,'Oxford Economics'!$A$6:$AZ$6,0),MATCH(W$5&amp;"",'Oxford Economics'!$A$6:$AZ$6,0))),'Oxford Economics'!$A$7:$A$1000,$C34,'Oxford Economics'!$B$7:$B$1000,Settings!$B$14),SUMIFS(INDEX('Oxford Economics'!$A$7:$AZ$1000,0,IFERROR(MATCH(W$5,'Oxford Economics'!$A$6:$AZ$6,0),MATCH(W$5&amp;"",'Oxford Economics'!$A$6:$AZ$6,0))),'Oxford Economics'!$A$7:$A$1000,$C34,'Oxford Economics'!$B$7:$B$1000,Settings!$B$14)+SUMIFS(INDEX('Oxford Economics'!$A$7:$AZ$1000,0,IFERROR(MATCH(W$5,'Oxford Economics'!$A$6:$AZ$6,0),MATCH(W$5&amp;"",'Oxford Economics'!$A$6:$AZ$6,0))),'Oxford Economics'!$A$7:$A$1000,$C34,'Oxford Economics'!$B$7:$B$1000,Settings!$B$16)+IF(Settings!$B$18="",0,SUMIFS(INDEX('Oxford Economics'!$A$7:$AZ$1000,0,IFERROR(MATCH(W$5,'Oxford Economics'!$A$6:$AZ$6,0),MATCH(W$5&amp;"",'Oxford Economics'!$A$6:$AZ$6,0))),'Oxford Economics'!$A$7:$A$1000,$C34,'Oxford Economics'!$B$7:$B$1000,Settings!$B$18)))),""))</f>
        <v>7771.35</v>
      </c>
      <c r="X34" s="37" t="n">
        <f aca="false">IF($A34="","",IFERROR(1/(1/IF($B34="Residential",SUMIFS(INDEX('Oxford Economics'!$A$7:$AZ$1000,0,IFERROR(MATCH(X$5,'Oxford Economics'!$A$6:$AZ$6,0),MATCH(X$5&amp;"",'Oxford Economics'!$A$6:$AZ$6,0))),'Oxford Economics'!$A$7:$A$1000,$C34,'Oxford Economics'!$B$7:$B$1000,Settings!$B$12)-SUMIFS(INDEX('Oxford Economics'!$A$7:$AZ$1000,0,IFERROR(MATCH(X$5,'Oxford Economics'!$A$6:$AZ$6,0),MATCH(X$5&amp;"",'Oxford Economics'!$A$6:$AZ$6,0))),'Oxford Economics'!$A$7:$A$1000,$C34,'Oxford Economics'!$B$7:$B$1000,Settings!$B$14),SUMIFS(INDEX('Oxford Economics'!$A$7:$AZ$1000,0,IFERROR(MATCH(X$5,'Oxford Economics'!$A$6:$AZ$6,0),MATCH(X$5&amp;"",'Oxford Economics'!$A$6:$AZ$6,0))),'Oxford Economics'!$A$7:$A$1000,$C34,'Oxford Economics'!$B$7:$B$1000,Settings!$B$14)+SUMIFS(INDEX('Oxford Economics'!$A$7:$AZ$1000,0,IFERROR(MATCH(X$5,'Oxford Economics'!$A$6:$AZ$6,0),MATCH(X$5&amp;"",'Oxford Economics'!$A$6:$AZ$6,0))),'Oxford Economics'!$A$7:$A$1000,$C34,'Oxford Economics'!$B$7:$B$1000,Settings!$B$16)+IF(Settings!$B$18="",0,SUMIFS(INDEX('Oxford Economics'!$A$7:$AZ$1000,0,IFERROR(MATCH(X$5,'Oxford Economics'!$A$6:$AZ$6,0),MATCH(X$5&amp;"",'Oxford Economics'!$A$6:$AZ$6,0))),'Oxford Economics'!$A$7:$A$1000,$C34,'Oxford Economics'!$B$7:$B$1000,Settings!$B$18)))),""))</f>
        <v>8027.81</v>
      </c>
      <c r="Y34" s="37" t="n">
        <f aca="false">IF($A34="","",IFERROR(1/(1/IF($B34="Residential",SUMIFS(INDEX('Oxford Economics'!$A$7:$AZ$1000,0,IFERROR(MATCH(Y$5,'Oxford Economics'!$A$6:$AZ$6,0),MATCH(Y$5&amp;"",'Oxford Economics'!$A$6:$AZ$6,0))),'Oxford Economics'!$A$7:$A$1000,$C34,'Oxford Economics'!$B$7:$B$1000,Settings!$B$12)-SUMIFS(INDEX('Oxford Economics'!$A$7:$AZ$1000,0,IFERROR(MATCH(Y$5,'Oxford Economics'!$A$6:$AZ$6,0),MATCH(Y$5&amp;"",'Oxford Economics'!$A$6:$AZ$6,0))),'Oxford Economics'!$A$7:$A$1000,$C34,'Oxford Economics'!$B$7:$B$1000,Settings!$B$14),SUMIFS(INDEX('Oxford Economics'!$A$7:$AZ$1000,0,IFERROR(MATCH(Y$5,'Oxford Economics'!$A$6:$AZ$6,0),MATCH(Y$5&amp;"",'Oxford Economics'!$A$6:$AZ$6,0))),'Oxford Economics'!$A$7:$A$1000,$C34,'Oxford Economics'!$B$7:$B$1000,Settings!$B$14)+SUMIFS(INDEX('Oxford Economics'!$A$7:$AZ$1000,0,IFERROR(MATCH(Y$5,'Oxford Economics'!$A$6:$AZ$6,0),MATCH(Y$5&amp;"",'Oxford Economics'!$A$6:$AZ$6,0))),'Oxford Economics'!$A$7:$A$1000,$C34,'Oxford Economics'!$B$7:$B$1000,Settings!$B$16)+IF(Settings!$B$18="",0,SUMIFS(INDEX('Oxford Economics'!$A$7:$AZ$1000,0,IFERROR(MATCH(Y$5,'Oxford Economics'!$A$6:$AZ$6,0),MATCH(Y$5&amp;"",'Oxford Economics'!$A$6:$AZ$6,0))),'Oxford Economics'!$A$7:$A$1000,$C34,'Oxford Economics'!$B$7:$B$1000,Settings!$B$18)))),""))</f>
        <v>8243.27</v>
      </c>
      <c r="Z34" s="37" t="n">
        <f aca="false">IF($A34="","",IFERROR(1/(1/IF($B34="Residential",SUMIFS(INDEX('Oxford Economics'!$A$7:$AZ$1000,0,IFERROR(MATCH(Z$5,'Oxford Economics'!$A$6:$AZ$6,0),MATCH(Z$5&amp;"",'Oxford Economics'!$A$6:$AZ$6,0))),'Oxford Economics'!$A$7:$A$1000,$C34,'Oxford Economics'!$B$7:$B$1000,Settings!$B$12)-SUMIFS(INDEX('Oxford Economics'!$A$7:$AZ$1000,0,IFERROR(MATCH(Z$5,'Oxford Economics'!$A$6:$AZ$6,0),MATCH(Z$5&amp;"",'Oxford Economics'!$A$6:$AZ$6,0))),'Oxford Economics'!$A$7:$A$1000,$C34,'Oxford Economics'!$B$7:$B$1000,Settings!$B$14),SUMIFS(INDEX('Oxford Economics'!$A$7:$AZ$1000,0,IFERROR(MATCH(Z$5,'Oxford Economics'!$A$6:$AZ$6,0),MATCH(Z$5&amp;"",'Oxford Economics'!$A$6:$AZ$6,0))),'Oxford Economics'!$A$7:$A$1000,$C34,'Oxford Economics'!$B$7:$B$1000,Settings!$B$14)+SUMIFS(INDEX('Oxford Economics'!$A$7:$AZ$1000,0,IFERROR(MATCH(Z$5,'Oxford Economics'!$A$6:$AZ$6,0),MATCH(Z$5&amp;"",'Oxford Economics'!$A$6:$AZ$6,0))),'Oxford Economics'!$A$7:$A$1000,$C34,'Oxford Economics'!$B$7:$B$1000,Settings!$B$16)+IF(Settings!$B$18="",0,SUMIFS(INDEX('Oxford Economics'!$A$7:$AZ$1000,0,IFERROR(MATCH(Z$5,'Oxford Economics'!$A$6:$AZ$6,0),MATCH(Z$5&amp;"",'Oxford Economics'!$A$6:$AZ$6,0))),'Oxford Economics'!$A$7:$A$1000,$C34,'Oxford Economics'!$B$7:$B$1000,Settings!$B$18)))),""))</f>
        <v>8478.47</v>
      </c>
      <c r="AA34" s="37" t="n">
        <f aca="false">IF($A34="","",IFERROR(1/(1/IF($B34="Residential",SUMIFS(INDEX('Oxford Economics'!$A$7:$AZ$1000,0,IFERROR(MATCH(AA$5,'Oxford Economics'!$A$6:$AZ$6,0),MATCH(AA$5&amp;"",'Oxford Economics'!$A$6:$AZ$6,0))),'Oxford Economics'!$A$7:$A$1000,$C34,'Oxford Economics'!$B$7:$B$1000,Settings!$B$12)-SUMIFS(INDEX('Oxford Economics'!$A$7:$AZ$1000,0,IFERROR(MATCH(AA$5,'Oxford Economics'!$A$6:$AZ$6,0),MATCH(AA$5&amp;"",'Oxford Economics'!$A$6:$AZ$6,0))),'Oxford Economics'!$A$7:$A$1000,$C34,'Oxford Economics'!$B$7:$B$1000,Settings!$B$14),SUMIFS(INDEX('Oxford Economics'!$A$7:$AZ$1000,0,IFERROR(MATCH(AA$5,'Oxford Economics'!$A$6:$AZ$6,0),MATCH(AA$5&amp;"",'Oxford Economics'!$A$6:$AZ$6,0))),'Oxford Economics'!$A$7:$A$1000,$C34,'Oxford Economics'!$B$7:$B$1000,Settings!$B$14)+SUMIFS(INDEX('Oxford Economics'!$A$7:$AZ$1000,0,IFERROR(MATCH(AA$5,'Oxford Economics'!$A$6:$AZ$6,0),MATCH(AA$5&amp;"",'Oxford Economics'!$A$6:$AZ$6,0))),'Oxford Economics'!$A$7:$A$1000,$C34,'Oxford Economics'!$B$7:$B$1000,Settings!$B$16)+IF(Settings!$B$18="",0,SUMIFS(INDEX('Oxford Economics'!$A$7:$AZ$1000,0,IFERROR(MATCH(AA$5,'Oxford Economics'!$A$6:$AZ$6,0),MATCH(AA$5&amp;"",'Oxford Economics'!$A$6:$AZ$6,0))),'Oxford Economics'!$A$7:$A$1000,$C34,'Oxford Economics'!$B$7:$B$1000,Settings!$B$18)))),""))</f>
        <v>8599.5</v>
      </c>
      <c r="AB34" s="37" t="n">
        <f aca="false">IF($A34="","",IFERROR(1/(1/IF($B34="Residential",SUMIFS(INDEX('Oxford Economics'!$A$7:$AZ$1000,0,IFERROR(MATCH(AB$5,'Oxford Economics'!$A$6:$AZ$6,0),MATCH(AB$5&amp;"",'Oxford Economics'!$A$6:$AZ$6,0))),'Oxford Economics'!$A$7:$A$1000,$C34,'Oxford Economics'!$B$7:$B$1000,Settings!$B$11)-SUMIFS(INDEX('Oxford Economics'!$A$7:$AZ$1000,0,IFERROR(MATCH(AB$5,'Oxford Economics'!$A$6:$AZ$6,0),MATCH(AB$5&amp;"",'Oxford Economics'!$A$6:$AZ$6,0))),'Oxford Economics'!$A$7:$A$1000,$C34,'Oxford Economics'!$B$7:$B$1000,Settings!$B$13),SUMIFS(INDEX('Oxford Economics'!$A$7:$AZ$1000,0,IFERROR(MATCH(AB$5,'Oxford Economics'!$A$6:$AZ$6,0),MATCH(AB$5&amp;"",'Oxford Economics'!$A$6:$AZ$6,0))),'Oxford Economics'!$A$7:$A$1000,$C34,'Oxford Economics'!$B$7:$B$1000,Settings!$B$13)+SUMIFS(INDEX('Oxford Economics'!$A$7:$AZ$1000,0,IFERROR(MATCH(AB$5,'Oxford Economics'!$A$6:$AZ$6,0),MATCH(AB$5&amp;"",'Oxford Economics'!$A$6:$AZ$6,0))),'Oxford Economics'!$A$7:$A$1000,$C34,'Oxford Economics'!$B$7:$B$1000,Settings!$B$15)+IF(Settings!$B$17="",0,SUMIFS(INDEX('Oxford Economics'!$A$7:$AZ$1000,0,IFERROR(MATCH(AB$5,'Oxford Economics'!$A$6:$AZ$6,0),MATCH(AB$5&amp;"",'Oxford Economics'!$A$6:$AZ$6,0))),'Oxford Economics'!$A$7:$A$1000,$C34,'Oxford Economics'!$B$7:$B$1000,Settings!$B$17)))),""))</f>
        <v>3615.32</v>
      </c>
      <c r="AC34" s="37" t="n">
        <f aca="false">IF($A34="","",IFERROR(1/(1/IF($B34="Residential",SUMIFS(INDEX('Oxford Economics'!$A$7:$AZ$1000,0,IFERROR(MATCH(AC$5,'Oxford Economics'!$A$6:$AZ$6,0),MATCH(AC$5&amp;"",'Oxford Economics'!$A$6:$AZ$6,0))),'Oxford Economics'!$A$7:$A$1000,$C34,'Oxford Economics'!$B$7:$B$1000,Settings!$B$11)-SUMIFS(INDEX('Oxford Economics'!$A$7:$AZ$1000,0,IFERROR(MATCH(AC$5,'Oxford Economics'!$A$6:$AZ$6,0),MATCH(AC$5&amp;"",'Oxford Economics'!$A$6:$AZ$6,0))),'Oxford Economics'!$A$7:$A$1000,$C34,'Oxford Economics'!$B$7:$B$1000,Settings!$B$13),SUMIFS(INDEX('Oxford Economics'!$A$7:$AZ$1000,0,IFERROR(MATCH(AC$5,'Oxford Economics'!$A$6:$AZ$6,0),MATCH(AC$5&amp;"",'Oxford Economics'!$A$6:$AZ$6,0))),'Oxford Economics'!$A$7:$A$1000,$C34,'Oxford Economics'!$B$7:$B$1000,Settings!$B$13)+SUMIFS(INDEX('Oxford Economics'!$A$7:$AZ$1000,0,IFERROR(MATCH(AC$5,'Oxford Economics'!$A$6:$AZ$6,0),MATCH(AC$5&amp;"",'Oxford Economics'!$A$6:$AZ$6,0))),'Oxford Economics'!$A$7:$A$1000,$C34,'Oxford Economics'!$B$7:$B$1000,Settings!$B$15)+IF(Settings!$B$17="",0,SUMIFS(INDEX('Oxford Economics'!$A$7:$AZ$1000,0,IFERROR(MATCH(AC$5,'Oxford Economics'!$A$6:$AZ$6,0),MATCH(AC$5&amp;"",'Oxford Economics'!$A$6:$AZ$6,0))),'Oxford Economics'!$A$7:$A$1000,$C34,'Oxford Economics'!$B$7:$B$1000,Settings!$B$17)))),""))</f>
        <v>3687.09</v>
      </c>
      <c r="AD34" s="37" t="n">
        <f aca="false">IF($A34="","",IFERROR(1/(1/IF($B34="Residential",SUMIFS(INDEX('Oxford Economics'!$A$7:$AZ$1000,0,IFERROR(MATCH(AD$5,'Oxford Economics'!$A$6:$AZ$6,0),MATCH(AD$5&amp;"",'Oxford Economics'!$A$6:$AZ$6,0))),'Oxford Economics'!$A$7:$A$1000,$C34,'Oxford Economics'!$B$7:$B$1000,Settings!$B$11)-SUMIFS(INDEX('Oxford Economics'!$A$7:$AZ$1000,0,IFERROR(MATCH(AD$5,'Oxford Economics'!$A$6:$AZ$6,0),MATCH(AD$5&amp;"",'Oxford Economics'!$A$6:$AZ$6,0))),'Oxford Economics'!$A$7:$A$1000,$C34,'Oxford Economics'!$B$7:$B$1000,Settings!$B$13),SUMIFS(INDEX('Oxford Economics'!$A$7:$AZ$1000,0,IFERROR(MATCH(AD$5,'Oxford Economics'!$A$6:$AZ$6,0),MATCH(AD$5&amp;"",'Oxford Economics'!$A$6:$AZ$6,0))),'Oxford Economics'!$A$7:$A$1000,$C34,'Oxford Economics'!$B$7:$B$1000,Settings!$B$13)+SUMIFS(INDEX('Oxford Economics'!$A$7:$AZ$1000,0,IFERROR(MATCH(AD$5,'Oxford Economics'!$A$6:$AZ$6,0),MATCH(AD$5&amp;"",'Oxford Economics'!$A$6:$AZ$6,0))),'Oxford Economics'!$A$7:$A$1000,$C34,'Oxford Economics'!$B$7:$B$1000,Settings!$B$15)+IF(Settings!$B$17="",0,SUMIFS(INDEX('Oxford Economics'!$A$7:$AZ$1000,0,IFERROR(MATCH(AD$5,'Oxford Economics'!$A$6:$AZ$6,0),MATCH(AD$5&amp;"",'Oxford Economics'!$A$6:$AZ$6,0))),'Oxford Economics'!$A$7:$A$1000,$C34,'Oxford Economics'!$B$7:$B$1000,Settings!$B$17)))),""))</f>
        <v>3499.09</v>
      </c>
      <c r="AE34" s="37" t="n">
        <f aca="false">IF($A34="","",IFERROR(1/(1/IF($B34="Residential",SUMIFS(INDEX('Oxford Economics'!$A$7:$AZ$1000,0,IFERROR(MATCH(AE$5,'Oxford Economics'!$A$6:$AZ$6,0),MATCH(AE$5&amp;"",'Oxford Economics'!$A$6:$AZ$6,0))),'Oxford Economics'!$A$7:$A$1000,$C34,'Oxford Economics'!$B$7:$B$1000,Settings!$B$11)-SUMIFS(INDEX('Oxford Economics'!$A$7:$AZ$1000,0,IFERROR(MATCH(AE$5,'Oxford Economics'!$A$6:$AZ$6,0),MATCH(AE$5&amp;"",'Oxford Economics'!$A$6:$AZ$6,0))),'Oxford Economics'!$A$7:$A$1000,$C34,'Oxford Economics'!$B$7:$B$1000,Settings!$B$13),SUMIFS(INDEX('Oxford Economics'!$A$7:$AZ$1000,0,IFERROR(MATCH(AE$5,'Oxford Economics'!$A$6:$AZ$6,0),MATCH(AE$5&amp;"",'Oxford Economics'!$A$6:$AZ$6,0))),'Oxford Economics'!$A$7:$A$1000,$C34,'Oxford Economics'!$B$7:$B$1000,Settings!$B$13)+SUMIFS(INDEX('Oxford Economics'!$A$7:$AZ$1000,0,IFERROR(MATCH(AE$5,'Oxford Economics'!$A$6:$AZ$6,0),MATCH(AE$5&amp;"",'Oxford Economics'!$A$6:$AZ$6,0))),'Oxford Economics'!$A$7:$A$1000,$C34,'Oxford Economics'!$B$7:$B$1000,Settings!$B$15)+IF(Settings!$B$17="",0,SUMIFS(INDEX('Oxford Economics'!$A$7:$AZ$1000,0,IFERROR(MATCH(AE$5,'Oxford Economics'!$A$6:$AZ$6,0),MATCH(AE$5&amp;"",'Oxford Economics'!$A$6:$AZ$6,0))),'Oxford Economics'!$A$7:$A$1000,$C34,'Oxford Economics'!$B$7:$B$1000,Settings!$B$17)))),""))</f>
        <v>3293.93</v>
      </c>
      <c r="AF34" s="37" t="n">
        <f aca="false">IF($A34="","",IFERROR(1/(1/IF($B34="Residential",SUMIFS(INDEX('Oxford Economics'!$A$7:$AZ$1000,0,IFERROR(MATCH(AF$5,'Oxford Economics'!$A$6:$AZ$6,0),MATCH(AF$5&amp;"",'Oxford Economics'!$A$6:$AZ$6,0))),'Oxford Economics'!$A$7:$A$1000,$C34,'Oxford Economics'!$B$7:$B$1000,Settings!$B$11)-SUMIFS(INDEX('Oxford Economics'!$A$7:$AZ$1000,0,IFERROR(MATCH(AF$5,'Oxford Economics'!$A$6:$AZ$6,0),MATCH(AF$5&amp;"",'Oxford Economics'!$A$6:$AZ$6,0))),'Oxford Economics'!$A$7:$A$1000,$C34,'Oxford Economics'!$B$7:$B$1000,Settings!$B$13),SUMIFS(INDEX('Oxford Economics'!$A$7:$AZ$1000,0,IFERROR(MATCH(AF$5,'Oxford Economics'!$A$6:$AZ$6,0),MATCH(AF$5&amp;"",'Oxford Economics'!$A$6:$AZ$6,0))),'Oxford Economics'!$A$7:$A$1000,$C34,'Oxford Economics'!$B$7:$B$1000,Settings!$B$13)+SUMIFS(INDEX('Oxford Economics'!$A$7:$AZ$1000,0,IFERROR(MATCH(AF$5,'Oxford Economics'!$A$6:$AZ$6,0),MATCH(AF$5&amp;"",'Oxford Economics'!$A$6:$AZ$6,0))),'Oxford Economics'!$A$7:$A$1000,$C34,'Oxford Economics'!$B$7:$B$1000,Settings!$B$15)+IF(Settings!$B$17="",0,SUMIFS(INDEX('Oxford Economics'!$A$7:$AZ$1000,0,IFERROR(MATCH(AF$5,'Oxford Economics'!$A$6:$AZ$6,0),MATCH(AF$5&amp;"",'Oxford Economics'!$A$6:$AZ$6,0))),'Oxford Economics'!$A$7:$A$1000,$C34,'Oxford Economics'!$B$7:$B$1000,Settings!$B$17)))),""))</f>
        <v>3047.54</v>
      </c>
      <c r="AG34" s="37" t="n">
        <f aca="false">IF($A34="","",IFERROR(1/(1/IF($B34="Residential",SUMIFS(INDEX('Oxford Economics'!$A$7:$AZ$1000,0,IFERROR(MATCH(AG$5,'Oxford Economics'!$A$6:$AZ$6,0),MATCH(AG$5&amp;"",'Oxford Economics'!$A$6:$AZ$6,0))),'Oxford Economics'!$A$7:$A$1000,$C34,'Oxford Economics'!$B$7:$B$1000,Settings!$B$11)-SUMIFS(INDEX('Oxford Economics'!$A$7:$AZ$1000,0,IFERROR(MATCH(AG$5,'Oxford Economics'!$A$6:$AZ$6,0),MATCH(AG$5&amp;"",'Oxford Economics'!$A$6:$AZ$6,0))),'Oxford Economics'!$A$7:$A$1000,$C34,'Oxford Economics'!$B$7:$B$1000,Settings!$B$13),SUMIFS(INDEX('Oxford Economics'!$A$7:$AZ$1000,0,IFERROR(MATCH(AG$5,'Oxford Economics'!$A$6:$AZ$6,0),MATCH(AG$5&amp;"",'Oxford Economics'!$A$6:$AZ$6,0))),'Oxford Economics'!$A$7:$A$1000,$C34,'Oxford Economics'!$B$7:$B$1000,Settings!$B$13)+SUMIFS(INDEX('Oxford Economics'!$A$7:$AZ$1000,0,IFERROR(MATCH(AG$5,'Oxford Economics'!$A$6:$AZ$6,0),MATCH(AG$5&amp;"",'Oxford Economics'!$A$6:$AZ$6,0))),'Oxford Economics'!$A$7:$A$1000,$C34,'Oxford Economics'!$B$7:$B$1000,Settings!$B$15)+IF(Settings!$B$17="",0,SUMIFS(INDEX('Oxford Economics'!$A$7:$AZ$1000,0,IFERROR(MATCH(AG$5,'Oxford Economics'!$A$6:$AZ$6,0),MATCH(AG$5&amp;"",'Oxford Economics'!$A$6:$AZ$6,0))),'Oxford Economics'!$A$7:$A$1000,$C34,'Oxford Economics'!$B$7:$B$1000,Settings!$B$17)))),""))</f>
        <v>2810.45</v>
      </c>
      <c r="AH34" s="37" t="n">
        <f aca="false">IF($A34="","",IFERROR(1/(1/IF($B34="Residential",SUMIFS(INDEX('Oxford Economics'!$A$7:$AZ$1000,0,IFERROR(MATCH(AH$5,'Oxford Economics'!$A$6:$AZ$6,0),MATCH(AH$5&amp;"",'Oxford Economics'!$A$6:$AZ$6,0))),'Oxford Economics'!$A$7:$A$1000,$C34,'Oxford Economics'!$B$7:$B$1000,Settings!$B$11)-SUMIFS(INDEX('Oxford Economics'!$A$7:$AZ$1000,0,IFERROR(MATCH(AH$5,'Oxford Economics'!$A$6:$AZ$6,0),MATCH(AH$5&amp;"",'Oxford Economics'!$A$6:$AZ$6,0))),'Oxford Economics'!$A$7:$A$1000,$C34,'Oxford Economics'!$B$7:$B$1000,Settings!$B$13),SUMIFS(INDEX('Oxford Economics'!$A$7:$AZ$1000,0,IFERROR(MATCH(AH$5,'Oxford Economics'!$A$6:$AZ$6,0),MATCH(AH$5&amp;"",'Oxford Economics'!$A$6:$AZ$6,0))),'Oxford Economics'!$A$7:$A$1000,$C34,'Oxford Economics'!$B$7:$B$1000,Settings!$B$13)+SUMIFS(INDEX('Oxford Economics'!$A$7:$AZ$1000,0,IFERROR(MATCH(AH$5,'Oxford Economics'!$A$6:$AZ$6,0),MATCH(AH$5&amp;"",'Oxford Economics'!$A$6:$AZ$6,0))),'Oxford Economics'!$A$7:$A$1000,$C34,'Oxford Economics'!$B$7:$B$1000,Settings!$B$15)+IF(Settings!$B$17="",0,SUMIFS(INDEX('Oxford Economics'!$A$7:$AZ$1000,0,IFERROR(MATCH(AH$5,'Oxford Economics'!$A$6:$AZ$6,0),MATCH(AH$5&amp;"",'Oxford Economics'!$A$6:$AZ$6,0))),'Oxford Economics'!$A$7:$A$1000,$C34,'Oxford Economics'!$B$7:$B$1000,Settings!$B$17)))),""))</f>
        <v>2578.82</v>
      </c>
      <c r="AI34" s="37" t="n">
        <f aca="false">IF($A34="","",IFERROR(1/(1/IF($B34="Residential",SUMIFS(INDEX('Oxford Economics'!$A$7:$AZ$1000,0,IFERROR(MATCH(AI$5,'Oxford Economics'!$A$6:$AZ$6,0),MATCH(AI$5&amp;"",'Oxford Economics'!$A$6:$AZ$6,0))),'Oxford Economics'!$A$7:$A$1000,$C34,'Oxford Economics'!$B$7:$B$1000,Settings!$B$11)-SUMIFS(INDEX('Oxford Economics'!$A$7:$AZ$1000,0,IFERROR(MATCH(AI$5,'Oxford Economics'!$A$6:$AZ$6,0),MATCH(AI$5&amp;"",'Oxford Economics'!$A$6:$AZ$6,0))),'Oxford Economics'!$A$7:$A$1000,$C34,'Oxford Economics'!$B$7:$B$1000,Settings!$B$13),SUMIFS(INDEX('Oxford Economics'!$A$7:$AZ$1000,0,IFERROR(MATCH(AI$5,'Oxford Economics'!$A$6:$AZ$6,0),MATCH(AI$5&amp;"",'Oxford Economics'!$A$6:$AZ$6,0))),'Oxford Economics'!$A$7:$A$1000,$C34,'Oxford Economics'!$B$7:$B$1000,Settings!$B$13)+SUMIFS(INDEX('Oxford Economics'!$A$7:$AZ$1000,0,IFERROR(MATCH(AI$5,'Oxford Economics'!$A$6:$AZ$6,0),MATCH(AI$5&amp;"",'Oxford Economics'!$A$6:$AZ$6,0))),'Oxford Economics'!$A$7:$A$1000,$C34,'Oxford Economics'!$B$7:$B$1000,Settings!$B$15)+IF(Settings!$B$17="",0,SUMIFS(INDEX('Oxford Economics'!$A$7:$AZ$1000,0,IFERROR(MATCH(AI$5,'Oxford Economics'!$A$6:$AZ$6,0),MATCH(AI$5&amp;"",'Oxford Economics'!$A$6:$AZ$6,0))),'Oxford Economics'!$A$7:$A$1000,$C34,'Oxford Economics'!$B$7:$B$1000,Settings!$B$17)))),""))</f>
        <v>2590.18</v>
      </c>
      <c r="AJ34" s="37" t="n">
        <f aca="false">IF($A34="","",IFERROR(1/(1/IF($B34="Residential",SUMIFS(INDEX('Oxford Economics'!$A$7:$AZ$1000,0,IFERROR(MATCH(AJ$5,'Oxford Economics'!$A$6:$AZ$6,0),MATCH(AJ$5&amp;"",'Oxford Economics'!$A$6:$AZ$6,0))),'Oxford Economics'!$A$7:$A$1000,$C34,'Oxford Economics'!$B$7:$B$1000,Settings!$B$11)-SUMIFS(INDEX('Oxford Economics'!$A$7:$AZ$1000,0,IFERROR(MATCH(AJ$5,'Oxford Economics'!$A$6:$AZ$6,0),MATCH(AJ$5&amp;"",'Oxford Economics'!$A$6:$AZ$6,0))),'Oxford Economics'!$A$7:$A$1000,$C34,'Oxford Economics'!$B$7:$B$1000,Settings!$B$13),SUMIFS(INDEX('Oxford Economics'!$A$7:$AZ$1000,0,IFERROR(MATCH(AJ$5,'Oxford Economics'!$A$6:$AZ$6,0),MATCH(AJ$5&amp;"",'Oxford Economics'!$A$6:$AZ$6,0))),'Oxford Economics'!$A$7:$A$1000,$C34,'Oxford Economics'!$B$7:$B$1000,Settings!$B$13)+SUMIFS(INDEX('Oxford Economics'!$A$7:$AZ$1000,0,IFERROR(MATCH(AJ$5,'Oxford Economics'!$A$6:$AZ$6,0),MATCH(AJ$5&amp;"",'Oxford Economics'!$A$6:$AZ$6,0))),'Oxford Economics'!$A$7:$A$1000,$C34,'Oxford Economics'!$B$7:$B$1000,Settings!$B$15)+IF(Settings!$B$17="",0,SUMIFS(INDEX('Oxford Economics'!$A$7:$AZ$1000,0,IFERROR(MATCH(AJ$5,'Oxford Economics'!$A$6:$AZ$6,0),MATCH(AJ$5&amp;"",'Oxford Economics'!$A$6:$AZ$6,0))),'Oxford Economics'!$A$7:$A$1000,$C34,'Oxford Economics'!$B$7:$B$1000,Settings!$B$17)))),""))</f>
        <v>2646.71</v>
      </c>
      <c r="AK34" s="37" t="n">
        <f aca="false">IF($A34="","",IFERROR(1/(1/IF($B34="Residential",SUMIFS(INDEX('Oxford Economics'!$A$7:$AZ$1000,0,IFERROR(MATCH(AK$5,'Oxford Economics'!$A$6:$AZ$6,0),MATCH(AK$5&amp;"",'Oxford Economics'!$A$6:$AZ$6,0))),'Oxford Economics'!$A$7:$A$1000,$C34,'Oxford Economics'!$B$7:$B$1000,Settings!$B$11)-SUMIFS(INDEX('Oxford Economics'!$A$7:$AZ$1000,0,IFERROR(MATCH(AK$5,'Oxford Economics'!$A$6:$AZ$6,0),MATCH(AK$5&amp;"",'Oxford Economics'!$A$6:$AZ$6,0))),'Oxford Economics'!$A$7:$A$1000,$C34,'Oxford Economics'!$B$7:$B$1000,Settings!$B$13),SUMIFS(INDEX('Oxford Economics'!$A$7:$AZ$1000,0,IFERROR(MATCH(AK$5,'Oxford Economics'!$A$6:$AZ$6,0),MATCH(AK$5&amp;"",'Oxford Economics'!$A$6:$AZ$6,0))),'Oxford Economics'!$A$7:$A$1000,$C34,'Oxford Economics'!$B$7:$B$1000,Settings!$B$13)+SUMIFS(INDEX('Oxford Economics'!$A$7:$AZ$1000,0,IFERROR(MATCH(AK$5,'Oxford Economics'!$A$6:$AZ$6,0),MATCH(AK$5&amp;"",'Oxford Economics'!$A$6:$AZ$6,0))),'Oxford Economics'!$A$7:$A$1000,$C34,'Oxford Economics'!$B$7:$B$1000,Settings!$B$15)+IF(Settings!$B$17="",0,SUMIFS(INDEX('Oxford Economics'!$A$7:$AZ$1000,0,IFERROR(MATCH(AK$5,'Oxford Economics'!$A$6:$AZ$6,0),MATCH(AK$5&amp;"",'Oxford Economics'!$A$6:$AZ$6,0))),'Oxford Economics'!$A$7:$A$1000,$C34,'Oxford Economics'!$B$7:$B$1000,Settings!$B$17)))),""))</f>
        <v>2699.42</v>
      </c>
      <c r="AL34" s="37" t="n">
        <f aca="false">IF($A34="","",IFERROR(1/(1/IF($B34="Residential",SUMIFS(INDEX('Oxford Economics'!$A$7:$AZ$1000,0,IFERROR(MATCH(AL$5,'Oxford Economics'!$A$6:$AZ$6,0),MATCH(AL$5&amp;"",'Oxford Economics'!$A$6:$AZ$6,0))),'Oxford Economics'!$A$7:$A$1000,$C34,'Oxford Economics'!$B$7:$B$1000,Settings!$B$11)-SUMIFS(INDEX('Oxford Economics'!$A$7:$AZ$1000,0,IFERROR(MATCH(AL$5,'Oxford Economics'!$A$6:$AZ$6,0),MATCH(AL$5&amp;"",'Oxford Economics'!$A$6:$AZ$6,0))),'Oxford Economics'!$A$7:$A$1000,$C34,'Oxford Economics'!$B$7:$B$1000,Settings!$B$13),SUMIFS(INDEX('Oxford Economics'!$A$7:$AZ$1000,0,IFERROR(MATCH(AL$5,'Oxford Economics'!$A$6:$AZ$6,0),MATCH(AL$5&amp;"",'Oxford Economics'!$A$6:$AZ$6,0))),'Oxford Economics'!$A$7:$A$1000,$C34,'Oxford Economics'!$B$7:$B$1000,Settings!$B$13)+SUMIFS(INDEX('Oxford Economics'!$A$7:$AZ$1000,0,IFERROR(MATCH(AL$5,'Oxford Economics'!$A$6:$AZ$6,0),MATCH(AL$5&amp;"",'Oxford Economics'!$A$6:$AZ$6,0))),'Oxford Economics'!$A$7:$A$1000,$C34,'Oxford Economics'!$B$7:$B$1000,Settings!$B$15)+IF(Settings!$B$17="",0,SUMIFS(INDEX('Oxford Economics'!$A$7:$AZ$1000,0,IFERROR(MATCH(AL$5,'Oxford Economics'!$A$6:$AZ$6,0),MATCH(AL$5&amp;"",'Oxford Economics'!$A$6:$AZ$6,0))),'Oxford Economics'!$A$7:$A$1000,$C34,'Oxford Economics'!$B$7:$B$1000,Settings!$B$17)))),""))</f>
        <v>2785.67</v>
      </c>
      <c r="AM34" s="37" t="n">
        <f aca="false">IF($A34="","",IFERROR(1/(1/IF($B34="Residential",SUMIFS(INDEX('Oxford Economics'!$A$7:$AZ$1000,0,IFERROR(MATCH(AM$5,'Oxford Economics'!$A$6:$AZ$6,0),MATCH(AM$5&amp;"",'Oxford Economics'!$A$6:$AZ$6,0))),'Oxford Economics'!$A$7:$A$1000,$C34,'Oxford Economics'!$B$7:$B$1000,Settings!$B$11)-SUMIFS(INDEX('Oxford Economics'!$A$7:$AZ$1000,0,IFERROR(MATCH(AM$5,'Oxford Economics'!$A$6:$AZ$6,0),MATCH(AM$5&amp;"",'Oxford Economics'!$A$6:$AZ$6,0))),'Oxford Economics'!$A$7:$A$1000,$C34,'Oxford Economics'!$B$7:$B$1000,Settings!$B$13),SUMIFS(INDEX('Oxford Economics'!$A$7:$AZ$1000,0,IFERROR(MATCH(AM$5,'Oxford Economics'!$A$6:$AZ$6,0),MATCH(AM$5&amp;"",'Oxford Economics'!$A$6:$AZ$6,0))),'Oxford Economics'!$A$7:$A$1000,$C34,'Oxford Economics'!$B$7:$B$1000,Settings!$B$13)+SUMIFS(INDEX('Oxford Economics'!$A$7:$AZ$1000,0,IFERROR(MATCH(AM$5,'Oxford Economics'!$A$6:$AZ$6,0),MATCH(AM$5&amp;"",'Oxford Economics'!$A$6:$AZ$6,0))),'Oxford Economics'!$A$7:$A$1000,$C34,'Oxford Economics'!$B$7:$B$1000,Settings!$B$15)+IF(Settings!$B$17="",0,SUMIFS(INDEX('Oxford Economics'!$A$7:$AZ$1000,0,IFERROR(MATCH(AM$5,'Oxford Economics'!$A$6:$AZ$6,0),MATCH(AM$5&amp;"",'Oxford Economics'!$A$6:$AZ$6,0))),'Oxford Economics'!$A$7:$A$1000,$C34,'Oxford Economics'!$B$7:$B$1000,Settings!$B$17)))),""))</f>
        <v>2915.12</v>
      </c>
    </row>
    <row r="35" customFormat="false" ht="15" hidden="false" customHeight="false" outlineLevel="0" collapsed="false">
      <c r="A35" s="36" t="str">
        <f aca="false">IF('Raw data'!$A35="","",'Raw data'!$A35)</f>
        <v>Belgium</v>
      </c>
      <c r="B35" s="36" t="str">
        <f aca="false">IF($A35="","",'Raw data'!$C35)</f>
        <v>Commercial</v>
      </c>
      <c r="C35" s="36" t="str">
        <f aca="false">IF($A35="","",IF('Raw data'!$D35="",$A35,'Raw data'!$D35))</f>
        <v>Belgium</v>
      </c>
      <c r="D35" s="37" t="n">
        <f aca="false">IF($A35="","",IF(AND(ISNUMBER(P35),ISNUMBER(AB35)),P35+AB35,""))</f>
        <v>17300.38</v>
      </c>
      <c r="E35" s="37" t="n">
        <f aca="false">IF($A35="","",IF(AND(ISNUMBER(Q35),ISNUMBER(AC35)),Q35+AC35,""))</f>
        <v>19088.24</v>
      </c>
      <c r="F35" s="37" t="n">
        <f aca="false">IF($A35="","",IF(AND(ISNUMBER(R35),ISNUMBER(AD35)),R35+AD35,""))</f>
        <v>19168.47</v>
      </c>
      <c r="G35" s="37" t="n">
        <f aca="false">IF($A35="","",IF(AND(ISNUMBER(S35),ISNUMBER(AE35)),S35+AE35,""))</f>
        <v>19053.98</v>
      </c>
      <c r="H35" s="37" t="n">
        <f aca="false">IF($A35="","",IF(AND(ISNUMBER(T35),ISNUMBER(AF35)),T35+AF35,""))</f>
        <v>19369.15</v>
      </c>
      <c r="I35" s="37" t="n">
        <f aca="false">IF($A35="","",IF(AND(ISNUMBER(U35),ISNUMBER(AG35)),U35+AG35,""))</f>
        <v>19662.69</v>
      </c>
      <c r="J35" s="37" t="n">
        <f aca="false">IF($A35="","",IF(AND(ISNUMBER(V35),ISNUMBER(AH35)),V35+AH35,""))</f>
        <v>20019.05</v>
      </c>
      <c r="K35" s="37" t="n">
        <f aca="false">IF($A35="","",IF(AND(ISNUMBER(W35),ISNUMBER(AI35)),W35+AI35,""))</f>
        <v>20604.01</v>
      </c>
      <c r="L35" s="37" t="n">
        <f aca="false">IF($A35="","",IF(AND(ISNUMBER(X35),ISNUMBER(AJ35)),X35+AJ35,""))</f>
        <v>21200.93</v>
      </c>
      <c r="M35" s="37" t="n">
        <f aca="false">IF($A35="","",IF(AND(ISNUMBER(Y35),ISNUMBER(AK35)),Y35+AK35,""))</f>
        <v>21886.6</v>
      </c>
      <c r="N35" s="37" t="n">
        <f aca="false">IF($A35="","",IF(AND(ISNUMBER(Z35),ISNUMBER(AL35)),Z35+AL35,""))</f>
        <v>22592.07</v>
      </c>
      <c r="O35" s="37" t="n">
        <f aca="false">IF($A35="","",IF(AND(ISNUMBER(AA35),ISNUMBER(AM35)),AA35+AM35,""))</f>
        <v>23279.84</v>
      </c>
      <c r="P35" s="37" t="n">
        <f aca="false">IF($A35="","",IFERROR(1/(1/IF($B35="Residential",SUMIFS(INDEX('Oxford Economics'!$A$7:$AZ$1000,0,IFERROR(MATCH(P$5,'Oxford Economics'!$A$6:$AZ$6,0),MATCH(P$5&amp;"",'Oxford Economics'!$A$6:$AZ$6,0))),'Oxford Economics'!$A$7:$A$1000,$C35,'Oxford Economics'!$B$7:$B$1000,Settings!$B$12)-SUMIFS(INDEX('Oxford Economics'!$A$7:$AZ$1000,0,IFERROR(MATCH(P$5,'Oxford Economics'!$A$6:$AZ$6,0),MATCH(P$5&amp;"",'Oxford Economics'!$A$6:$AZ$6,0))),'Oxford Economics'!$A$7:$A$1000,$C35,'Oxford Economics'!$B$7:$B$1000,Settings!$B$14),SUMIFS(INDEX('Oxford Economics'!$A$7:$AZ$1000,0,IFERROR(MATCH(P$5,'Oxford Economics'!$A$6:$AZ$6,0),MATCH(P$5&amp;"",'Oxford Economics'!$A$6:$AZ$6,0))),'Oxford Economics'!$A$7:$A$1000,$C35,'Oxford Economics'!$B$7:$B$1000,Settings!$B$14)+SUMIFS(INDEX('Oxford Economics'!$A$7:$AZ$1000,0,IFERROR(MATCH(P$5,'Oxford Economics'!$A$6:$AZ$6,0),MATCH(P$5&amp;"",'Oxford Economics'!$A$6:$AZ$6,0))),'Oxford Economics'!$A$7:$A$1000,$C35,'Oxford Economics'!$B$7:$B$1000,Settings!$B$16)+IF(Settings!$B$18="",0,SUMIFS(INDEX('Oxford Economics'!$A$7:$AZ$1000,0,IFERROR(MATCH(P$5,'Oxford Economics'!$A$6:$AZ$6,0),MATCH(P$5&amp;"",'Oxford Economics'!$A$6:$AZ$6,0))),'Oxford Economics'!$A$7:$A$1000,$C35,'Oxford Economics'!$B$7:$B$1000,Settings!$B$18)))),""))</f>
        <v>9544.66</v>
      </c>
      <c r="Q35" s="37" t="n">
        <f aca="false">IF($A35="","",IFERROR(1/(1/IF($B35="Residential",SUMIFS(INDEX('Oxford Economics'!$A$7:$AZ$1000,0,IFERROR(MATCH(Q$5,'Oxford Economics'!$A$6:$AZ$6,0),MATCH(Q$5&amp;"",'Oxford Economics'!$A$6:$AZ$6,0))),'Oxford Economics'!$A$7:$A$1000,$C35,'Oxford Economics'!$B$7:$B$1000,Settings!$B$12)-SUMIFS(INDEX('Oxford Economics'!$A$7:$AZ$1000,0,IFERROR(MATCH(Q$5,'Oxford Economics'!$A$6:$AZ$6,0),MATCH(Q$5&amp;"",'Oxford Economics'!$A$6:$AZ$6,0))),'Oxford Economics'!$A$7:$A$1000,$C35,'Oxford Economics'!$B$7:$B$1000,Settings!$B$14),SUMIFS(INDEX('Oxford Economics'!$A$7:$AZ$1000,0,IFERROR(MATCH(Q$5,'Oxford Economics'!$A$6:$AZ$6,0),MATCH(Q$5&amp;"",'Oxford Economics'!$A$6:$AZ$6,0))),'Oxford Economics'!$A$7:$A$1000,$C35,'Oxford Economics'!$B$7:$B$1000,Settings!$B$14)+SUMIFS(INDEX('Oxford Economics'!$A$7:$AZ$1000,0,IFERROR(MATCH(Q$5,'Oxford Economics'!$A$6:$AZ$6,0),MATCH(Q$5&amp;"",'Oxford Economics'!$A$6:$AZ$6,0))),'Oxford Economics'!$A$7:$A$1000,$C35,'Oxford Economics'!$B$7:$B$1000,Settings!$B$16)+IF(Settings!$B$18="",0,SUMIFS(INDEX('Oxford Economics'!$A$7:$AZ$1000,0,IFERROR(MATCH(Q$5,'Oxford Economics'!$A$6:$AZ$6,0),MATCH(Q$5&amp;"",'Oxford Economics'!$A$6:$AZ$6,0))),'Oxford Economics'!$A$7:$A$1000,$C35,'Oxford Economics'!$B$7:$B$1000,Settings!$B$18)))),""))</f>
        <v>10726.92</v>
      </c>
      <c r="R35" s="37" t="n">
        <f aca="false">IF($A35="","",IFERROR(1/(1/IF($B35="Residential",SUMIFS(INDEX('Oxford Economics'!$A$7:$AZ$1000,0,IFERROR(MATCH(R$5,'Oxford Economics'!$A$6:$AZ$6,0),MATCH(R$5&amp;"",'Oxford Economics'!$A$6:$AZ$6,0))),'Oxford Economics'!$A$7:$A$1000,$C35,'Oxford Economics'!$B$7:$B$1000,Settings!$B$12)-SUMIFS(INDEX('Oxford Economics'!$A$7:$AZ$1000,0,IFERROR(MATCH(R$5,'Oxford Economics'!$A$6:$AZ$6,0),MATCH(R$5&amp;"",'Oxford Economics'!$A$6:$AZ$6,0))),'Oxford Economics'!$A$7:$A$1000,$C35,'Oxford Economics'!$B$7:$B$1000,Settings!$B$14),SUMIFS(INDEX('Oxford Economics'!$A$7:$AZ$1000,0,IFERROR(MATCH(R$5,'Oxford Economics'!$A$6:$AZ$6,0),MATCH(R$5&amp;"",'Oxford Economics'!$A$6:$AZ$6,0))),'Oxford Economics'!$A$7:$A$1000,$C35,'Oxford Economics'!$B$7:$B$1000,Settings!$B$14)+SUMIFS(INDEX('Oxford Economics'!$A$7:$AZ$1000,0,IFERROR(MATCH(R$5,'Oxford Economics'!$A$6:$AZ$6,0),MATCH(R$5&amp;"",'Oxford Economics'!$A$6:$AZ$6,0))),'Oxford Economics'!$A$7:$A$1000,$C35,'Oxford Economics'!$B$7:$B$1000,Settings!$B$16)+IF(Settings!$B$18="",0,SUMIFS(INDEX('Oxford Economics'!$A$7:$AZ$1000,0,IFERROR(MATCH(R$5,'Oxford Economics'!$A$6:$AZ$6,0),MATCH(R$5&amp;"",'Oxford Economics'!$A$6:$AZ$6,0))),'Oxford Economics'!$A$7:$A$1000,$C35,'Oxford Economics'!$B$7:$B$1000,Settings!$B$18)))),""))</f>
        <v>11012.17</v>
      </c>
      <c r="S35" s="37" t="n">
        <f aca="false">IF($A35="","",IFERROR(1/(1/IF($B35="Residential",SUMIFS(INDEX('Oxford Economics'!$A$7:$AZ$1000,0,IFERROR(MATCH(S$5,'Oxford Economics'!$A$6:$AZ$6,0),MATCH(S$5&amp;"",'Oxford Economics'!$A$6:$AZ$6,0))),'Oxford Economics'!$A$7:$A$1000,$C35,'Oxford Economics'!$B$7:$B$1000,Settings!$B$12)-SUMIFS(INDEX('Oxford Economics'!$A$7:$AZ$1000,0,IFERROR(MATCH(S$5,'Oxford Economics'!$A$6:$AZ$6,0),MATCH(S$5&amp;"",'Oxford Economics'!$A$6:$AZ$6,0))),'Oxford Economics'!$A$7:$A$1000,$C35,'Oxford Economics'!$B$7:$B$1000,Settings!$B$14),SUMIFS(INDEX('Oxford Economics'!$A$7:$AZ$1000,0,IFERROR(MATCH(S$5,'Oxford Economics'!$A$6:$AZ$6,0),MATCH(S$5&amp;"",'Oxford Economics'!$A$6:$AZ$6,0))),'Oxford Economics'!$A$7:$A$1000,$C35,'Oxford Economics'!$B$7:$B$1000,Settings!$B$14)+SUMIFS(INDEX('Oxford Economics'!$A$7:$AZ$1000,0,IFERROR(MATCH(S$5,'Oxford Economics'!$A$6:$AZ$6,0),MATCH(S$5&amp;"",'Oxford Economics'!$A$6:$AZ$6,0))),'Oxford Economics'!$A$7:$A$1000,$C35,'Oxford Economics'!$B$7:$B$1000,Settings!$B$16)+IF(Settings!$B$18="",0,SUMIFS(INDEX('Oxford Economics'!$A$7:$AZ$1000,0,IFERROR(MATCH(S$5,'Oxford Economics'!$A$6:$AZ$6,0),MATCH(S$5&amp;"",'Oxford Economics'!$A$6:$AZ$6,0))),'Oxford Economics'!$A$7:$A$1000,$C35,'Oxford Economics'!$B$7:$B$1000,Settings!$B$18)))),""))</f>
        <v>11107.61</v>
      </c>
      <c r="T35" s="37" t="n">
        <f aca="false">IF($A35="","",IFERROR(1/(1/IF($B35="Residential",SUMIFS(INDEX('Oxford Economics'!$A$7:$AZ$1000,0,IFERROR(MATCH(T$5,'Oxford Economics'!$A$6:$AZ$6,0),MATCH(T$5&amp;"",'Oxford Economics'!$A$6:$AZ$6,0))),'Oxford Economics'!$A$7:$A$1000,$C35,'Oxford Economics'!$B$7:$B$1000,Settings!$B$12)-SUMIFS(INDEX('Oxford Economics'!$A$7:$AZ$1000,0,IFERROR(MATCH(T$5,'Oxford Economics'!$A$6:$AZ$6,0),MATCH(T$5&amp;"",'Oxford Economics'!$A$6:$AZ$6,0))),'Oxford Economics'!$A$7:$A$1000,$C35,'Oxford Economics'!$B$7:$B$1000,Settings!$B$14),SUMIFS(INDEX('Oxford Economics'!$A$7:$AZ$1000,0,IFERROR(MATCH(T$5,'Oxford Economics'!$A$6:$AZ$6,0),MATCH(T$5&amp;"",'Oxford Economics'!$A$6:$AZ$6,0))),'Oxford Economics'!$A$7:$A$1000,$C35,'Oxford Economics'!$B$7:$B$1000,Settings!$B$14)+SUMIFS(INDEX('Oxford Economics'!$A$7:$AZ$1000,0,IFERROR(MATCH(T$5,'Oxford Economics'!$A$6:$AZ$6,0),MATCH(T$5&amp;"",'Oxford Economics'!$A$6:$AZ$6,0))),'Oxford Economics'!$A$7:$A$1000,$C35,'Oxford Economics'!$B$7:$B$1000,Settings!$B$16)+IF(Settings!$B$18="",0,SUMIFS(INDEX('Oxford Economics'!$A$7:$AZ$1000,0,IFERROR(MATCH(T$5,'Oxford Economics'!$A$6:$AZ$6,0),MATCH(T$5&amp;"",'Oxford Economics'!$A$6:$AZ$6,0))),'Oxford Economics'!$A$7:$A$1000,$C35,'Oxford Economics'!$B$7:$B$1000,Settings!$B$18)))),""))</f>
        <v>11312.89</v>
      </c>
      <c r="U35" s="37" t="n">
        <f aca="false">IF($A35="","",IFERROR(1/(1/IF($B35="Residential",SUMIFS(INDEX('Oxford Economics'!$A$7:$AZ$1000,0,IFERROR(MATCH(U$5,'Oxford Economics'!$A$6:$AZ$6,0),MATCH(U$5&amp;"",'Oxford Economics'!$A$6:$AZ$6,0))),'Oxford Economics'!$A$7:$A$1000,$C35,'Oxford Economics'!$B$7:$B$1000,Settings!$B$12)-SUMIFS(INDEX('Oxford Economics'!$A$7:$AZ$1000,0,IFERROR(MATCH(U$5,'Oxford Economics'!$A$6:$AZ$6,0),MATCH(U$5&amp;"",'Oxford Economics'!$A$6:$AZ$6,0))),'Oxford Economics'!$A$7:$A$1000,$C35,'Oxford Economics'!$B$7:$B$1000,Settings!$B$14),SUMIFS(INDEX('Oxford Economics'!$A$7:$AZ$1000,0,IFERROR(MATCH(U$5,'Oxford Economics'!$A$6:$AZ$6,0),MATCH(U$5&amp;"",'Oxford Economics'!$A$6:$AZ$6,0))),'Oxford Economics'!$A$7:$A$1000,$C35,'Oxford Economics'!$B$7:$B$1000,Settings!$B$14)+SUMIFS(INDEX('Oxford Economics'!$A$7:$AZ$1000,0,IFERROR(MATCH(U$5,'Oxford Economics'!$A$6:$AZ$6,0),MATCH(U$5&amp;"",'Oxford Economics'!$A$6:$AZ$6,0))),'Oxford Economics'!$A$7:$A$1000,$C35,'Oxford Economics'!$B$7:$B$1000,Settings!$B$16)+IF(Settings!$B$18="",0,SUMIFS(INDEX('Oxford Economics'!$A$7:$AZ$1000,0,IFERROR(MATCH(U$5,'Oxford Economics'!$A$6:$AZ$6,0),MATCH(U$5&amp;"",'Oxford Economics'!$A$6:$AZ$6,0))),'Oxford Economics'!$A$7:$A$1000,$C35,'Oxford Economics'!$B$7:$B$1000,Settings!$B$18)))),""))</f>
        <v>11539.3</v>
      </c>
      <c r="V35" s="37" t="n">
        <f aca="false">IF($A35="","",IFERROR(1/(1/IF($B35="Residential",SUMIFS(INDEX('Oxford Economics'!$A$7:$AZ$1000,0,IFERROR(MATCH(V$5,'Oxford Economics'!$A$6:$AZ$6,0),MATCH(V$5&amp;"",'Oxford Economics'!$A$6:$AZ$6,0))),'Oxford Economics'!$A$7:$A$1000,$C35,'Oxford Economics'!$B$7:$B$1000,Settings!$B$12)-SUMIFS(INDEX('Oxford Economics'!$A$7:$AZ$1000,0,IFERROR(MATCH(V$5,'Oxford Economics'!$A$6:$AZ$6,0),MATCH(V$5&amp;"",'Oxford Economics'!$A$6:$AZ$6,0))),'Oxford Economics'!$A$7:$A$1000,$C35,'Oxford Economics'!$B$7:$B$1000,Settings!$B$14),SUMIFS(INDEX('Oxford Economics'!$A$7:$AZ$1000,0,IFERROR(MATCH(V$5,'Oxford Economics'!$A$6:$AZ$6,0),MATCH(V$5&amp;"",'Oxford Economics'!$A$6:$AZ$6,0))),'Oxford Economics'!$A$7:$A$1000,$C35,'Oxford Economics'!$B$7:$B$1000,Settings!$B$14)+SUMIFS(INDEX('Oxford Economics'!$A$7:$AZ$1000,0,IFERROR(MATCH(V$5,'Oxford Economics'!$A$6:$AZ$6,0),MATCH(V$5&amp;"",'Oxford Economics'!$A$6:$AZ$6,0))),'Oxford Economics'!$A$7:$A$1000,$C35,'Oxford Economics'!$B$7:$B$1000,Settings!$B$16)+IF(Settings!$B$18="",0,SUMIFS(INDEX('Oxford Economics'!$A$7:$AZ$1000,0,IFERROR(MATCH(V$5,'Oxford Economics'!$A$6:$AZ$6,0),MATCH(V$5&amp;"",'Oxford Economics'!$A$6:$AZ$6,0))),'Oxford Economics'!$A$7:$A$1000,$C35,'Oxford Economics'!$B$7:$B$1000,Settings!$B$18)))),""))</f>
        <v>11755.23</v>
      </c>
      <c r="W35" s="37" t="n">
        <f aca="false">IF($A35="","",IFERROR(1/(1/IF($B35="Residential",SUMIFS(INDEX('Oxford Economics'!$A$7:$AZ$1000,0,IFERROR(MATCH(W$5,'Oxford Economics'!$A$6:$AZ$6,0),MATCH(W$5&amp;"",'Oxford Economics'!$A$6:$AZ$6,0))),'Oxford Economics'!$A$7:$A$1000,$C35,'Oxford Economics'!$B$7:$B$1000,Settings!$B$12)-SUMIFS(INDEX('Oxford Economics'!$A$7:$AZ$1000,0,IFERROR(MATCH(W$5,'Oxford Economics'!$A$6:$AZ$6,0),MATCH(W$5&amp;"",'Oxford Economics'!$A$6:$AZ$6,0))),'Oxford Economics'!$A$7:$A$1000,$C35,'Oxford Economics'!$B$7:$B$1000,Settings!$B$14),SUMIFS(INDEX('Oxford Economics'!$A$7:$AZ$1000,0,IFERROR(MATCH(W$5,'Oxford Economics'!$A$6:$AZ$6,0),MATCH(W$5&amp;"",'Oxford Economics'!$A$6:$AZ$6,0))),'Oxford Economics'!$A$7:$A$1000,$C35,'Oxford Economics'!$B$7:$B$1000,Settings!$B$14)+SUMIFS(INDEX('Oxford Economics'!$A$7:$AZ$1000,0,IFERROR(MATCH(W$5,'Oxford Economics'!$A$6:$AZ$6,0),MATCH(W$5&amp;"",'Oxford Economics'!$A$6:$AZ$6,0))),'Oxford Economics'!$A$7:$A$1000,$C35,'Oxford Economics'!$B$7:$B$1000,Settings!$B$16)+IF(Settings!$B$18="",0,SUMIFS(INDEX('Oxford Economics'!$A$7:$AZ$1000,0,IFERROR(MATCH(W$5,'Oxford Economics'!$A$6:$AZ$6,0),MATCH(W$5&amp;"",'Oxford Economics'!$A$6:$AZ$6,0))),'Oxford Economics'!$A$7:$A$1000,$C35,'Oxford Economics'!$B$7:$B$1000,Settings!$B$18)))),""))</f>
        <v>12219.74</v>
      </c>
      <c r="X35" s="37" t="n">
        <f aca="false">IF($A35="","",IFERROR(1/(1/IF($B35="Residential",SUMIFS(INDEX('Oxford Economics'!$A$7:$AZ$1000,0,IFERROR(MATCH(X$5,'Oxford Economics'!$A$6:$AZ$6,0),MATCH(X$5&amp;"",'Oxford Economics'!$A$6:$AZ$6,0))),'Oxford Economics'!$A$7:$A$1000,$C35,'Oxford Economics'!$B$7:$B$1000,Settings!$B$12)-SUMIFS(INDEX('Oxford Economics'!$A$7:$AZ$1000,0,IFERROR(MATCH(X$5,'Oxford Economics'!$A$6:$AZ$6,0),MATCH(X$5&amp;"",'Oxford Economics'!$A$6:$AZ$6,0))),'Oxford Economics'!$A$7:$A$1000,$C35,'Oxford Economics'!$B$7:$B$1000,Settings!$B$14),SUMIFS(INDEX('Oxford Economics'!$A$7:$AZ$1000,0,IFERROR(MATCH(X$5,'Oxford Economics'!$A$6:$AZ$6,0),MATCH(X$5&amp;"",'Oxford Economics'!$A$6:$AZ$6,0))),'Oxford Economics'!$A$7:$A$1000,$C35,'Oxford Economics'!$B$7:$B$1000,Settings!$B$14)+SUMIFS(INDEX('Oxford Economics'!$A$7:$AZ$1000,0,IFERROR(MATCH(X$5,'Oxford Economics'!$A$6:$AZ$6,0),MATCH(X$5&amp;"",'Oxford Economics'!$A$6:$AZ$6,0))),'Oxford Economics'!$A$7:$A$1000,$C35,'Oxford Economics'!$B$7:$B$1000,Settings!$B$16)+IF(Settings!$B$18="",0,SUMIFS(INDEX('Oxford Economics'!$A$7:$AZ$1000,0,IFERROR(MATCH(X$5,'Oxford Economics'!$A$6:$AZ$6,0),MATCH(X$5&amp;"",'Oxford Economics'!$A$6:$AZ$6,0))),'Oxford Economics'!$A$7:$A$1000,$C35,'Oxford Economics'!$B$7:$B$1000,Settings!$B$18)))),""))</f>
        <v>12720.39</v>
      </c>
      <c r="Y35" s="37" t="n">
        <f aca="false">IF($A35="","",IFERROR(1/(1/IF($B35="Residential",SUMIFS(INDEX('Oxford Economics'!$A$7:$AZ$1000,0,IFERROR(MATCH(Y$5,'Oxford Economics'!$A$6:$AZ$6,0),MATCH(Y$5&amp;"",'Oxford Economics'!$A$6:$AZ$6,0))),'Oxford Economics'!$A$7:$A$1000,$C35,'Oxford Economics'!$B$7:$B$1000,Settings!$B$12)-SUMIFS(INDEX('Oxford Economics'!$A$7:$AZ$1000,0,IFERROR(MATCH(Y$5,'Oxford Economics'!$A$6:$AZ$6,0),MATCH(Y$5&amp;"",'Oxford Economics'!$A$6:$AZ$6,0))),'Oxford Economics'!$A$7:$A$1000,$C35,'Oxford Economics'!$B$7:$B$1000,Settings!$B$14),SUMIFS(INDEX('Oxford Economics'!$A$7:$AZ$1000,0,IFERROR(MATCH(Y$5,'Oxford Economics'!$A$6:$AZ$6,0),MATCH(Y$5&amp;"",'Oxford Economics'!$A$6:$AZ$6,0))),'Oxford Economics'!$A$7:$A$1000,$C35,'Oxford Economics'!$B$7:$B$1000,Settings!$B$14)+SUMIFS(INDEX('Oxford Economics'!$A$7:$AZ$1000,0,IFERROR(MATCH(Y$5,'Oxford Economics'!$A$6:$AZ$6,0),MATCH(Y$5&amp;"",'Oxford Economics'!$A$6:$AZ$6,0))),'Oxford Economics'!$A$7:$A$1000,$C35,'Oxford Economics'!$B$7:$B$1000,Settings!$B$16)+IF(Settings!$B$18="",0,SUMIFS(INDEX('Oxford Economics'!$A$7:$AZ$1000,0,IFERROR(MATCH(Y$5,'Oxford Economics'!$A$6:$AZ$6,0),MATCH(Y$5&amp;"",'Oxford Economics'!$A$6:$AZ$6,0))),'Oxford Economics'!$A$7:$A$1000,$C35,'Oxford Economics'!$B$7:$B$1000,Settings!$B$18)))),""))</f>
        <v>13286.88</v>
      </c>
      <c r="Z35" s="37" t="n">
        <f aca="false">IF($A35="","",IFERROR(1/(1/IF($B35="Residential",SUMIFS(INDEX('Oxford Economics'!$A$7:$AZ$1000,0,IFERROR(MATCH(Z$5,'Oxford Economics'!$A$6:$AZ$6,0),MATCH(Z$5&amp;"",'Oxford Economics'!$A$6:$AZ$6,0))),'Oxford Economics'!$A$7:$A$1000,$C35,'Oxford Economics'!$B$7:$B$1000,Settings!$B$12)-SUMIFS(INDEX('Oxford Economics'!$A$7:$AZ$1000,0,IFERROR(MATCH(Z$5,'Oxford Economics'!$A$6:$AZ$6,0),MATCH(Z$5&amp;"",'Oxford Economics'!$A$6:$AZ$6,0))),'Oxford Economics'!$A$7:$A$1000,$C35,'Oxford Economics'!$B$7:$B$1000,Settings!$B$14),SUMIFS(INDEX('Oxford Economics'!$A$7:$AZ$1000,0,IFERROR(MATCH(Z$5,'Oxford Economics'!$A$6:$AZ$6,0),MATCH(Z$5&amp;"",'Oxford Economics'!$A$6:$AZ$6,0))),'Oxford Economics'!$A$7:$A$1000,$C35,'Oxford Economics'!$B$7:$B$1000,Settings!$B$14)+SUMIFS(INDEX('Oxford Economics'!$A$7:$AZ$1000,0,IFERROR(MATCH(Z$5,'Oxford Economics'!$A$6:$AZ$6,0),MATCH(Z$5&amp;"",'Oxford Economics'!$A$6:$AZ$6,0))),'Oxford Economics'!$A$7:$A$1000,$C35,'Oxford Economics'!$B$7:$B$1000,Settings!$B$16)+IF(Settings!$B$18="",0,SUMIFS(INDEX('Oxford Economics'!$A$7:$AZ$1000,0,IFERROR(MATCH(Z$5,'Oxford Economics'!$A$6:$AZ$6,0),MATCH(Z$5&amp;"",'Oxford Economics'!$A$6:$AZ$6,0))),'Oxford Economics'!$A$7:$A$1000,$C35,'Oxford Economics'!$B$7:$B$1000,Settings!$B$18)))),""))</f>
        <v>13814.27</v>
      </c>
      <c r="AA35" s="37" t="n">
        <f aca="false">IF($A35="","",IFERROR(1/(1/IF($B35="Residential",SUMIFS(INDEX('Oxford Economics'!$A$7:$AZ$1000,0,IFERROR(MATCH(AA$5,'Oxford Economics'!$A$6:$AZ$6,0),MATCH(AA$5&amp;"",'Oxford Economics'!$A$6:$AZ$6,0))),'Oxford Economics'!$A$7:$A$1000,$C35,'Oxford Economics'!$B$7:$B$1000,Settings!$B$12)-SUMIFS(INDEX('Oxford Economics'!$A$7:$AZ$1000,0,IFERROR(MATCH(AA$5,'Oxford Economics'!$A$6:$AZ$6,0),MATCH(AA$5&amp;"",'Oxford Economics'!$A$6:$AZ$6,0))),'Oxford Economics'!$A$7:$A$1000,$C35,'Oxford Economics'!$B$7:$B$1000,Settings!$B$14),SUMIFS(INDEX('Oxford Economics'!$A$7:$AZ$1000,0,IFERROR(MATCH(AA$5,'Oxford Economics'!$A$6:$AZ$6,0),MATCH(AA$5&amp;"",'Oxford Economics'!$A$6:$AZ$6,0))),'Oxford Economics'!$A$7:$A$1000,$C35,'Oxford Economics'!$B$7:$B$1000,Settings!$B$14)+SUMIFS(INDEX('Oxford Economics'!$A$7:$AZ$1000,0,IFERROR(MATCH(AA$5,'Oxford Economics'!$A$6:$AZ$6,0),MATCH(AA$5&amp;"",'Oxford Economics'!$A$6:$AZ$6,0))),'Oxford Economics'!$A$7:$A$1000,$C35,'Oxford Economics'!$B$7:$B$1000,Settings!$B$16)+IF(Settings!$B$18="",0,SUMIFS(INDEX('Oxford Economics'!$A$7:$AZ$1000,0,IFERROR(MATCH(AA$5,'Oxford Economics'!$A$6:$AZ$6,0),MATCH(AA$5&amp;"",'Oxford Economics'!$A$6:$AZ$6,0))),'Oxford Economics'!$A$7:$A$1000,$C35,'Oxford Economics'!$B$7:$B$1000,Settings!$B$18)))),""))</f>
        <v>14149.44</v>
      </c>
      <c r="AB35" s="37" t="n">
        <f aca="false">IF($A35="","",IFERROR(1/(1/IF($B35="Residential",SUMIFS(INDEX('Oxford Economics'!$A$7:$AZ$1000,0,IFERROR(MATCH(AB$5,'Oxford Economics'!$A$6:$AZ$6,0),MATCH(AB$5&amp;"",'Oxford Economics'!$A$6:$AZ$6,0))),'Oxford Economics'!$A$7:$A$1000,$C35,'Oxford Economics'!$B$7:$B$1000,Settings!$B$11)-SUMIFS(INDEX('Oxford Economics'!$A$7:$AZ$1000,0,IFERROR(MATCH(AB$5,'Oxford Economics'!$A$6:$AZ$6,0),MATCH(AB$5&amp;"",'Oxford Economics'!$A$6:$AZ$6,0))),'Oxford Economics'!$A$7:$A$1000,$C35,'Oxford Economics'!$B$7:$B$1000,Settings!$B$13),SUMIFS(INDEX('Oxford Economics'!$A$7:$AZ$1000,0,IFERROR(MATCH(AB$5,'Oxford Economics'!$A$6:$AZ$6,0),MATCH(AB$5&amp;"",'Oxford Economics'!$A$6:$AZ$6,0))),'Oxford Economics'!$A$7:$A$1000,$C35,'Oxford Economics'!$B$7:$B$1000,Settings!$B$13)+SUMIFS(INDEX('Oxford Economics'!$A$7:$AZ$1000,0,IFERROR(MATCH(AB$5,'Oxford Economics'!$A$6:$AZ$6,0),MATCH(AB$5&amp;"",'Oxford Economics'!$A$6:$AZ$6,0))),'Oxford Economics'!$A$7:$A$1000,$C35,'Oxford Economics'!$B$7:$B$1000,Settings!$B$15)+IF(Settings!$B$17="",0,SUMIFS(INDEX('Oxford Economics'!$A$7:$AZ$1000,0,IFERROR(MATCH(AB$5,'Oxford Economics'!$A$6:$AZ$6,0),MATCH(AB$5&amp;"",'Oxford Economics'!$A$6:$AZ$6,0))),'Oxford Economics'!$A$7:$A$1000,$C35,'Oxford Economics'!$B$7:$B$1000,Settings!$B$17)))),""))</f>
        <v>7755.72</v>
      </c>
      <c r="AC35" s="37" t="n">
        <f aca="false">IF($A35="","",IFERROR(1/(1/IF($B35="Residential",SUMIFS(INDEX('Oxford Economics'!$A$7:$AZ$1000,0,IFERROR(MATCH(AC$5,'Oxford Economics'!$A$6:$AZ$6,0),MATCH(AC$5&amp;"",'Oxford Economics'!$A$6:$AZ$6,0))),'Oxford Economics'!$A$7:$A$1000,$C35,'Oxford Economics'!$B$7:$B$1000,Settings!$B$11)-SUMIFS(INDEX('Oxford Economics'!$A$7:$AZ$1000,0,IFERROR(MATCH(AC$5,'Oxford Economics'!$A$6:$AZ$6,0),MATCH(AC$5&amp;"",'Oxford Economics'!$A$6:$AZ$6,0))),'Oxford Economics'!$A$7:$A$1000,$C35,'Oxford Economics'!$B$7:$B$1000,Settings!$B$13),SUMIFS(INDEX('Oxford Economics'!$A$7:$AZ$1000,0,IFERROR(MATCH(AC$5,'Oxford Economics'!$A$6:$AZ$6,0),MATCH(AC$5&amp;"",'Oxford Economics'!$A$6:$AZ$6,0))),'Oxford Economics'!$A$7:$A$1000,$C35,'Oxford Economics'!$B$7:$B$1000,Settings!$B$13)+SUMIFS(INDEX('Oxford Economics'!$A$7:$AZ$1000,0,IFERROR(MATCH(AC$5,'Oxford Economics'!$A$6:$AZ$6,0),MATCH(AC$5&amp;"",'Oxford Economics'!$A$6:$AZ$6,0))),'Oxford Economics'!$A$7:$A$1000,$C35,'Oxford Economics'!$B$7:$B$1000,Settings!$B$15)+IF(Settings!$B$17="",0,SUMIFS(INDEX('Oxford Economics'!$A$7:$AZ$1000,0,IFERROR(MATCH(AC$5,'Oxford Economics'!$A$6:$AZ$6,0),MATCH(AC$5&amp;"",'Oxford Economics'!$A$6:$AZ$6,0))),'Oxford Economics'!$A$7:$A$1000,$C35,'Oxford Economics'!$B$7:$B$1000,Settings!$B$17)))),""))</f>
        <v>8361.32</v>
      </c>
      <c r="AD35" s="37" t="n">
        <f aca="false">IF($A35="","",IFERROR(1/(1/IF($B35="Residential",SUMIFS(INDEX('Oxford Economics'!$A$7:$AZ$1000,0,IFERROR(MATCH(AD$5,'Oxford Economics'!$A$6:$AZ$6,0),MATCH(AD$5&amp;"",'Oxford Economics'!$A$6:$AZ$6,0))),'Oxford Economics'!$A$7:$A$1000,$C35,'Oxford Economics'!$B$7:$B$1000,Settings!$B$11)-SUMIFS(INDEX('Oxford Economics'!$A$7:$AZ$1000,0,IFERROR(MATCH(AD$5,'Oxford Economics'!$A$6:$AZ$6,0),MATCH(AD$5&amp;"",'Oxford Economics'!$A$6:$AZ$6,0))),'Oxford Economics'!$A$7:$A$1000,$C35,'Oxford Economics'!$B$7:$B$1000,Settings!$B$13),SUMIFS(INDEX('Oxford Economics'!$A$7:$AZ$1000,0,IFERROR(MATCH(AD$5,'Oxford Economics'!$A$6:$AZ$6,0),MATCH(AD$5&amp;"",'Oxford Economics'!$A$6:$AZ$6,0))),'Oxford Economics'!$A$7:$A$1000,$C35,'Oxford Economics'!$B$7:$B$1000,Settings!$B$13)+SUMIFS(INDEX('Oxford Economics'!$A$7:$AZ$1000,0,IFERROR(MATCH(AD$5,'Oxford Economics'!$A$6:$AZ$6,0),MATCH(AD$5&amp;"",'Oxford Economics'!$A$6:$AZ$6,0))),'Oxford Economics'!$A$7:$A$1000,$C35,'Oxford Economics'!$B$7:$B$1000,Settings!$B$15)+IF(Settings!$B$17="",0,SUMIFS(INDEX('Oxford Economics'!$A$7:$AZ$1000,0,IFERROR(MATCH(AD$5,'Oxford Economics'!$A$6:$AZ$6,0),MATCH(AD$5&amp;"",'Oxford Economics'!$A$6:$AZ$6,0))),'Oxford Economics'!$A$7:$A$1000,$C35,'Oxford Economics'!$B$7:$B$1000,Settings!$B$17)))),""))</f>
        <v>8156.3</v>
      </c>
      <c r="AE35" s="37" t="n">
        <f aca="false">IF($A35="","",IFERROR(1/(1/IF($B35="Residential",SUMIFS(INDEX('Oxford Economics'!$A$7:$AZ$1000,0,IFERROR(MATCH(AE$5,'Oxford Economics'!$A$6:$AZ$6,0),MATCH(AE$5&amp;"",'Oxford Economics'!$A$6:$AZ$6,0))),'Oxford Economics'!$A$7:$A$1000,$C35,'Oxford Economics'!$B$7:$B$1000,Settings!$B$11)-SUMIFS(INDEX('Oxford Economics'!$A$7:$AZ$1000,0,IFERROR(MATCH(AE$5,'Oxford Economics'!$A$6:$AZ$6,0),MATCH(AE$5&amp;"",'Oxford Economics'!$A$6:$AZ$6,0))),'Oxford Economics'!$A$7:$A$1000,$C35,'Oxford Economics'!$B$7:$B$1000,Settings!$B$13),SUMIFS(INDEX('Oxford Economics'!$A$7:$AZ$1000,0,IFERROR(MATCH(AE$5,'Oxford Economics'!$A$6:$AZ$6,0),MATCH(AE$5&amp;"",'Oxford Economics'!$A$6:$AZ$6,0))),'Oxford Economics'!$A$7:$A$1000,$C35,'Oxford Economics'!$B$7:$B$1000,Settings!$B$13)+SUMIFS(INDEX('Oxford Economics'!$A$7:$AZ$1000,0,IFERROR(MATCH(AE$5,'Oxford Economics'!$A$6:$AZ$6,0),MATCH(AE$5&amp;"",'Oxford Economics'!$A$6:$AZ$6,0))),'Oxford Economics'!$A$7:$A$1000,$C35,'Oxford Economics'!$B$7:$B$1000,Settings!$B$15)+IF(Settings!$B$17="",0,SUMIFS(INDEX('Oxford Economics'!$A$7:$AZ$1000,0,IFERROR(MATCH(AE$5,'Oxford Economics'!$A$6:$AZ$6,0),MATCH(AE$5&amp;"",'Oxford Economics'!$A$6:$AZ$6,0))),'Oxford Economics'!$A$7:$A$1000,$C35,'Oxford Economics'!$B$7:$B$1000,Settings!$B$17)))),""))</f>
        <v>7946.37</v>
      </c>
      <c r="AF35" s="37" t="n">
        <f aca="false">IF($A35="","",IFERROR(1/(1/IF($B35="Residential",SUMIFS(INDEX('Oxford Economics'!$A$7:$AZ$1000,0,IFERROR(MATCH(AF$5,'Oxford Economics'!$A$6:$AZ$6,0),MATCH(AF$5&amp;"",'Oxford Economics'!$A$6:$AZ$6,0))),'Oxford Economics'!$A$7:$A$1000,$C35,'Oxford Economics'!$B$7:$B$1000,Settings!$B$11)-SUMIFS(INDEX('Oxford Economics'!$A$7:$AZ$1000,0,IFERROR(MATCH(AF$5,'Oxford Economics'!$A$6:$AZ$6,0),MATCH(AF$5&amp;"",'Oxford Economics'!$A$6:$AZ$6,0))),'Oxford Economics'!$A$7:$A$1000,$C35,'Oxford Economics'!$B$7:$B$1000,Settings!$B$13),SUMIFS(INDEX('Oxford Economics'!$A$7:$AZ$1000,0,IFERROR(MATCH(AF$5,'Oxford Economics'!$A$6:$AZ$6,0),MATCH(AF$5&amp;"",'Oxford Economics'!$A$6:$AZ$6,0))),'Oxford Economics'!$A$7:$A$1000,$C35,'Oxford Economics'!$B$7:$B$1000,Settings!$B$13)+SUMIFS(INDEX('Oxford Economics'!$A$7:$AZ$1000,0,IFERROR(MATCH(AF$5,'Oxford Economics'!$A$6:$AZ$6,0),MATCH(AF$5&amp;"",'Oxford Economics'!$A$6:$AZ$6,0))),'Oxford Economics'!$A$7:$A$1000,$C35,'Oxford Economics'!$B$7:$B$1000,Settings!$B$15)+IF(Settings!$B$17="",0,SUMIFS(INDEX('Oxford Economics'!$A$7:$AZ$1000,0,IFERROR(MATCH(AF$5,'Oxford Economics'!$A$6:$AZ$6,0),MATCH(AF$5&amp;"",'Oxford Economics'!$A$6:$AZ$6,0))),'Oxford Economics'!$A$7:$A$1000,$C35,'Oxford Economics'!$B$7:$B$1000,Settings!$B$17)))),""))</f>
        <v>8056.26</v>
      </c>
      <c r="AG35" s="37" t="n">
        <f aca="false">IF($A35="","",IFERROR(1/(1/IF($B35="Residential",SUMIFS(INDEX('Oxford Economics'!$A$7:$AZ$1000,0,IFERROR(MATCH(AG$5,'Oxford Economics'!$A$6:$AZ$6,0),MATCH(AG$5&amp;"",'Oxford Economics'!$A$6:$AZ$6,0))),'Oxford Economics'!$A$7:$A$1000,$C35,'Oxford Economics'!$B$7:$B$1000,Settings!$B$11)-SUMIFS(INDEX('Oxford Economics'!$A$7:$AZ$1000,0,IFERROR(MATCH(AG$5,'Oxford Economics'!$A$6:$AZ$6,0),MATCH(AG$5&amp;"",'Oxford Economics'!$A$6:$AZ$6,0))),'Oxford Economics'!$A$7:$A$1000,$C35,'Oxford Economics'!$B$7:$B$1000,Settings!$B$13),SUMIFS(INDEX('Oxford Economics'!$A$7:$AZ$1000,0,IFERROR(MATCH(AG$5,'Oxford Economics'!$A$6:$AZ$6,0),MATCH(AG$5&amp;"",'Oxford Economics'!$A$6:$AZ$6,0))),'Oxford Economics'!$A$7:$A$1000,$C35,'Oxford Economics'!$B$7:$B$1000,Settings!$B$13)+SUMIFS(INDEX('Oxford Economics'!$A$7:$AZ$1000,0,IFERROR(MATCH(AG$5,'Oxford Economics'!$A$6:$AZ$6,0),MATCH(AG$5&amp;"",'Oxford Economics'!$A$6:$AZ$6,0))),'Oxford Economics'!$A$7:$A$1000,$C35,'Oxford Economics'!$B$7:$B$1000,Settings!$B$15)+IF(Settings!$B$17="",0,SUMIFS(INDEX('Oxford Economics'!$A$7:$AZ$1000,0,IFERROR(MATCH(AG$5,'Oxford Economics'!$A$6:$AZ$6,0),MATCH(AG$5&amp;"",'Oxford Economics'!$A$6:$AZ$6,0))),'Oxford Economics'!$A$7:$A$1000,$C35,'Oxford Economics'!$B$7:$B$1000,Settings!$B$17)))),""))</f>
        <v>8123.39</v>
      </c>
      <c r="AH35" s="37" t="n">
        <f aca="false">IF($A35="","",IFERROR(1/(1/IF($B35="Residential",SUMIFS(INDEX('Oxford Economics'!$A$7:$AZ$1000,0,IFERROR(MATCH(AH$5,'Oxford Economics'!$A$6:$AZ$6,0),MATCH(AH$5&amp;"",'Oxford Economics'!$A$6:$AZ$6,0))),'Oxford Economics'!$A$7:$A$1000,$C35,'Oxford Economics'!$B$7:$B$1000,Settings!$B$11)-SUMIFS(INDEX('Oxford Economics'!$A$7:$AZ$1000,0,IFERROR(MATCH(AH$5,'Oxford Economics'!$A$6:$AZ$6,0),MATCH(AH$5&amp;"",'Oxford Economics'!$A$6:$AZ$6,0))),'Oxford Economics'!$A$7:$A$1000,$C35,'Oxford Economics'!$B$7:$B$1000,Settings!$B$13),SUMIFS(INDEX('Oxford Economics'!$A$7:$AZ$1000,0,IFERROR(MATCH(AH$5,'Oxford Economics'!$A$6:$AZ$6,0),MATCH(AH$5&amp;"",'Oxford Economics'!$A$6:$AZ$6,0))),'Oxford Economics'!$A$7:$A$1000,$C35,'Oxford Economics'!$B$7:$B$1000,Settings!$B$13)+SUMIFS(INDEX('Oxford Economics'!$A$7:$AZ$1000,0,IFERROR(MATCH(AH$5,'Oxford Economics'!$A$6:$AZ$6,0),MATCH(AH$5&amp;"",'Oxford Economics'!$A$6:$AZ$6,0))),'Oxford Economics'!$A$7:$A$1000,$C35,'Oxford Economics'!$B$7:$B$1000,Settings!$B$15)+IF(Settings!$B$17="",0,SUMIFS(INDEX('Oxford Economics'!$A$7:$AZ$1000,0,IFERROR(MATCH(AH$5,'Oxford Economics'!$A$6:$AZ$6,0),MATCH(AH$5&amp;"",'Oxford Economics'!$A$6:$AZ$6,0))),'Oxford Economics'!$A$7:$A$1000,$C35,'Oxford Economics'!$B$7:$B$1000,Settings!$B$17)))),""))</f>
        <v>8263.82</v>
      </c>
      <c r="AI35" s="37" t="n">
        <f aca="false">IF($A35="","",IFERROR(1/(1/IF($B35="Residential",SUMIFS(INDEX('Oxford Economics'!$A$7:$AZ$1000,0,IFERROR(MATCH(AI$5,'Oxford Economics'!$A$6:$AZ$6,0),MATCH(AI$5&amp;"",'Oxford Economics'!$A$6:$AZ$6,0))),'Oxford Economics'!$A$7:$A$1000,$C35,'Oxford Economics'!$B$7:$B$1000,Settings!$B$11)-SUMIFS(INDEX('Oxford Economics'!$A$7:$AZ$1000,0,IFERROR(MATCH(AI$5,'Oxford Economics'!$A$6:$AZ$6,0),MATCH(AI$5&amp;"",'Oxford Economics'!$A$6:$AZ$6,0))),'Oxford Economics'!$A$7:$A$1000,$C35,'Oxford Economics'!$B$7:$B$1000,Settings!$B$13),SUMIFS(INDEX('Oxford Economics'!$A$7:$AZ$1000,0,IFERROR(MATCH(AI$5,'Oxford Economics'!$A$6:$AZ$6,0),MATCH(AI$5&amp;"",'Oxford Economics'!$A$6:$AZ$6,0))),'Oxford Economics'!$A$7:$A$1000,$C35,'Oxford Economics'!$B$7:$B$1000,Settings!$B$13)+SUMIFS(INDEX('Oxford Economics'!$A$7:$AZ$1000,0,IFERROR(MATCH(AI$5,'Oxford Economics'!$A$6:$AZ$6,0),MATCH(AI$5&amp;"",'Oxford Economics'!$A$6:$AZ$6,0))),'Oxford Economics'!$A$7:$A$1000,$C35,'Oxford Economics'!$B$7:$B$1000,Settings!$B$15)+IF(Settings!$B$17="",0,SUMIFS(INDEX('Oxford Economics'!$A$7:$AZ$1000,0,IFERROR(MATCH(AI$5,'Oxford Economics'!$A$6:$AZ$6,0),MATCH(AI$5&amp;"",'Oxford Economics'!$A$6:$AZ$6,0))),'Oxford Economics'!$A$7:$A$1000,$C35,'Oxford Economics'!$B$7:$B$1000,Settings!$B$17)))),""))</f>
        <v>8384.27</v>
      </c>
      <c r="AJ35" s="37" t="n">
        <f aca="false">IF($A35="","",IFERROR(1/(1/IF($B35="Residential",SUMIFS(INDEX('Oxford Economics'!$A$7:$AZ$1000,0,IFERROR(MATCH(AJ$5,'Oxford Economics'!$A$6:$AZ$6,0),MATCH(AJ$5&amp;"",'Oxford Economics'!$A$6:$AZ$6,0))),'Oxford Economics'!$A$7:$A$1000,$C35,'Oxford Economics'!$B$7:$B$1000,Settings!$B$11)-SUMIFS(INDEX('Oxford Economics'!$A$7:$AZ$1000,0,IFERROR(MATCH(AJ$5,'Oxford Economics'!$A$6:$AZ$6,0),MATCH(AJ$5&amp;"",'Oxford Economics'!$A$6:$AZ$6,0))),'Oxford Economics'!$A$7:$A$1000,$C35,'Oxford Economics'!$B$7:$B$1000,Settings!$B$13),SUMIFS(INDEX('Oxford Economics'!$A$7:$AZ$1000,0,IFERROR(MATCH(AJ$5,'Oxford Economics'!$A$6:$AZ$6,0),MATCH(AJ$5&amp;"",'Oxford Economics'!$A$6:$AZ$6,0))),'Oxford Economics'!$A$7:$A$1000,$C35,'Oxford Economics'!$B$7:$B$1000,Settings!$B$13)+SUMIFS(INDEX('Oxford Economics'!$A$7:$AZ$1000,0,IFERROR(MATCH(AJ$5,'Oxford Economics'!$A$6:$AZ$6,0),MATCH(AJ$5&amp;"",'Oxford Economics'!$A$6:$AZ$6,0))),'Oxford Economics'!$A$7:$A$1000,$C35,'Oxford Economics'!$B$7:$B$1000,Settings!$B$15)+IF(Settings!$B$17="",0,SUMIFS(INDEX('Oxford Economics'!$A$7:$AZ$1000,0,IFERROR(MATCH(AJ$5,'Oxford Economics'!$A$6:$AZ$6,0),MATCH(AJ$5&amp;"",'Oxford Economics'!$A$6:$AZ$6,0))),'Oxford Economics'!$A$7:$A$1000,$C35,'Oxford Economics'!$B$7:$B$1000,Settings!$B$17)))),""))</f>
        <v>8480.54</v>
      </c>
      <c r="AK35" s="37" t="n">
        <f aca="false">IF($A35="","",IFERROR(1/(1/IF($B35="Residential",SUMIFS(INDEX('Oxford Economics'!$A$7:$AZ$1000,0,IFERROR(MATCH(AK$5,'Oxford Economics'!$A$6:$AZ$6,0),MATCH(AK$5&amp;"",'Oxford Economics'!$A$6:$AZ$6,0))),'Oxford Economics'!$A$7:$A$1000,$C35,'Oxford Economics'!$B$7:$B$1000,Settings!$B$11)-SUMIFS(INDEX('Oxford Economics'!$A$7:$AZ$1000,0,IFERROR(MATCH(AK$5,'Oxford Economics'!$A$6:$AZ$6,0),MATCH(AK$5&amp;"",'Oxford Economics'!$A$6:$AZ$6,0))),'Oxford Economics'!$A$7:$A$1000,$C35,'Oxford Economics'!$B$7:$B$1000,Settings!$B$13),SUMIFS(INDEX('Oxford Economics'!$A$7:$AZ$1000,0,IFERROR(MATCH(AK$5,'Oxford Economics'!$A$6:$AZ$6,0),MATCH(AK$5&amp;"",'Oxford Economics'!$A$6:$AZ$6,0))),'Oxford Economics'!$A$7:$A$1000,$C35,'Oxford Economics'!$B$7:$B$1000,Settings!$B$13)+SUMIFS(INDEX('Oxford Economics'!$A$7:$AZ$1000,0,IFERROR(MATCH(AK$5,'Oxford Economics'!$A$6:$AZ$6,0),MATCH(AK$5&amp;"",'Oxford Economics'!$A$6:$AZ$6,0))),'Oxford Economics'!$A$7:$A$1000,$C35,'Oxford Economics'!$B$7:$B$1000,Settings!$B$15)+IF(Settings!$B$17="",0,SUMIFS(INDEX('Oxford Economics'!$A$7:$AZ$1000,0,IFERROR(MATCH(AK$5,'Oxford Economics'!$A$6:$AZ$6,0),MATCH(AK$5&amp;"",'Oxford Economics'!$A$6:$AZ$6,0))),'Oxford Economics'!$A$7:$A$1000,$C35,'Oxford Economics'!$B$7:$B$1000,Settings!$B$17)))),""))</f>
        <v>8599.72</v>
      </c>
      <c r="AL35" s="37" t="n">
        <f aca="false">IF($A35="","",IFERROR(1/(1/IF($B35="Residential",SUMIFS(INDEX('Oxford Economics'!$A$7:$AZ$1000,0,IFERROR(MATCH(AL$5,'Oxford Economics'!$A$6:$AZ$6,0),MATCH(AL$5&amp;"",'Oxford Economics'!$A$6:$AZ$6,0))),'Oxford Economics'!$A$7:$A$1000,$C35,'Oxford Economics'!$B$7:$B$1000,Settings!$B$11)-SUMIFS(INDEX('Oxford Economics'!$A$7:$AZ$1000,0,IFERROR(MATCH(AL$5,'Oxford Economics'!$A$6:$AZ$6,0),MATCH(AL$5&amp;"",'Oxford Economics'!$A$6:$AZ$6,0))),'Oxford Economics'!$A$7:$A$1000,$C35,'Oxford Economics'!$B$7:$B$1000,Settings!$B$13),SUMIFS(INDEX('Oxford Economics'!$A$7:$AZ$1000,0,IFERROR(MATCH(AL$5,'Oxford Economics'!$A$6:$AZ$6,0),MATCH(AL$5&amp;"",'Oxford Economics'!$A$6:$AZ$6,0))),'Oxford Economics'!$A$7:$A$1000,$C35,'Oxford Economics'!$B$7:$B$1000,Settings!$B$13)+SUMIFS(INDEX('Oxford Economics'!$A$7:$AZ$1000,0,IFERROR(MATCH(AL$5,'Oxford Economics'!$A$6:$AZ$6,0),MATCH(AL$5&amp;"",'Oxford Economics'!$A$6:$AZ$6,0))),'Oxford Economics'!$A$7:$A$1000,$C35,'Oxford Economics'!$B$7:$B$1000,Settings!$B$15)+IF(Settings!$B$17="",0,SUMIFS(INDEX('Oxford Economics'!$A$7:$AZ$1000,0,IFERROR(MATCH(AL$5,'Oxford Economics'!$A$6:$AZ$6,0),MATCH(AL$5&amp;"",'Oxford Economics'!$A$6:$AZ$6,0))),'Oxford Economics'!$A$7:$A$1000,$C35,'Oxford Economics'!$B$7:$B$1000,Settings!$B$17)))),""))</f>
        <v>8777.8</v>
      </c>
      <c r="AM35" s="37" t="n">
        <f aca="false">IF($A35="","",IFERROR(1/(1/IF($B35="Residential",SUMIFS(INDEX('Oxford Economics'!$A$7:$AZ$1000,0,IFERROR(MATCH(AM$5,'Oxford Economics'!$A$6:$AZ$6,0),MATCH(AM$5&amp;"",'Oxford Economics'!$A$6:$AZ$6,0))),'Oxford Economics'!$A$7:$A$1000,$C35,'Oxford Economics'!$B$7:$B$1000,Settings!$B$11)-SUMIFS(INDEX('Oxford Economics'!$A$7:$AZ$1000,0,IFERROR(MATCH(AM$5,'Oxford Economics'!$A$6:$AZ$6,0),MATCH(AM$5&amp;"",'Oxford Economics'!$A$6:$AZ$6,0))),'Oxford Economics'!$A$7:$A$1000,$C35,'Oxford Economics'!$B$7:$B$1000,Settings!$B$13),SUMIFS(INDEX('Oxford Economics'!$A$7:$AZ$1000,0,IFERROR(MATCH(AM$5,'Oxford Economics'!$A$6:$AZ$6,0),MATCH(AM$5&amp;"",'Oxford Economics'!$A$6:$AZ$6,0))),'Oxford Economics'!$A$7:$A$1000,$C35,'Oxford Economics'!$B$7:$B$1000,Settings!$B$13)+SUMIFS(INDEX('Oxford Economics'!$A$7:$AZ$1000,0,IFERROR(MATCH(AM$5,'Oxford Economics'!$A$6:$AZ$6,0),MATCH(AM$5&amp;"",'Oxford Economics'!$A$6:$AZ$6,0))),'Oxford Economics'!$A$7:$A$1000,$C35,'Oxford Economics'!$B$7:$B$1000,Settings!$B$15)+IF(Settings!$B$17="",0,SUMIFS(INDEX('Oxford Economics'!$A$7:$AZ$1000,0,IFERROR(MATCH(AM$5,'Oxford Economics'!$A$6:$AZ$6,0),MATCH(AM$5&amp;"",'Oxford Economics'!$A$6:$AZ$6,0))),'Oxford Economics'!$A$7:$A$1000,$C35,'Oxford Economics'!$B$7:$B$1000,Settings!$B$17)))),""))</f>
        <v>9130.4</v>
      </c>
    </row>
    <row r="36" customFormat="false" ht="15" hidden="false" customHeight="false" outlineLevel="0" collapsed="false">
      <c r="A36" s="36" t="str">
        <f aca="false">IF('Raw data'!$A36="","",'Raw data'!$A36)</f>
        <v>Spain</v>
      </c>
      <c r="B36" s="36" t="str">
        <f aca="false">IF($A36="","",'Raw data'!$C36)</f>
        <v>Residential</v>
      </c>
      <c r="C36" s="36" t="str">
        <f aca="false">IF($A36="","",IF('Raw data'!$D36="",$A36,'Raw data'!$D36))</f>
        <v>Spain</v>
      </c>
      <c r="D36" s="37" t="n">
        <f aca="false">IF($A36="","",IF(AND(ISNUMBER(P36),ISNUMBER(AB36)),P36+AB36,""))</f>
        <v>16629.83</v>
      </c>
      <c r="E36" s="37" t="n">
        <f aca="false">IF($A36="","",IF(AND(ISNUMBER(Q36),ISNUMBER(AC36)),Q36+AC36,""))</f>
        <v>16446.08</v>
      </c>
      <c r="F36" s="37" t="n">
        <f aca="false">IF($A36="","",IF(AND(ISNUMBER(R36),ISNUMBER(AD36)),R36+AD36,""))</f>
        <v>18455.6</v>
      </c>
      <c r="G36" s="37" t="n">
        <f aca="false">IF($A36="","",IF(AND(ISNUMBER(S36),ISNUMBER(AE36)),S36+AE36,""))</f>
        <v>18644.19</v>
      </c>
      <c r="H36" s="37" t="n">
        <f aca="false">IF($A36="","",IF(AND(ISNUMBER(T36),ISNUMBER(AF36)),T36+AF36,""))</f>
        <v>18534.18</v>
      </c>
      <c r="I36" s="37" t="n">
        <f aca="false">IF($A36="","",IF(AND(ISNUMBER(U36),ISNUMBER(AG36)),U36+AG36,""))</f>
        <v>19526.91</v>
      </c>
      <c r="J36" s="37" t="n">
        <f aca="false">IF($A36="","",IF(AND(ISNUMBER(V36),ISNUMBER(AH36)),V36+AH36,""))</f>
        <v>19872.03</v>
      </c>
      <c r="K36" s="37" t="n">
        <f aca="false">IF($A36="","",IF(AND(ISNUMBER(W36),ISNUMBER(AI36)),W36+AI36,""))</f>
        <v>20401.51</v>
      </c>
      <c r="L36" s="37" t="n">
        <f aca="false">IF($A36="","",IF(AND(ISNUMBER(X36),ISNUMBER(AJ36)),X36+AJ36,""))</f>
        <v>21004.19</v>
      </c>
      <c r="M36" s="37" t="n">
        <f aca="false">IF($A36="","",IF(AND(ISNUMBER(Y36),ISNUMBER(AK36)),Y36+AK36,""))</f>
        <v>21516.17</v>
      </c>
      <c r="N36" s="37" t="n">
        <f aca="false">IF($A36="","",IF(AND(ISNUMBER(Z36),ISNUMBER(AL36)),Z36+AL36,""))</f>
        <v>21965.63</v>
      </c>
      <c r="O36" s="37" t="n">
        <f aca="false">IF($A36="","",IF(AND(ISNUMBER(AA36),ISNUMBER(AM36)),AA36+AM36,""))</f>
        <v>22291.42</v>
      </c>
      <c r="P36" s="37" t="n">
        <f aca="false">IF($A36="","",IFERROR(1/(1/IF($B36="Residential",SUMIFS(INDEX('Oxford Economics'!$A$7:$AZ$1000,0,IFERROR(MATCH(P$5,'Oxford Economics'!$A$6:$AZ$6,0),MATCH(P$5&amp;"",'Oxford Economics'!$A$6:$AZ$6,0))),'Oxford Economics'!$A$7:$A$1000,$C36,'Oxford Economics'!$B$7:$B$1000,Settings!$B$12)-SUMIFS(INDEX('Oxford Economics'!$A$7:$AZ$1000,0,IFERROR(MATCH(P$5,'Oxford Economics'!$A$6:$AZ$6,0),MATCH(P$5&amp;"",'Oxford Economics'!$A$6:$AZ$6,0))),'Oxford Economics'!$A$7:$A$1000,$C36,'Oxford Economics'!$B$7:$B$1000,Settings!$B$14),SUMIFS(INDEX('Oxford Economics'!$A$7:$AZ$1000,0,IFERROR(MATCH(P$5,'Oxford Economics'!$A$6:$AZ$6,0),MATCH(P$5&amp;"",'Oxford Economics'!$A$6:$AZ$6,0))),'Oxford Economics'!$A$7:$A$1000,$C36,'Oxford Economics'!$B$7:$B$1000,Settings!$B$14)+SUMIFS(INDEX('Oxford Economics'!$A$7:$AZ$1000,0,IFERROR(MATCH(P$5,'Oxford Economics'!$A$6:$AZ$6,0),MATCH(P$5&amp;"",'Oxford Economics'!$A$6:$AZ$6,0))),'Oxford Economics'!$A$7:$A$1000,$C36,'Oxford Economics'!$B$7:$B$1000,Settings!$B$16)+IF(Settings!$B$18="",0,SUMIFS(INDEX('Oxford Economics'!$A$7:$AZ$1000,0,IFERROR(MATCH(P$5,'Oxford Economics'!$A$6:$AZ$6,0),MATCH(P$5&amp;"",'Oxford Economics'!$A$6:$AZ$6,0))),'Oxford Economics'!$A$7:$A$1000,$C36,'Oxford Economics'!$B$7:$B$1000,Settings!$B$18)))),""))</f>
        <v>6631.37</v>
      </c>
      <c r="Q36" s="37" t="n">
        <f aca="false">IF($A36="","",IFERROR(1/(1/IF($B36="Residential",SUMIFS(INDEX('Oxford Economics'!$A$7:$AZ$1000,0,IFERROR(MATCH(Q$5,'Oxford Economics'!$A$6:$AZ$6,0),MATCH(Q$5&amp;"",'Oxford Economics'!$A$6:$AZ$6,0))),'Oxford Economics'!$A$7:$A$1000,$C36,'Oxford Economics'!$B$7:$B$1000,Settings!$B$12)-SUMIFS(INDEX('Oxford Economics'!$A$7:$AZ$1000,0,IFERROR(MATCH(Q$5,'Oxford Economics'!$A$6:$AZ$6,0),MATCH(Q$5&amp;"",'Oxford Economics'!$A$6:$AZ$6,0))),'Oxford Economics'!$A$7:$A$1000,$C36,'Oxford Economics'!$B$7:$B$1000,Settings!$B$14),SUMIFS(INDEX('Oxford Economics'!$A$7:$AZ$1000,0,IFERROR(MATCH(Q$5,'Oxford Economics'!$A$6:$AZ$6,0),MATCH(Q$5&amp;"",'Oxford Economics'!$A$6:$AZ$6,0))),'Oxford Economics'!$A$7:$A$1000,$C36,'Oxford Economics'!$B$7:$B$1000,Settings!$B$14)+SUMIFS(INDEX('Oxford Economics'!$A$7:$AZ$1000,0,IFERROR(MATCH(Q$5,'Oxford Economics'!$A$6:$AZ$6,0),MATCH(Q$5&amp;"",'Oxford Economics'!$A$6:$AZ$6,0))),'Oxford Economics'!$A$7:$A$1000,$C36,'Oxford Economics'!$B$7:$B$1000,Settings!$B$16)+IF(Settings!$B$18="",0,SUMIFS(INDEX('Oxford Economics'!$A$7:$AZ$1000,0,IFERROR(MATCH(Q$5,'Oxford Economics'!$A$6:$AZ$6,0),MATCH(Q$5&amp;"",'Oxford Economics'!$A$6:$AZ$6,0))),'Oxford Economics'!$A$7:$A$1000,$C36,'Oxford Economics'!$B$7:$B$1000,Settings!$B$18)))),""))</f>
        <v>5985.56</v>
      </c>
      <c r="R36" s="37" t="n">
        <f aca="false">IF($A36="","",IFERROR(1/(1/IF($B36="Residential",SUMIFS(INDEX('Oxford Economics'!$A$7:$AZ$1000,0,IFERROR(MATCH(R$5,'Oxford Economics'!$A$6:$AZ$6,0),MATCH(R$5&amp;"",'Oxford Economics'!$A$6:$AZ$6,0))),'Oxford Economics'!$A$7:$A$1000,$C36,'Oxford Economics'!$B$7:$B$1000,Settings!$B$12)-SUMIFS(INDEX('Oxford Economics'!$A$7:$AZ$1000,0,IFERROR(MATCH(R$5,'Oxford Economics'!$A$6:$AZ$6,0),MATCH(R$5&amp;"",'Oxford Economics'!$A$6:$AZ$6,0))),'Oxford Economics'!$A$7:$A$1000,$C36,'Oxford Economics'!$B$7:$B$1000,Settings!$B$14),SUMIFS(INDEX('Oxford Economics'!$A$7:$AZ$1000,0,IFERROR(MATCH(R$5,'Oxford Economics'!$A$6:$AZ$6,0),MATCH(R$5&amp;"",'Oxford Economics'!$A$6:$AZ$6,0))),'Oxford Economics'!$A$7:$A$1000,$C36,'Oxford Economics'!$B$7:$B$1000,Settings!$B$14)+SUMIFS(INDEX('Oxford Economics'!$A$7:$AZ$1000,0,IFERROR(MATCH(R$5,'Oxford Economics'!$A$6:$AZ$6,0),MATCH(R$5&amp;"",'Oxford Economics'!$A$6:$AZ$6,0))),'Oxford Economics'!$A$7:$A$1000,$C36,'Oxford Economics'!$B$7:$B$1000,Settings!$B$16)+IF(Settings!$B$18="",0,SUMIFS(INDEX('Oxford Economics'!$A$7:$AZ$1000,0,IFERROR(MATCH(R$5,'Oxford Economics'!$A$6:$AZ$6,0),MATCH(R$5&amp;"",'Oxford Economics'!$A$6:$AZ$6,0))),'Oxford Economics'!$A$7:$A$1000,$C36,'Oxford Economics'!$B$7:$B$1000,Settings!$B$18)))),""))</f>
        <v>6719.71</v>
      </c>
      <c r="S36" s="37" t="n">
        <f aca="false">IF($A36="","",IFERROR(1/(1/IF($B36="Residential",SUMIFS(INDEX('Oxford Economics'!$A$7:$AZ$1000,0,IFERROR(MATCH(S$5,'Oxford Economics'!$A$6:$AZ$6,0),MATCH(S$5&amp;"",'Oxford Economics'!$A$6:$AZ$6,0))),'Oxford Economics'!$A$7:$A$1000,$C36,'Oxford Economics'!$B$7:$B$1000,Settings!$B$12)-SUMIFS(INDEX('Oxford Economics'!$A$7:$AZ$1000,0,IFERROR(MATCH(S$5,'Oxford Economics'!$A$6:$AZ$6,0),MATCH(S$5&amp;"",'Oxford Economics'!$A$6:$AZ$6,0))),'Oxford Economics'!$A$7:$A$1000,$C36,'Oxford Economics'!$B$7:$B$1000,Settings!$B$14),SUMIFS(INDEX('Oxford Economics'!$A$7:$AZ$1000,0,IFERROR(MATCH(S$5,'Oxford Economics'!$A$6:$AZ$6,0),MATCH(S$5&amp;"",'Oxford Economics'!$A$6:$AZ$6,0))),'Oxford Economics'!$A$7:$A$1000,$C36,'Oxford Economics'!$B$7:$B$1000,Settings!$B$14)+SUMIFS(INDEX('Oxford Economics'!$A$7:$AZ$1000,0,IFERROR(MATCH(S$5,'Oxford Economics'!$A$6:$AZ$6,0),MATCH(S$5&amp;"",'Oxford Economics'!$A$6:$AZ$6,0))),'Oxford Economics'!$A$7:$A$1000,$C36,'Oxford Economics'!$B$7:$B$1000,Settings!$B$16)+IF(Settings!$B$18="",0,SUMIFS(INDEX('Oxford Economics'!$A$7:$AZ$1000,0,IFERROR(MATCH(S$5,'Oxford Economics'!$A$6:$AZ$6,0),MATCH(S$5&amp;"",'Oxford Economics'!$A$6:$AZ$6,0))),'Oxford Economics'!$A$7:$A$1000,$C36,'Oxford Economics'!$B$7:$B$1000,Settings!$B$18)))),""))</f>
        <v>7163.26</v>
      </c>
      <c r="T36" s="37" t="n">
        <f aca="false">IF($A36="","",IFERROR(1/(1/IF($B36="Residential",SUMIFS(INDEX('Oxford Economics'!$A$7:$AZ$1000,0,IFERROR(MATCH(T$5,'Oxford Economics'!$A$6:$AZ$6,0),MATCH(T$5&amp;"",'Oxford Economics'!$A$6:$AZ$6,0))),'Oxford Economics'!$A$7:$A$1000,$C36,'Oxford Economics'!$B$7:$B$1000,Settings!$B$12)-SUMIFS(INDEX('Oxford Economics'!$A$7:$AZ$1000,0,IFERROR(MATCH(T$5,'Oxford Economics'!$A$6:$AZ$6,0),MATCH(T$5&amp;"",'Oxford Economics'!$A$6:$AZ$6,0))),'Oxford Economics'!$A$7:$A$1000,$C36,'Oxford Economics'!$B$7:$B$1000,Settings!$B$14),SUMIFS(INDEX('Oxford Economics'!$A$7:$AZ$1000,0,IFERROR(MATCH(T$5,'Oxford Economics'!$A$6:$AZ$6,0),MATCH(T$5&amp;"",'Oxford Economics'!$A$6:$AZ$6,0))),'Oxford Economics'!$A$7:$A$1000,$C36,'Oxford Economics'!$B$7:$B$1000,Settings!$B$14)+SUMIFS(INDEX('Oxford Economics'!$A$7:$AZ$1000,0,IFERROR(MATCH(T$5,'Oxford Economics'!$A$6:$AZ$6,0),MATCH(T$5&amp;"",'Oxford Economics'!$A$6:$AZ$6,0))),'Oxford Economics'!$A$7:$A$1000,$C36,'Oxford Economics'!$B$7:$B$1000,Settings!$B$16)+IF(Settings!$B$18="",0,SUMIFS(INDEX('Oxford Economics'!$A$7:$AZ$1000,0,IFERROR(MATCH(T$5,'Oxford Economics'!$A$6:$AZ$6,0),MATCH(T$5&amp;"",'Oxford Economics'!$A$6:$AZ$6,0))),'Oxford Economics'!$A$7:$A$1000,$C36,'Oxford Economics'!$B$7:$B$1000,Settings!$B$18)))),""))</f>
        <v>7284.73</v>
      </c>
      <c r="U36" s="37" t="n">
        <f aca="false">IF($A36="","",IFERROR(1/(1/IF($B36="Residential",SUMIFS(INDEX('Oxford Economics'!$A$7:$AZ$1000,0,IFERROR(MATCH(U$5,'Oxford Economics'!$A$6:$AZ$6,0),MATCH(U$5&amp;"",'Oxford Economics'!$A$6:$AZ$6,0))),'Oxford Economics'!$A$7:$A$1000,$C36,'Oxford Economics'!$B$7:$B$1000,Settings!$B$12)-SUMIFS(INDEX('Oxford Economics'!$A$7:$AZ$1000,0,IFERROR(MATCH(U$5,'Oxford Economics'!$A$6:$AZ$6,0),MATCH(U$5&amp;"",'Oxford Economics'!$A$6:$AZ$6,0))),'Oxford Economics'!$A$7:$A$1000,$C36,'Oxford Economics'!$B$7:$B$1000,Settings!$B$14),SUMIFS(INDEX('Oxford Economics'!$A$7:$AZ$1000,0,IFERROR(MATCH(U$5,'Oxford Economics'!$A$6:$AZ$6,0),MATCH(U$5&amp;"",'Oxford Economics'!$A$6:$AZ$6,0))),'Oxford Economics'!$A$7:$A$1000,$C36,'Oxford Economics'!$B$7:$B$1000,Settings!$B$14)+SUMIFS(INDEX('Oxford Economics'!$A$7:$AZ$1000,0,IFERROR(MATCH(U$5,'Oxford Economics'!$A$6:$AZ$6,0),MATCH(U$5&amp;"",'Oxford Economics'!$A$6:$AZ$6,0))),'Oxford Economics'!$A$7:$A$1000,$C36,'Oxford Economics'!$B$7:$B$1000,Settings!$B$16)+IF(Settings!$B$18="",0,SUMIFS(INDEX('Oxford Economics'!$A$7:$AZ$1000,0,IFERROR(MATCH(U$5,'Oxford Economics'!$A$6:$AZ$6,0),MATCH(U$5&amp;"",'Oxford Economics'!$A$6:$AZ$6,0))),'Oxford Economics'!$A$7:$A$1000,$C36,'Oxford Economics'!$B$7:$B$1000,Settings!$B$18)))),""))</f>
        <v>7232.05</v>
      </c>
      <c r="V36" s="37" t="n">
        <f aca="false">IF($A36="","",IFERROR(1/(1/IF($B36="Residential",SUMIFS(INDEX('Oxford Economics'!$A$7:$AZ$1000,0,IFERROR(MATCH(V$5,'Oxford Economics'!$A$6:$AZ$6,0),MATCH(V$5&amp;"",'Oxford Economics'!$A$6:$AZ$6,0))),'Oxford Economics'!$A$7:$A$1000,$C36,'Oxford Economics'!$B$7:$B$1000,Settings!$B$12)-SUMIFS(INDEX('Oxford Economics'!$A$7:$AZ$1000,0,IFERROR(MATCH(V$5,'Oxford Economics'!$A$6:$AZ$6,0),MATCH(V$5&amp;"",'Oxford Economics'!$A$6:$AZ$6,0))),'Oxford Economics'!$A$7:$A$1000,$C36,'Oxford Economics'!$B$7:$B$1000,Settings!$B$14),SUMIFS(INDEX('Oxford Economics'!$A$7:$AZ$1000,0,IFERROR(MATCH(V$5,'Oxford Economics'!$A$6:$AZ$6,0),MATCH(V$5&amp;"",'Oxford Economics'!$A$6:$AZ$6,0))),'Oxford Economics'!$A$7:$A$1000,$C36,'Oxford Economics'!$B$7:$B$1000,Settings!$B$14)+SUMIFS(INDEX('Oxford Economics'!$A$7:$AZ$1000,0,IFERROR(MATCH(V$5,'Oxford Economics'!$A$6:$AZ$6,0),MATCH(V$5&amp;"",'Oxford Economics'!$A$6:$AZ$6,0))),'Oxford Economics'!$A$7:$A$1000,$C36,'Oxford Economics'!$B$7:$B$1000,Settings!$B$16)+IF(Settings!$B$18="",0,SUMIFS(INDEX('Oxford Economics'!$A$7:$AZ$1000,0,IFERROR(MATCH(V$5,'Oxford Economics'!$A$6:$AZ$6,0),MATCH(V$5&amp;"",'Oxford Economics'!$A$6:$AZ$6,0))),'Oxford Economics'!$A$7:$A$1000,$C36,'Oxford Economics'!$B$7:$B$1000,Settings!$B$18)))),""))</f>
        <v>7014.15</v>
      </c>
      <c r="W36" s="37" t="n">
        <f aca="false">IF($A36="","",IFERROR(1/(1/IF($B36="Residential",SUMIFS(INDEX('Oxford Economics'!$A$7:$AZ$1000,0,IFERROR(MATCH(W$5,'Oxford Economics'!$A$6:$AZ$6,0),MATCH(W$5&amp;"",'Oxford Economics'!$A$6:$AZ$6,0))),'Oxford Economics'!$A$7:$A$1000,$C36,'Oxford Economics'!$B$7:$B$1000,Settings!$B$12)-SUMIFS(INDEX('Oxford Economics'!$A$7:$AZ$1000,0,IFERROR(MATCH(W$5,'Oxford Economics'!$A$6:$AZ$6,0),MATCH(W$5&amp;"",'Oxford Economics'!$A$6:$AZ$6,0))),'Oxford Economics'!$A$7:$A$1000,$C36,'Oxford Economics'!$B$7:$B$1000,Settings!$B$14),SUMIFS(INDEX('Oxford Economics'!$A$7:$AZ$1000,0,IFERROR(MATCH(W$5,'Oxford Economics'!$A$6:$AZ$6,0),MATCH(W$5&amp;"",'Oxford Economics'!$A$6:$AZ$6,0))),'Oxford Economics'!$A$7:$A$1000,$C36,'Oxford Economics'!$B$7:$B$1000,Settings!$B$14)+SUMIFS(INDEX('Oxford Economics'!$A$7:$AZ$1000,0,IFERROR(MATCH(W$5,'Oxford Economics'!$A$6:$AZ$6,0),MATCH(W$5&amp;"",'Oxford Economics'!$A$6:$AZ$6,0))),'Oxford Economics'!$A$7:$A$1000,$C36,'Oxford Economics'!$B$7:$B$1000,Settings!$B$16)+IF(Settings!$B$18="",0,SUMIFS(INDEX('Oxford Economics'!$A$7:$AZ$1000,0,IFERROR(MATCH(W$5,'Oxford Economics'!$A$6:$AZ$6,0),MATCH(W$5&amp;"",'Oxford Economics'!$A$6:$AZ$6,0))),'Oxford Economics'!$A$7:$A$1000,$C36,'Oxford Economics'!$B$7:$B$1000,Settings!$B$18)))),""))</f>
        <v>6781.32</v>
      </c>
      <c r="X36" s="37" t="n">
        <f aca="false">IF($A36="","",IFERROR(1/(1/IF($B36="Residential",SUMIFS(INDEX('Oxford Economics'!$A$7:$AZ$1000,0,IFERROR(MATCH(X$5,'Oxford Economics'!$A$6:$AZ$6,0),MATCH(X$5&amp;"",'Oxford Economics'!$A$6:$AZ$6,0))),'Oxford Economics'!$A$7:$A$1000,$C36,'Oxford Economics'!$B$7:$B$1000,Settings!$B$12)-SUMIFS(INDEX('Oxford Economics'!$A$7:$AZ$1000,0,IFERROR(MATCH(X$5,'Oxford Economics'!$A$6:$AZ$6,0),MATCH(X$5&amp;"",'Oxford Economics'!$A$6:$AZ$6,0))),'Oxford Economics'!$A$7:$A$1000,$C36,'Oxford Economics'!$B$7:$B$1000,Settings!$B$14),SUMIFS(INDEX('Oxford Economics'!$A$7:$AZ$1000,0,IFERROR(MATCH(X$5,'Oxford Economics'!$A$6:$AZ$6,0),MATCH(X$5&amp;"",'Oxford Economics'!$A$6:$AZ$6,0))),'Oxford Economics'!$A$7:$A$1000,$C36,'Oxford Economics'!$B$7:$B$1000,Settings!$B$14)+SUMIFS(INDEX('Oxford Economics'!$A$7:$AZ$1000,0,IFERROR(MATCH(X$5,'Oxford Economics'!$A$6:$AZ$6,0),MATCH(X$5&amp;"",'Oxford Economics'!$A$6:$AZ$6,0))),'Oxford Economics'!$A$7:$A$1000,$C36,'Oxford Economics'!$B$7:$B$1000,Settings!$B$16)+IF(Settings!$B$18="",0,SUMIFS(INDEX('Oxford Economics'!$A$7:$AZ$1000,0,IFERROR(MATCH(X$5,'Oxford Economics'!$A$6:$AZ$6,0),MATCH(X$5&amp;"",'Oxford Economics'!$A$6:$AZ$6,0))),'Oxford Economics'!$A$7:$A$1000,$C36,'Oxford Economics'!$B$7:$B$1000,Settings!$B$18)))),""))</f>
        <v>7154.47</v>
      </c>
      <c r="Y36" s="37" t="n">
        <f aca="false">IF($A36="","",IFERROR(1/(1/IF($B36="Residential",SUMIFS(INDEX('Oxford Economics'!$A$7:$AZ$1000,0,IFERROR(MATCH(Y$5,'Oxford Economics'!$A$6:$AZ$6,0),MATCH(Y$5&amp;"",'Oxford Economics'!$A$6:$AZ$6,0))),'Oxford Economics'!$A$7:$A$1000,$C36,'Oxford Economics'!$B$7:$B$1000,Settings!$B$12)-SUMIFS(INDEX('Oxford Economics'!$A$7:$AZ$1000,0,IFERROR(MATCH(Y$5,'Oxford Economics'!$A$6:$AZ$6,0),MATCH(Y$5&amp;"",'Oxford Economics'!$A$6:$AZ$6,0))),'Oxford Economics'!$A$7:$A$1000,$C36,'Oxford Economics'!$B$7:$B$1000,Settings!$B$14),SUMIFS(INDEX('Oxford Economics'!$A$7:$AZ$1000,0,IFERROR(MATCH(Y$5,'Oxford Economics'!$A$6:$AZ$6,0),MATCH(Y$5&amp;"",'Oxford Economics'!$A$6:$AZ$6,0))),'Oxford Economics'!$A$7:$A$1000,$C36,'Oxford Economics'!$B$7:$B$1000,Settings!$B$14)+SUMIFS(INDEX('Oxford Economics'!$A$7:$AZ$1000,0,IFERROR(MATCH(Y$5,'Oxford Economics'!$A$6:$AZ$6,0),MATCH(Y$5&amp;"",'Oxford Economics'!$A$6:$AZ$6,0))),'Oxford Economics'!$A$7:$A$1000,$C36,'Oxford Economics'!$B$7:$B$1000,Settings!$B$16)+IF(Settings!$B$18="",0,SUMIFS(INDEX('Oxford Economics'!$A$7:$AZ$1000,0,IFERROR(MATCH(Y$5,'Oxford Economics'!$A$6:$AZ$6,0),MATCH(Y$5&amp;"",'Oxford Economics'!$A$6:$AZ$6,0))),'Oxford Economics'!$A$7:$A$1000,$C36,'Oxford Economics'!$B$7:$B$1000,Settings!$B$18)))),""))</f>
        <v>7583.92</v>
      </c>
      <c r="Z36" s="37" t="n">
        <f aca="false">IF($A36="","",IFERROR(1/(1/IF($B36="Residential",SUMIFS(INDEX('Oxford Economics'!$A$7:$AZ$1000,0,IFERROR(MATCH(Z$5,'Oxford Economics'!$A$6:$AZ$6,0),MATCH(Z$5&amp;"",'Oxford Economics'!$A$6:$AZ$6,0))),'Oxford Economics'!$A$7:$A$1000,$C36,'Oxford Economics'!$B$7:$B$1000,Settings!$B$12)-SUMIFS(INDEX('Oxford Economics'!$A$7:$AZ$1000,0,IFERROR(MATCH(Z$5,'Oxford Economics'!$A$6:$AZ$6,0),MATCH(Z$5&amp;"",'Oxford Economics'!$A$6:$AZ$6,0))),'Oxford Economics'!$A$7:$A$1000,$C36,'Oxford Economics'!$B$7:$B$1000,Settings!$B$14),SUMIFS(INDEX('Oxford Economics'!$A$7:$AZ$1000,0,IFERROR(MATCH(Z$5,'Oxford Economics'!$A$6:$AZ$6,0),MATCH(Z$5&amp;"",'Oxford Economics'!$A$6:$AZ$6,0))),'Oxford Economics'!$A$7:$A$1000,$C36,'Oxford Economics'!$B$7:$B$1000,Settings!$B$14)+SUMIFS(INDEX('Oxford Economics'!$A$7:$AZ$1000,0,IFERROR(MATCH(Z$5,'Oxford Economics'!$A$6:$AZ$6,0),MATCH(Z$5&amp;"",'Oxford Economics'!$A$6:$AZ$6,0))),'Oxford Economics'!$A$7:$A$1000,$C36,'Oxford Economics'!$B$7:$B$1000,Settings!$B$16)+IF(Settings!$B$18="",0,SUMIFS(INDEX('Oxford Economics'!$A$7:$AZ$1000,0,IFERROR(MATCH(Z$5,'Oxford Economics'!$A$6:$AZ$6,0),MATCH(Z$5&amp;"",'Oxford Economics'!$A$6:$AZ$6,0))),'Oxford Economics'!$A$7:$A$1000,$C36,'Oxford Economics'!$B$7:$B$1000,Settings!$B$18)))),""))</f>
        <v>7964.36</v>
      </c>
      <c r="AA36" s="37" t="n">
        <f aca="false">IF($A36="","",IFERROR(1/(1/IF($B36="Residential",SUMIFS(INDEX('Oxford Economics'!$A$7:$AZ$1000,0,IFERROR(MATCH(AA$5,'Oxford Economics'!$A$6:$AZ$6,0),MATCH(AA$5&amp;"",'Oxford Economics'!$A$6:$AZ$6,0))),'Oxford Economics'!$A$7:$A$1000,$C36,'Oxford Economics'!$B$7:$B$1000,Settings!$B$12)-SUMIFS(INDEX('Oxford Economics'!$A$7:$AZ$1000,0,IFERROR(MATCH(AA$5,'Oxford Economics'!$A$6:$AZ$6,0),MATCH(AA$5&amp;"",'Oxford Economics'!$A$6:$AZ$6,0))),'Oxford Economics'!$A$7:$A$1000,$C36,'Oxford Economics'!$B$7:$B$1000,Settings!$B$14),SUMIFS(INDEX('Oxford Economics'!$A$7:$AZ$1000,0,IFERROR(MATCH(AA$5,'Oxford Economics'!$A$6:$AZ$6,0),MATCH(AA$5&amp;"",'Oxford Economics'!$A$6:$AZ$6,0))),'Oxford Economics'!$A$7:$A$1000,$C36,'Oxford Economics'!$B$7:$B$1000,Settings!$B$14)+SUMIFS(INDEX('Oxford Economics'!$A$7:$AZ$1000,0,IFERROR(MATCH(AA$5,'Oxford Economics'!$A$6:$AZ$6,0),MATCH(AA$5&amp;"",'Oxford Economics'!$A$6:$AZ$6,0))),'Oxford Economics'!$A$7:$A$1000,$C36,'Oxford Economics'!$B$7:$B$1000,Settings!$B$16)+IF(Settings!$B$18="",0,SUMIFS(INDEX('Oxford Economics'!$A$7:$AZ$1000,0,IFERROR(MATCH(AA$5,'Oxford Economics'!$A$6:$AZ$6,0),MATCH(AA$5&amp;"",'Oxford Economics'!$A$6:$AZ$6,0))),'Oxford Economics'!$A$7:$A$1000,$C36,'Oxford Economics'!$B$7:$B$1000,Settings!$B$18)))),""))</f>
        <v>8112.11</v>
      </c>
      <c r="AB36" s="37" t="n">
        <f aca="false">IF($A36="","",IFERROR(1/(1/IF($B36="Residential",SUMIFS(INDEX('Oxford Economics'!$A$7:$AZ$1000,0,IFERROR(MATCH(AB$5,'Oxford Economics'!$A$6:$AZ$6,0),MATCH(AB$5&amp;"",'Oxford Economics'!$A$6:$AZ$6,0))),'Oxford Economics'!$A$7:$A$1000,$C36,'Oxford Economics'!$B$7:$B$1000,Settings!$B$11)-SUMIFS(INDEX('Oxford Economics'!$A$7:$AZ$1000,0,IFERROR(MATCH(AB$5,'Oxford Economics'!$A$6:$AZ$6,0),MATCH(AB$5&amp;"",'Oxford Economics'!$A$6:$AZ$6,0))),'Oxford Economics'!$A$7:$A$1000,$C36,'Oxford Economics'!$B$7:$B$1000,Settings!$B$13),SUMIFS(INDEX('Oxford Economics'!$A$7:$AZ$1000,0,IFERROR(MATCH(AB$5,'Oxford Economics'!$A$6:$AZ$6,0),MATCH(AB$5&amp;"",'Oxford Economics'!$A$6:$AZ$6,0))),'Oxford Economics'!$A$7:$A$1000,$C36,'Oxford Economics'!$B$7:$B$1000,Settings!$B$13)+SUMIFS(INDEX('Oxford Economics'!$A$7:$AZ$1000,0,IFERROR(MATCH(AB$5,'Oxford Economics'!$A$6:$AZ$6,0),MATCH(AB$5&amp;"",'Oxford Economics'!$A$6:$AZ$6,0))),'Oxford Economics'!$A$7:$A$1000,$C36,'Oxford Economics'!$B$7:$B$1000,Settings!$B$15)+IF(Settings!$B$17="",0,SUMIFS(INDEX('Oxford Economics'!$A$7:$AZ$1000,0,IFERROR(MATCH(AB$5,'Oxford Economics'!$A$6:$AZ$6,0),MATCH(AB$5&amp;"",'Oxford Economics'!$A$6:$AZ$6,0))),'Oxford Economics'!$A$7:$A$1000,$C36,'Oxford Economics'!$B$7:$B$1000,Settings!$B$17)))),""))</f>
        <v>9998.46</v>
      </c>
      <c r="AC36" s="37" t="n">
        <f aca="false">IF($A36="","",IFERROR(1/(1/IF($B36="Residential",SUMIFS(INDEX('Oxford Economics'!$A$7:$AZ$1000,0,IFERROR(MATCH(AC$5,'Oxford Economics'!$A$6:$AZ$6,0),MATCH(AC$5&amp;"",'Oxford Economics'!$A$6:$AZ$6,0))),'Oxford Economics'!$A$7:$A$1000,$C36,'Oxford Economics'!$B$7:$B$1000,Settings!$B$11)-SUMIFS(INDEX('Oxford Economics'!$A$7:$AZ$1000,0,IFERROR(MATCH(AC$5,'Oxford Economics'!$A$6:$AZ$6,0),MATCH(AC$5&amp;"",'Oxford Economics'!$A$6:$AZ$6,0))),'Oxford Economics'!$A$7:$A$1000,$C36,'Oxford Economics'!$B$7:$B$1000,Settings!$B$13),SUMIFS(INDEX('Oxford Economics'!$A$7:$AZ$1000,0,IFERROR(MATCH(AC$5,'Oxford Economics'!$A$6:$AZ$6,0),MATCH(AC$5&amp;"",'Oxford Economics'!$A$6:$AZ$6,0))),'Oxford Economics'!$A$7:$A$1000,$C36,'Oxford Economics'!$B$7:$B$1000,Settings!$B$13)+SUMIFS(INDEX('Oxford Economics'!$A$7:$AZ$1000,0,IFERROR(MATCH(AC$5,'Oxford Economics'!$A$6:$AZ$6,0),MATCH(AC$5&amp;"",'Oxford Economics'!$A$6:$AZ$6,0))),'Oxford Economics'!$A$7:$A$1000,$C36,'Oxford Economics'!$B$7:$B$1000,Settings!$B$15)+IF(Settings!$B$17="",0,SUMIFS(INDEX('Oxford Economics'!$A$7:$AZ$1000,0,IFERROR(MATCH(AC$5,'Oxford Economics'!$A$6:$AZ$6,0),MATCH(AC$5&amp;"",'Oxford Economics'!$A$6:$AZ$6,0))),'Oxford Economics'!$A$7:$A$1000,$C36,'Oxford Economics'!$B$7:$B$1000,Settings!$B$17)))),""))</f>
        <v>10460.52</v>
      </c>
      <c r="AD36" s="37" t="n">
        <f aca="false">IF($A36="","",IFERROR(1/(1/IF($B36="Residential",SUMIFS(INDEX('Oxford Economics'!$A$7:$AZ$1000,0,IFERROR(MATCH(AD$5,'Oxford Economics'!$A$6:$AZ$6,0),MATCH(AD$5&amp;"",'Oxford Economics'!$A$6:$AZ$6,0))),'Oxford Economics'!$A$7:$A$1000,$C36,'Oxford Economics'!$B$7:$B$1000,Settings!$B$11)-SUMIFS(INDEX('Oxford Economics'!$A$7:$AZ$1000,0,IFERROR(MATCH(AD$5,'Oxford Economics'!$A$6:$AZ$6,0),MATCH(AD$5&amp;"",'Oxford Economics'!$A$6:$AZ$6,0))),'Oxford Economics'!$A$7:$A$1000,$C36,'Oxford Economics'!$B$7:$B$1000,Settings!$B$13),SUMIFS(INDEX('Oxford Economics'!$A$7:$AZ$1000,0,IFERROR(MATCH(AD$5,'Oxford Economics'!$A$6:$AZ$6,0),MATCH(AD$5&amp;"",'Oxford Economics'!$A$6:$AZ$6,0))),'Oxford Economics'!$A$7:$A$1000,$C36,'Oxford Economics'!$B$7:$B$1000,Settings!$B$13)+SUMIFS(INDEX('Oxford Economics'!$A$7:$AZ$1000,0,IFERROR(MATCH(AD$5,'Oxford Economics'!$A$6:$AZ$6,0),MATCH(AD$5&amp;"",'Oxford Economics'!$A$6:$AZ$6,0))),'Oxford Economics'!$A$7:$A$1000,$C36,'Oxford Economics'!$B$7:$B$1000,Settings!$B$15)+IF(Settings!$B$17="",0,SUMIFS(INDEX('Oxford Economics'!$A$7:$AZ$1000,0,IFERROR(MATCH(AD$5,'Oxford Economics'!$A$6:$AZ$6,0),MATCH(AD$5&amp;"",'Oxford Economics'!$A$6:$AZ$6,0))),'Oxford Economics'!$A$7:$A$1000,$C36,'Oxford Economics'!$B$7:$B$1000,Settings!$B$17)))),""))</f>
        <v>11735.89</v>
      </c>
      <c r="AE36" s="37" t="n">
        <f aca="false">IF($A36="","",IFERROR(1/(1/IF($B36="Residential",SUMIFS(INDEX('Oxford Economics'!$A$7:$AZ$1000,0,IFERROR(MATCH(AE$5,'Oxford Economics'!$A$6:$AZ$6,0),MATCH(AE$5&amp;"",'Oxford Economics'!$A$6:$AZ$6,0))),'Oxford Economics'!$A$7:$A$1000,$C36,'Oxford Economics'!$B$7:$B$1000,Settings!$B$11)-SUMIFS(INDEX('Oxford Economics'!$A$7:$AZ$1000,0,IFERROR(MATCH(AE$5,'Oxford Economics'!$A$6:$AZ$6,0),MATCH(AE$5&amp;"",'Oxford Economics'!$A$6:$AZ$6,0))),'Oxford Economics'!$A$7:$A$1000,$C36,'Oxford Economics'!$B$7:$B$1000,Settings!$B$13),SUMIFS(INDEX('Oxford Economics'!$A$7:$AZ$1000,0,IFERROR(MATCH(AE$5,'Oxford Economics'!$A$6:$AZ$6,0),MATCH(AE$5&amp;"",'Oxford Economics'!$A$6:$AZ$6,0))),'Oxford Economics'!$A$7:$A$1000,$C36,'Oxford Economics'!$B$7:$B$1000,Settings!$B$13)+SUMIFS(INDEX('Oxford Economics'!$A$7:$AZ$1000,0,IFERROR(MATCH(AE$5,'Oxford Economics'!$A$6:$AZ$6,0),MATCH(AE$5&amp;"",'Oxford Economics'!$A$6:$AZ$6,0))),'Oxford Economics'!$A$7:$A$1000,$C36,'Oxford Economics'!$B$7:$B$1000,Settings!$B$15)+IF(Settings!$B$17="",0,SUMIFS(INDEX('Oxford Economics'!$A$7:$AZ$1000,0,IFERROR(MATCH(AE$5,'Oxford Economics'!$A$6:$AZ$6,0),MATCH(AE$5&amp;"",'Oxford Economics'!$A$6:$AZ$6,0))),'Oxford Economics'!$A$7:$A$1000,$C36,'Oxford Economics'!$B$7:$B$1000,Settings!$B$17)))),""))</f>
        <v>11480.93</v>
      </c>
      <c r="AF36" s="37" t="n">
        <f aca="false">IF($A36="","",IFERROR(1/(1/IF($B36="Residential",SUMIFS(INDEX('Oxford Economics'!$A$7:$AZ$1000,0,IFERROR(MATCH(AF$5,'Oxford Economics'!$A$6:$AZ$6,0),MATCH(AF$5&amp;"",'Oxford Economics'!$A$6:$AZ$6,0))),'Oxford Economics'!$A$7:$A$1000,$C36,'Oxford Economics'!$B$7:$B$1000,Settings!$B$11)-SUMIFS(INDEX('Oxford Economics'!$A$7:$AZ$1000,0,IFERROR(MATCH(AF$5,'Oxford Economics'!$A$6:$AZ$6,0),MATCH(AF$5&amp;"",'Oxford Economics'!$A$6:$AZ$6,0))),'Oxford Economics'!$A$7:$A$1000,$C36,'Oxford Economics'!$B$7:$B$1000,Settings!$B$13),SUMIFS(INDEX('Oxford Economics'!$A$7:$AZ$1000,0,IFERROR(MATCH(AF$5,'Oxford Economics'!$A$6:$AZ$6,0),MATCH(AF$5&amp;"",'Oxford Economics'!$A$6:$AZ$6,0))),'Oxford Economics'!$A$7:$A$1000,$C36,'Oxford Economics'!$B$7:$B$1000,Settings!$B$13)+SUMIFS(INDEX('Oxford Economics'!$A$7:$AZ$1000,0,IFERROR(MATCH(AF$5,'Oxford Economics'!$A$6:$AZ$6,0),MATCH(AF$5&amp;"",'Oxford Economics'!$A$6:$AZ$6,0))),'Oxford Economics'!$A$7:$A$1000,$C36,'Oxford Economics'!$B$7:$B$1000,Settings!$B$15)+IF(Settings!$B$17="",0,SUMIFS(INDEX('Oxford Economics'!$A$7:$AZ$1000,0,IFERROR(MATCH(AF$5,'Oxford Economics'!$A$6:$AZ$6,0),MATCH(AF$5&amp;"",'Oxford Economics'!$A$6:$AZ$6,0))),'Oxford Economics'!$A$7:$A$1000,$C36,'Oxford Economics'!$B$7:$B$1000,Settings!$B$17)))),""))</f>
        <v>11249.45</v>
      </c>
      <c r="AG36" s="37" t="n">
        <f aca="false">IF($A36="","",IFERROR(1/(1/IF($B36="Residential",SUMIFS(INDEX('Oxford Economics'!$A$7:$AZ$1000,0,IFERROR(MATCH(AG$5,'Oxford Economics'!$A$6:$AZ$6,0),MATCH(AG$5&amp;"",'Oxford Economics'!$A$6:$AZ$6,0))),'Oxford Economics'!$A$7:$A$1000,$C36,'Oxford Economics'!$B$7:$B$1000,Settings!$B$11)-SUMIFS(INDEX('Oxford Economics'!$A$7:$AZ$1000,0,IFERROR(MATCH(AG$5,'Oxford Economics'!$A$6:$AZ$6,0),MATCH(AG$5&amp;"",'Oxford Economics'!$A$6:$AZ$6,0))),'Oxford Economics'!$A$7:$A$1000,$C36,'Oxford Economics'!$B$7:$B$1000,Settings!$B$13),SUMIFS(INDEX('Oxford Economics'!$A$7:$AZ$1000,0,IFERROR(MATCH(AG$5,'Oxford Economics'!$A$6:$AZ$6,0),MATCH(AG$5&amp;"",'Oxford Economics'!$A$6:$AZ$6,0))),'Oxford Economics'!$A$7:$A$1000,$C36,'Oxford Economics'!$B$7:$B$1000,Settings!$B$13)+SUMIFS(INDEX('Oxford Economics'!$A$7:$AZ$1000,0,IFERROR(MATCH(AG$5,'Oxford Economics'!$A$6:$AZ$6,0),MATCH(AG$5&amp;"",'Oxford Economics'!$A$6:$AZ$6,0))),'Oxford Economics'!$A$7:$A$1000,$C36,'Oxford Economics'!$B$7:$B$1000,Settings!$B$15)+IF(Settings!$B$17="",0,SUMIFS(INDEX('Oxford Economics'!$A$7:$AZ$1000,0,IFERROR(MATCH(AG$5,'Oxford Economics'!$A$6:$AZ$6,0),MATCH(AG$5&amp;"",'Oxford Economics'!$A$6:$AZ$6,0))),'Oxford Economics'!$A$7:$A$1000,$C36,'Oxford Economics'!$B$7:$B$1000,Settings!$B$17)))),""))</f>
        <v>12294.86</v>
      </c>
      <c r="AH36" s="37" t="n">
        <f aca="false">IF($A36="","",IFERROR(1/(1/IF($B36="Residential",SUMIFS(INDEX('Oxford Economics'!$A$7:$AZ$1000,0,IFERROR(MATCH(AH$5,'Oxford Economics'!$A$6:$AZ$6,0),MATCH(AH$5&amp;"",'Oxford Economics'!$A$6:$AZ$6,0))),'Oxford Economics'!$A$7:$A$1000,$C36,'Oxford Economics'!$B$7:$B$1000,Settings!$B$11)-SUMIFS(INDEX('Oxford Economics'!$A$7:$AZ$1000,0,IFERROR(MATCH(AH$5,'Oxford Economics'!$A$6:$AZ$6,0),MATCH(AH$5&amp;"",'Oxford Economics'!$A$6:$AZ$6,0))),'Oxford Economics'!$A$7:$A$1000,$C36,'Oxford Economics'!$B$7:$B$1000,Settings!$B$13),SUMIFS(INDEX('Oxford Economics'!$A$7:$AZ$1000,0,IFERROR(MATCH(AH$5,'Oxford Economics'!$A$6:$AZ$6,0),MATCH(AH$5&amp;"",'Oxford Economics'!$A$6:$AZ$6,0))),'Oxford Economics'!$A$7:$A$1000,$C36,'Oxford Economics'!$B$7:$B$1000,Settings!$B$13)+SUMIFS(INDEX('Oxford Economics'!$A$7:$AZ$1000,0,IFERROR(MATCH(AH$5,'Oxford Economics'!$A$6:$AZ$6,0),MATCH(AH$5&amp;"",'Oxford Economics'!$A$6:$AZ$6,0))),'Oxford Economics'!$A$7:$A$1000,$C36,'Oxford Economics'!$B$7:$B$1000,Settings!$B$15)+IF(Settings!$B$17="",0,SUMIFS(INDEX('Oxford Economics'!$A$7:$AZ$1000,0,IFERROR(MATCH(AH$5,'Oxford Economics'!$A$6:$AZ$6,0),MATCH(AH$5&amp;"",'Oxford Economics'!$A$6:$AZ$6,0))),'Oxford Economics'!$A$7:$A$1000,$C36,'Oxford Economics'!$B$7:$B$1000,Settings!$B$17)))),""))</f>
        <v>12857.88</v>
      </c>
      <c r="AI36" s="37" t="n">
        <f aca="false">IF($A36="","",IFERROR(1/(1/IF($B36="Residential",SUMIFS(INDEX('Oxford Economics'!$A$7:$AZ$1000,0,IFERROR(MATCH(AI$5,'Oxford Economics'!$A$6:$AZ$6,0),MATCH(AI$5&amp;"",'Oxford Economics'!$A$6:$AZ$6,0))),'Oxford Economics'!$A$7:$A$1000,$C36,'Oxford Economics'!$B$7:$B$1000,Settings!$B$11)-SUMIFS(INDEX('Oxford Economics'!$A$7:$AZ$1000,0,IFERROR(MATCH(AI$5,'Oxford Economics'!$A$6:$AZ$6,0),MATCH(AI$5&amp;"",'Oxford Economics'!$A$6:$AZ$6,0))),'Oxford Economics'!$A$7:$A$1000,$C36,'Oxford Economics'!$B$7:$B$1000,Settings!$B$13),SUMIFS(INDEX('Oxford Economics'!$A$7:$AZ$1000,0,IFERROR(MATCH(AI$5,'Oxford Economics'!$A$6:$AZ$6,0),MATCH(AI$5&amp;"",'Oxford Economics'!$A$6:$AZ$6,0))),'Oxford Economics'!$A$7:$A$1000,$C36,'Oxford Economics'!$B$7:$B$1000,Settings!$B$13)+SUMIFS(INDEX('Oxford Economics'!$A$7:$AZ$1000,0,IFERROR(MATCH(AI$5,'Oxford Economics'!$A$6:$AZ$6,0),MATCH(AI$5&amp;"",'Oxford Economics'!$A$6:$AZ$6,0))),'Oxford Economics'!$A$7:$A$1000,$C36,'Oxford Economics'!$B$7:$B$1000,Settings!$B$15)+IF(Settings!$B$17="",0,SUMIFS(INDEX('Oxford Economics'!$A$7:$AZ$1000,0,IFERROR(MATCH(AI$5,'Oxford Economics'!$A$6:$AZ$6,0),MATCH(AI$5&amp;"",'Oxford Economics'!$A$6:$AZ$6,0))),'Oxford Economics'!$A$7:$A$1000,$C36,'Oxford Economics'!$B$7:$B$1000,Settings!$B$17)))),""))</f>
        <v>13620.19</v>
      </c>
      <c r="AJ36" s="37" t="n">
        <f aca="false">IF($A36="","",IFERROR(1/(1/IF($B36="Residential",SUMIFS(INDEX('Oxford Economics'!$A$7:$AZ$1000,0,IFERROR(MATCH(AJ$5,'Oxford Economics'!$A$6:$AZ$6,0),MATCH(AJ$5&amp;"",'Oxford Economics'!$A$6:$AZ$6,0))),'Oxford Economics'!$A$7:$A$1000,$C36,'Oxford Economics'!$B$7:$B$1000,Settings!$B$11)-SUMIFS(INDEX('Oxford Economics'!$A$7:$AZ$1000,0,IFERROR(MATCH(AJ$5,'Oxford Economics'!$A$6:$AZ$6,0),MATCH(AJ$5&amp;"",'Oxford Economics'!$A$6:$AZ$6,0))),'Oxford Economics'!$A$7:$A$1000,$C36,'Oxford Economics'!$B$7:$B$1000,Settings!$B$13),SUMIFS(INDEX('Oxford Economics'!$A$7:$AZ$1000,0,IFERROR(MATCH(AJ$5,'Oxford Economics'!$A$6:$AZ$6,0),MATCH(AJ$5&amp;"",'Oxford Economics'!$A$6:$AZ$6,0))),'Oxford Economics'!$A$7:$A$1000,$C36,'Oxford Economics'!$B$7:$B$1000,Settings!$B$13)+SUMIFS(INDEX('Oxford Economics'!$A$7:$AZ$1000,0,IFERROR(MATCH(AJ$5,'Oxford Economics'!$A$6:$AZ$6,0),MATCH(AJ$5&amp;"",'Oxford Economics'!$A$6:$AZ$6,0))),'Oxford Economics'!$A$7:$A$1000,$C36,'Oxford Economics'!$B$7:$B$1000,Settings!$B$15)+IF(Settings!$B$17="",0,SUMIFS(INDEX('Oxford Economics'!$A$7:$AZ$1000,0,IFERROR(MATCH(AJ$5,'Oxford Economics'!$A$6:$AZ$6,0),MATCH(AJ$5&amp;"",'Oxford Economics'!$A$6:$AZ$6,0))),'Oxford Economics'!$A$7:$A$1000,$C36,'Oxford Economics'!$B$7:$B$1000,Settings!$B$17)))),""))</f>
        <v>13849.72</v>
      </c>
      <c r="AK36" s="37" t="n">
        <f aca="false">IF($A36="","",IFERROR(1/(1/IF($B36="Residential",SUMIFS(INDEX('Oxford Economics'!$A$7:$AZ$1000,0,IFERROR(MATCH(AK$5,'Oxford Economics'!$A$6:$AZ$6,0),MATCH(AK$5&amp;"",'Oxford Economics'!$A$6:$AZ$6,0))),'Oxford Economics'!$A$7:$A$1000,$C36,'Oxford Economics'!$B$7:$B$1000,Settings!$B$11)-SUMIFS(INDEX('Oxford Economics'!$A$7:$AZ$1000,0,IFERROR(MATCH(AK$5,'Oxford Economics'!$A$6:$AZ$6,0),MATCH(AK$5&amp;"",'Oxford Economics'!$A$6:$AZ$6,0))),'Oxford Economics'!$A$7:$A$1000,$C36,'Oxford Economics'!$B$7:$B$1000,Settings!$B$13),SUMIFS(INDEX('Oxford Economics'!$A$7:$AZ$1000,0,IFERROR(MATCH(AK$5,'Oxford Economics'!$A$6:$AZ$6,0),MATCH(AK$5&amp;"",'Oxford Economics'!$A$6:$AZ$6,0))),'Oxford Economics'!$A$7:$A$1000,$C36,'Oxford Economics'!$B$7:$B$1000,Settings!$B$13)+SUMIFS(INDEX('Oxford Economics'!$A$7:$AZ$1000,0,IFERROR(MATCH(AK$5,'Oxford Economics'!$A$6:$AZ$6,0),MATCH(AK$5&amp;"",'Oxford Economics'!$A$6:$AZ$6,0))),'Oxford Economics'!$A$7:$A$1000,$C36,'Oxford Economics'!$B$7:$B$1000,Settings!$B$15)+IF(Settings!$B$17="",0,SUMIFS(INDEX('Oxford Economics'!$A$7:$AZ$1000,0,IFERROR(MATCH(AK$5,'Oxford Economics'!$A$6:$AZ$6,0),MATCH(AK$5&amp;"",'Oxford Economics'!$A$6:$AZ$6,0))),'Oxford Economics'!$A$7:$A$1000,$C36,'Oxford Economics'!$B$7:$B$1000,Settings!$B$17)))),""))</f>
        <v>13932.25</v>
      </c>
      <c r="AL36" s="37" t="n">
        <f aca="false">IF($A36="","",IFERROR(1/(1/IF($B36="Residential",SUMIFS(INDEX('Oxford Economics'!$A$7:$AZ$1000,0,IFERROR(MATCH(AL$5,'Oxford Economics'!$A$6:$AZ$6,0),MATCH(AL$5&amp;"",'Oxford Economics'!$A$6:$AZ$6,0))),'Oxford Economics'!$A$7:$A$1000,$C36,'Oxford Economics'!$B$7:$B$1000,Settings!$B$11)-SUMIFS(INDEX('Oxford Economics'!$A$7:$AZ$1000,0,IFERROR(MATCH(AL$5,'Oxford Economics'!$A$6:$AZ$6,0),MATCH(AL$5&amp;"",'Oxford Economics'!$A$6:$AZ$6,0))),'Oxford Economics'!$A$7:$A$1000,$C36,'Oxford Economics'!$B$7:$B$1000,Settings!$B$13),SUMIFS(INDEX('Oxford Economics'!$A$7:$AZ$1000,0,IFERROR(MATCH(AL$5,'Oxford Economics'!$A$6:$AZ$6,0),MATCH(AL$5&amp;"",'Oxford Economics'!$A$6:$AZ$6,0))),'Oxford Economics'!$A$7:$A$1000,$C36,'Oxford Economics'!$B$7:$B$1000,Settings!$B$13)+SUMIFS(INDEX('Oxford Economics'!$A$7:$AZ$1000,0,IFERROR(MATCH(AL$5,'Oxford Economics'!$A$6:$AZ$6,0),MATCH(AL$5&amp;"",'Oxford Economics'!$A$6:$AZ$6,0))),'Oxford Economics'!$A$7:$A$1000,$C36,'Oxford Economics'!$B$7:$B$1000,Settings!$B$15)+IF(Settings!$B$17="",0,SUMIFS(INDEX('Oxford Economics'!$A$7:$AZ$1000,0,IFERROR(MATCH(AL$5,'Oxford Economics'!$A$6:$AZ$6,0),MATCH(AL$5&amp;"",'Oxford Economics'!$A$6:$AZ$6,0))),'Oxford Economics'!$A$7:$A$1000,$C36,'Oxford Economics'!$B$7:$B$1000,Settings!$B$17)))),""))</f>
        <v>14001.27</v>
      </c>
      <c r="AM36" s="37" t="n">
        <f aca="false">IF($A36="","",IFERROR(1/(1/IF($B36="Residential",SUMIFS(INDEX('Oxford Economics'!$A$7:$AZ$1000,0,IFERROR(MATCH(AM$5,'Oxford Economics'!$A$6:$AZ$6,0),MATCH(AM$5&amp;"",'Oxford Economics'!$A$6:$AZ$6,0))),'Oxford Economics'!$A$7:$A$1000,$C36,'Oxford Economics'!$B$7:$B$1000,Settings!$B$11)-SUMIFS(INDEX('Oxford Economics'!$A$7:$AZ$1000,0,IFERROR(MATCH(AM$5,'Oxford Economics'!$A$6:$AZ$6,0),MATCH(AM$5&amp;"",'Oxford Economics'!$A$6:$AZ$6,0))),'Oxford Economics'!$A$7:$A$1000,$C36,'Oxford Economics'!$B$7:$B$1000,Settings!$B$13),SUMIFS(INDEX('Oxford Economics'!$A$7:$AZ$1000,0,IFERROR(MATCH(AM$5,'Oxford Economics'!$A$6:$AZ$6,0),MATCH(AM$5&amp;"",'Oxford Economics'!$A$6:$AZ$6,0))),'Oxford Economics'!$A$7:$A$1000,$C36,'Oxford Economics'!$B$7:$B$1000,Settings!$B$13)+SUMIFS(INDEX('Oxford Economics'!$A$7:$AZ$1000,0,IFERROR(MATCH(AM$5,'Oxford Economics'!$A$6:$AZ$6,0),MATCH(AM$5&amp;"",'Oxford Economics'!$A$6:$AZ$6,0))),'Oxford Economics'!$A$7:$A$1000,$C36,'Oxford Economics'!$B$7:$B$1000,Settings!$B$15)+IF(Settings!$B$17="",0,SUMIFS(INDEX('Oxford Economics'!$A$7:$AZ$1000,0,IFERROR(MATCH(AM$5,'Oxford Economics'!$A$6:$AZ$6,0),MATCH(AM$5&amp;"",'Oxford Economics'!$A$6:$AZ$6,0))),'Oxford Economics'!$A$7:$A$1000,$C36,'Oxford Economics'!$B$7:$B$1000,Settings!$B$17)))),""))</f>
        <v>14179.31</v>
      </c>
    </row>
    <row r="37" customFormat="false" ht="15" hidden="false" customHeight="false" outlineLevel="0" collapsed="false">
      <c r="A37" s="36" t="str">
        <f aca="false">IF('Raw data'!$A37="","",'Raw data'!$A37)</f>
        <v>Spain</v>
      </c>
      <c r="B37" s="36" t="str">
        <f aca="false">IF($A37="","",'Raw data'!$C37)</f>
        <v>Commercial</v>
      </c>
      <c r="C37" s="36" t="str">
        <f aca="false">IF($A37="","",IF('Raw data'!$D37="",$A37,'Raw data'!$D37))</f>
        <v>Spain</v>
      </c>
      <c r="D37" s="37" t="n">
        <f aca="false">IF($A37="","",IF(AND(ISNUMBER(P37),ISNUMBER(AB37)),P37+AB37,""))</f>
        <v>67956.51</v>
      </c>
      <c r="E37" s="37" t="n">
        <f aca="false">IF($A37="","",IF(AND(ISNUMBER(Q37),ISNUMBER(AC37)),Q37+AC37,""))</f>
        <v>65800.75</v>
      </c>
      <c r="F37" s="37" t="n">
        <f aca="false">IF($A37="","",IF(AND(ISNUMBER(R37),ISNUMBER(AD37)),R37+AD37,""))</f>
        <v>73496.76</v>
      </c>
      <c r="G37" s="37" t="n">
        <f aca="false">IF($A37="","",IF(AND(ISNUMBER(S37),ISNUMBER(AE37)),S37+AE37,""))</f>
        <v>76655.44</v>
      </c>
      <c r="H37" s="37" t="n">
        <f aca="false">IF($A37="","",IF(AND(ISNUMBER(T37),ISNUMBER(AF37)),T37+AF37,""))</f>
        <v>78112.83</v>
      </c>
      <c r="I37" s="37" t="n">
        <f aca="false">IF($A37="","",IF(AND(ISNUMBER(U37),ISNUMBER(AG37)),U37+AG37,""))</f>
        <v>85393.01</v>
      </c>
      <c r="J37" s="37" t="n">
        <f aca="false">IF($A37="","",IF(AND(ISNUMBER(V37),ISNUMBER(AH37)),V37+AH37,""))</f>
        <v>91094.94</v>
      </c>
      <c r="K37" s="37" t="n">
        <f aca="false">IF($A37="","",IF(AND(ISNUMBER(W37),ISNUMBER(AI37)),W37+AI37,""))</f>
        <v>95168.43</v>
      </c>
      <c r="L37" s="37" t="n">
        <f aca="false">IF($A37="","",IF(AND(ISNUMBER(X37),ISNUMBER(AJ37)),X37+AJ37,""))</f>
        <v>99206.61</v>
      </c>
      <c r="M37" s="37" t="n">
        <f aca="false">IF($A37="","",IF(AND(ISNUMBER(Y37),ISNUMBER(AK37)),Y37+AK37,""))</f>
        <v>103209.64</v>
      </c>
      <c r="N37" s="37" t="n">
        <f aca="false">IF($A37="","",IF(AND(ISNUMBER(Z37),ISNUMBER(AL37)),Z37+AL37,""))</f>
        <v>106794.56</v>
      </c>
      <c r="O37" s="37" t="n">
        <f aca="false">IF($A37="","",IF(AND(ISNUMBER(AA37),ISNUMBER(AM37)),AA37+AM37,""))</f>
        <v>109007.68</v>
      </c>
      <c r="P37" s="37" t="n">
        <f aca="false">IF($A37="","",IFERROR(1/(1/IF($B37="Residential",SUMIFS(INDEX('Oxford Economics'!$A$7:$AZ$1000,0,IFERROR(MATCH(P$5,'Oxford Economics'!$A$6:$AZ$6,0),MATCH(P$5&amp;"",'Oxford Economics'!$A$6:$AZ$6,0))),'Oxford Economics'!$A$7:$A$1000,$C37,'Oxford Economics'!$B$7:$B$1000,Settings!$B$12)-SUMIFS(INDEX('Oxford Economics'!$A$7:$AZ$1000,0,IFERROR(MATCH(P$5,'Oxford Economics'!$A$6:$AZ$6,0),MATCH(P$5&amp;"",'Oxford Economics'!$A$6:$AZ$6,0))),'Oxford Economics'!$A$7:$A$1000,$C37,'Oxford Economics'!$B$7:$B$1000,Settings!$B$14),SUMIFS(INDEX('Oxford Economics'!$A$7:$AZ$1000,0,IFERROR(MATCH(P$5,'Oxford Economics'!$A$6:$AZ$6,0),MATCH(P$5&amp;"",'Oxford Economics'!$A$6:$AZ$6,0))),'Oxford Economics'!$A$7:$A$1000,$C37,'Oxford Economics'!$B$7:$B$1000,Settings!$B$14)+SUMIFS(INDEX('Oxford Economics'!$A$7:$AZ$1000,0,IFERROR(MATCH(P$5,'Oxford Economics'!$A$6:$AZ$6,0),MATCH(P$5&amp;"",'Oxford Economics'!$A$6:$AZ$6,0))),'Oxford Economics'!$A$7:$A$1000,$C37,'Oxford Economics'!$B$7:$B$1000,Settings!$B$16)+IF(Settings!$B$18="",0,SUMIFS(INDEX('Oxford Economics'!$A$7:$AZ$1000,0,IFERROR(MATCH(P$5,'Oxford Economics'!$A$6:$AZ$6,0),MATCH(P$5&amp;"",'Oxford Economics'!$A$6:$AZ$6,0))),'Oxford Economics'!$A$7:$A$1000,$C37,'Oxford Economics'!$B$7:$B$1000,Settings!$B$18)))),""))</f>
        <v>23915.74</v>
      </c>
      <c r="Q37" s="37" t="n">
        <f aca="false">IF($A37="","",IFERROR(1/(1/IF($B37="Residential",SUMIFS(INDEX('Oxford Economics'!$A$7:$AZ$1000,0,IFERROR(MATCH(Q$5,'Oxford Economics'!$A$6:$AZ$6,0),MATCH(Q$5&amp;"",'Oxford Economics'!$A$6:$AZ$6,0))),'Oxford Economics'!$A$7:$A$1000,$C37,'Oxford Economics'!$B$7:$B$1000,Settings!$B$12)-SUMIFS(INDEX('Oxford Economics'!$A$7:$AZ$1000,0,IFERROR(MATCH(Q$5,'Oxford Economics'!$A$6:$AZ$6,0),MATCH(Q$5&amp;"",'Oxford Economics'!$A$6:$AZ$6,0))),'Oxford Economics'!$A$7:$A$1000,$C37,'Oxford Economics'!$B$7:$B$1000,Settings!$B$14),SUMIFS(INDEX('Oxford Economics'!$A$7:$AZ$1000,0,IFERROR(MATCH(Q$5,'Oxford Economics'!$A$6:$AZ$6,0),MATCH(Q$5&amp;"",'Oxford Economics'!$A$6:$AZ$6,0))),'Oxford Economics'!$A$7:$A$1000,$C37,'Oxford Economics'!$B$7:$B$1000,Settings!$B$14)+SUMIFS(INDEX('Oxford Economics'!$A$7:$AZ$1000,0,IFERROR(MATCH(Q$5,'Oxford Economics'!$A$6:$AZ$6,0),MATCH(Q$5&amp;"",'Oxford Economics'!$A$6:$AZ$6,0))),'Oxford Economics'!$A$7:$A$1000,$C37,'Oxford Economics'!$B$7:$B$1000,Settings!$B$16)+IF(Settings!$B$18="",0,SUMIFS(INDEX('Oxford Economics'!$A$7:$AZ$1000,0,IFERROR(MATCH(Q$5,'Oxford Economics'!$A$6:$AZ$6,0),MATCH(Q$5&amp;"",'Oxford Economics'!$A$6:$AZ$6,0))),'Oxford Economics'!$A$7:$A$1000,$C37,'Oxford Economics'!$B$7:$B$1000,Settings!$B$18)))),""))</f>
        <v>23729.23</v>
      </c>
      <c r="R37" s="37" t="n">
        <f aca="false">IF($A37="","",IFERROR(1/(1/IF($B37="Residential",SUMIFS(INDEX('Oxford Economics'!$A$7:$AZ$1000,0,IFERROR(MATCH(R$5,'Oxford Economics'!$A$6:$AZ$6,0),MATCH(R$5&amp;"",'Oxford Economics'!$A$6:$AZ$6,0))),'Oxford Economics'!$A$7:$A$1000,$C37,'Oxford Economics'!$B$7:$B$1000,Settings!$B$12)-SUMIFS(INDEX('Oxford Economics'!$A$7:$AZ$1000,0,IFERROR(MATCH(R$5,'Oxford Economics'!$A$6:$AZ$6,0),MATCH(R$5&amp;"",'Oxford Economics'!$A$6:$AZ$6,0))),'Oxford Economics'!$A$7:$A$1000,$C37,'Oxford Economics'!$B$7:$B$1000,Settings!$B$14),SUMIFS(INDEX('Oxford Economics'!$A$7:$AZ$1000,0,IFERROR(MATCH(R$5,'Oxford Economics'!$A$6:$AZ$6,0),MATCH(R$5&amp;"",'Oxford Economics'!$A$6:$AZ$6,0))),'Oxford Economics'!$A$7:$A$1000,$C37,'Oxford Economics'!$B$7:$B$1000,Settings!$B$14)+SUMIFS(INDEX('Oxford Economics'!$A$7:$AZ$1000,0,IFERROR(MATCH(R$5,'Oxford Economics'!$A$6:$AZ$6,0),MATCH(R$5&amp;"",'Oxford Economics'!$A$6:$AZ$6,0))),'Oxford Economics'!$A$7:$A$1000,$C37,'Oxford Economics'!$B$7:$B$1000,Settings!$B$16)+IF(Settings!$B$18="",0,SUMIFS(INDEX('Oxford Economics'!$A$7:$AZ$1000,0,IFERROR(MATCH(R$5,'Oxford Economics'!$A$6:$AZ$6,0),MATCH(R$5&amp;"",'Oxford Economics'!$A$6:$AZ$6,0))),'Oxford Economics'!$A$7:$A$1000,$C37,'Oxford Economics'!$B$7:$B$1000,Settings!$B$18)))),""))</f>
        <v>26423.86</v>
      </c>
      <c r="S37" s="37" t="n">
        <f aca="false">IF($A37="","",IFERROR(1/(1/IF($B37="Residential",SUMIFS(INDEX('Oxford Economics'!$A$7:$AZ$1000,0,IFERROR(MATCH(S$5,'Oxford Economics'!$A$6:$AZ$6,0),MATCH(S$5&amp;"",'Oxford Economics'!$A$6:$AZ$6,0))),'Oxford Economics'!$A$7:$A$1000,$C37,'Oxford Economics'!$B$7:$B$1000,Settings!$B$12)-SUMIFS(INDEX('Oxford Economics'!$A$7:$AZ$1000,0,IFERROR(MATCH(S$5,'Oxford Economics'!$A$6:$AZ$6,0),MATCH(S$5&amp;"",'Oxford Economics'!$A$6:$AZ$6,0))),'Oxford Economics'!$A$7:$A$1000,$C37,'Oxford Economics'!$B$7:$B$1000,Settings!$B$14),SUMIFS(INDEX('Oxford Economics'!$A$7:$AZ$1000,0,IFERROR(MATCH(S$5,'Oxford Economics'!$A$6:$AZ$6,0),MATCH(S$5&amp;"",'Oxford Economics'!$A$6:$AZ$6,0))),'Oxford Economics'!$A$7:$A$1000,$C37,'Oxford Economics'!$B$7:$B$1000,Settings!$B$14)+SUMIFS(INDEX('Oxford Economics'!$A$7:$AZ$1000,0,IFERROR(MATCH(S$5,'Oxford Economics'!$A$6:$AZ$6,0),MATCH(S$5&amp;"",'Oxford Economics'!$A$6:$AZ$6,0))),'Oxford Economics'!$A$7:$A$1000,$C37,'Oxford Economics'!$B$7:$B$1000,Settings!$B$16)+IF(Settings!$B$18="",0,SUMIFS(INDEX('Oxford Economics'!$A$7:$AZ$1000,0,IFERROR(MATCH(S$5,'Oxford Economics'!$A$6:$AZ$6,0),MATCH(S$5&amp;"",'Oxford Economics'!$A$6:$AZ$6,0))),'Oxford Economics'!$A$7:$A$1000,$C37,'Oxford Economics'!$B$7:$B$1000,Settings!$B$18)))),""))</f>
        <v>27513.56</v>
      </c>
      <c r="T37" s="37" t="n">
        <f aca="false">IF($A37="","",IFERROR(1/(1/IF($B37="Residential",SUMIFS(INDEX('Oxford Economics'!$A$7:$AZ$1000,0,IFERROR(MATCH(T$5,'Oxford Economics'!$A$6:$AZ$6,0),MATCH(T$5&amp;"",'Oxford Economics'!$A$6:$AZ$6,0))),'Oxford Economics'!$A$7:$A$1000,$C37,'Oxford Economics'!$B$7:$B$1000,Settings!$B$12)-SUMIFS(INDEX('Oxford Economics'!$A$7:$AZ$1000,0,IFERROR(MATCH(T$5,'Oxford Economics'!$A$6:$AZ$6,0),MATCH(T$5&amp;"",'Oxford Economics'!$A$6:$AZ$6,0))),'Oxford Economics'!$A$7:$A$1000,$C37,'Oxford Economics'!$B$7:$B$1000,Settings!$B$14),SUMIFS(INDEX('Oxford Economics'!$A$7:$AZ$1000,0,IFERROR(MATCH(T$5,'Oxford Economics'!$A$6:$AZ$6,0),MATCH(T$5&amp;"",'Oxford Economics'!$A$6:$AZ$6,0))),'Oxford Economics'!$A$7:$A$1000,$C37,'Oxford Economics'!$B$7:$B$1000,Settings!$B$14)+SUMIFS(INDEX('Oxford Economics'!$A$7:$AZ$1000,0,IFERROR(MATCH(T$5,'Oxford Economics'!$A$6:$AZ$6,0),MATCH(T$5&amp;"",'Oxford Economics'!$A$6:$AZ$6,0))),'Oxford Economics'!$A$7:$A$1000,$C37,'Oxford Economics'!$B$7:$B$1000,Settings!$B$16)+IF(Settings!$B$18="",0,SUMIFS(INDEX('Oxford Economics'!$A$7:$AZ$1000,0,IFERROR(MATCH(T$5,'Oxford Economics'!$A$6:$AZ$6,0),MATCH(T$5&amp;"",'Oxford Economics'!$A$6:$AZ$6,0))),'Oxford Economics'!$A$7:$A$1000,$C37,'Oxford Economics'!$B$7:$B$1000,Settings!$B$18)))),""))</f>
        <v>27909.21</v>
      </c>
      <c r="U37" s="37" t="n">
        <f aca="false">IF($A37="","",IFERROR(1/(1/IF($B37="Residential",SUMIFS(INDEX('Oxford Economics'!$A$7:$AZ$1000,0,IFERROR(MATCH(U$5,'Oxford Economics'!$A$6:$AZ$6,0),MATCH(U$5&amp;"",'Oxford Economics'!$A$6:$AZ$6,0))),'Oxford Economics'!$A$7:$A$1000,$C37,'Oxford Economics'!$B$7:$B$1000,Settings!$B$12)-SUMIFS(INDEX('Oxford Economics'!$A$7:$AZ$1000,0,IFERROR(MATCH(U$5,'Oxford Economics'!$A$6:$AZ$6,0),MATCH(U$5&amp;"",'Oxford Economics'!$A$6:$AZ$6,0))),'Oxford Economics'!$A$7:$A$1000,$C37,'Oxford Economics'!$B$7:$B$1000,Settings!$B$14),SUMIFS(INDEX('Oxford Economics'!$A$7:$AZ$1000,0,IFERROR(MATCH(U$5,'Oxford Economics'!$A$6:$AZ$6,0),MATCH(U$5&amp;"",'Oxford Economics'!$A$6:$AZ$6,0))),'Oxford Economics'!$A$7:$A$1000,$C37,'Oxford Economics'!$B$7:$B$1000,Settings!$B$14)+SUMIFS(INDEX('Oxford Economics'!$A$7:$AZ$1000,0,IFERROR(MATCH(U$5,'Oxford Economics'!$A$6:$AZ$6,0),MATCH(U$5&amp;"",'Oxford Economics'!$A$6:$AZ$6,0))),'Oxford Economics'!$A$7:$A$1000,$C37,'Oxford Economics'!$B$7:$B$1000,Settings!$B$16)+IF(Settings!$B$18="",0,SUMIFS(INDEX('Oxford Economics'!$A$7:$AZ$1000,0,IFERROR(MATCH(U$5,'Oxford Economics'!$A$6:$AZ$6,0),MATCH(U$5&amp;"",'Oxford Economics'!$A$6:$AZ$6,0))),'Oxford Economics'!$A$7:$A$1000,$C37,'Oxford Economics'!$B$7:$B$1000,Settings!$B$18)))),""))</f>
        <v>30613.39</v>
      </c>
      <c r="V37" s="37" t="n">
        <f aca="false">IF($A37="","",IFERROR(1/(1/IF($B37="Residential",SUMIFS(INDEX('Oxford Economics'!$A$7:$AZ$1000,0,IFERROR(MATCH(V$5,'Oxford Economics'!$A$6:$AZ$6,0),MATCH(V$5&amp;"",'Oxford Economics'!$A$6:$AZ$6,0))),'Oxford Economics'!$A$7:$A$1000,$C37,'Oxford Economics'!$B$7:$B$1000,Settings!$B$12)-SUMIFS(INDEX('Oxford Economics'!$A$7:$AZ$1000,0,IFERROR(MATCH(V$5,'Oxford Economics'!$A$6:$AZ$6,0),MATCH(V$5&amp;"",'Oxford Economics'!$A$6:$AZ$6,0))),'Oxford Economics'!$A$7:$A$1000,$C37,'Oxford Economics'!$B$7:$B$1000,Settings!$B$14),SUMIFS(INDEX('Oxford Economics'!$A$7:$AZ$1000,0,IFERROR(MATCH(V$5,'Oxford Economics'!$A$6:$AZ$6,0),MATCH(V$5&amp;"",'Oxford Economics'!$A$6:$AZ$6,0))),'Oxford Economics'!$A$7:$A$1000,$C37,'Oxford Economics'!$B$7:$B$1000,Settings!$B$14)+SUMIFS(INDEX('Oxford Economics'!$A$7:$AZ$1000,0,IFERROR(MATCH(V$5,'Oxford Economics'!$A$6:$AZ$6,0),MATCH(V$5&amp;"",'Oxford Economics'!$A$6:$AZ$6,0))),'Oxford Economics'!$A$7:$A$1000,$C37,'Oxford Economics'!$B$7:$B$1000,Settings!$B$16)+IF(Settings!$B$18="",0,SUMIFS(INDEX('Oxford Economics'!$A$7:$AZ$1000,0,IFERROR(MATCH(V$5,'Oxford Economics'!$A$6:$AZ$6,0),MATCH(V$5&amp;"",'Oxford Economics'!$A$6:$AZ$6,0))),'Oxford Economics'!$A$7:$A$1000,$C37,'Oxford Economics'!$B$7:$B$1000,Settings!$B$18)))),""))</f>
        <v>30574.66</v>
      </c>
      <c r="W37" s="37" t="n">
        <f aca="false">IF($A37="","",IFERROR(1/(1/IF($B37="Residential",SUMIFS(INDEX('Oxford Economics'!$A$7:$AZ$1000,0,IFERROR(MATCH(W$5,'Oxford Economics'!$A$6:$AZ$6,0),MATCH(W$5&amp;"",'Oxford Economics'!$A$6:$AZ$6,0))),'Oxford Economics'!$A$7:$A$1000,$C37,'Oxford Economics'!$B$7:$B$1000,Settings!$B$12)-SUMIFS(INDEX('Oxford Economics'!$A$7:$AZ$1000,0,IFERROR(MATCH(W$5,'Oxford Economics'!$A$6:$AZ$6,0),MATCH(W$5&amp;"",'Oxford Economics'!$A$6:$AZ$6,0))),'Oxford Economics'!$A$7:$A$1000,$C37,'Oxford Economics'!$B$7:$B$1000,Settings!$B$14),SUMIFS(INDEX('Oxford Economics'!$A$7:$AZ$1000,0,IFERROR(MATCH(W$5,'Oxford Economics'!$A$6:$AZ$6,0),MATCH(W$5&amp;"",'Oxford Economics'!$A$6:$AZ$6,0))),'Oxford Economics'!$A$7:$A$1000,$C37,'Oxford Economics'!$B$7:$B$1000,Settings!$B$14)+SUMIFS(INDEX('Oxford Economics'!$A$7:$AZ$1000,0,IFERROR(MATCH(W$5,'Oxford Economics'!$A$6:$AZ$6,0),MATCH(W$5&amp;"",'Oxford Economics'!$A$6:$AZ$6,0))),'Oxford Economics'!$A$7:$A$1000,$C37,'Oxford Economics'!$B$7:$B$1000,Settings!$B$16)+IF(Settings!$B$18="",0,SUMIFS(INDEX('Oxford Economics'!$A$7:$AZ$1000,0,IFERROR(MATCH(W$5,'Oxford Economics'!$A$6:$AZ$6,0),MATCH(W$5&amp;"",'Oxford Economics'!$A$6:$AZ$6,0))),'Oxford Economics'!$A$7:$A$1000,$C37,'Oxford Economics'!$B$7:$B$1000,Settings!$B$18)))),""))</f>
        <v>30659.59</v>
      </c>
      <c r="X37" s="37" t="n">
        <f aca="false">IF($A37="","",IFERROR(1/(1/IF($B37="Residential",SUMIFS(INDEX('Oxford Economics'!$A$7:$AZ$1000,0,IFERROR(MATCH(X$5,'Oxford Economics'!$A$6:$AZ$6,0),MATCH(X$5&amp;"",'Oxford Economics'!$A$6:$AZ$6,0))),'Oxford Economics'!$A$7:$A$1000,$C37,'Oxford Economics'!$B$7:$B$1000,Settings!$B$12)-SUMIFS(INDEX('Oxford Economics'!$A$7:$AZ$1000,0,IFERROR(MATCH(X$5,'Oxford Economics'!$A$6:$AZ$6,0),MATCH(X$5&amp;"",'Oxford Economics'!$A$6:$AZ$6,0))),'Oxford Economics'!$A$7:$A$1000,$C37,'Oxford Economics'!$B$7:$B$1000,Settings!$B$14),SUMIFS(INDEX('Oxford Economics'!$A$7:$AZ$1000,0,IFERROR(MATCH(X$5,'Oxford Economics'!$A$6:$AZ$6,0),MATCH(X$5&amp;"",'Oxford Economics'!$A$6:$AZ$6,0))),'Oxford Economics'!$A$7:$A$1000,$C37,'Oxford Economics'!$B$7:$B$1000,Settings!$B$14)+SUMIFS(INDEX('Oxford Economics'!$A$7:$AZ$1000,0,IFERROR(MATCH(X$5,'Oxford Economics'!$A$6:$AZ$6,0),MATCH(X$5&amp;"",'Oxford Economics'!$A$6:$AZ$6,0))),'Oxford Economics'!$A$7:$A$1000,$C37,'Oxford Economics'!$B$7:$B$1000,Settings!$B$16)+IF(Settings!$B$18="",0,SUMIFS(INDEX('Oxford Economics'!$A$7:$AZ$1000,0,IFERROR(MATCH(X$5,'Oxford Economics'!$A$6:$AZ$6,0),MATCH(X$5&amp;"",'Oxford Economics'!$A$6:$AZ$6,0))),'Oxford Economics'!$A$7:$A$1000,$C37,'Oxford Economics'!$B$7:$B$1000,Settings!$B$18)))),""))</f>
        <v>31976.78</v>
      </c>
      <c r="Y37" s="37" t="n">
        <f aca="false">IF($A37="","",IFERROR(1/(1/IF($B37="Residential",SUMIFS(INDEX('Oxford Economics'!$A$7:$AZ$1000,0,IFERROR(MATCH(Y$5,'Oxford Economics'!$A$6:$AZ$6,0),MATCH(Y$5&amp;"",'Oxford Economics'!$A$6:$AZ$6,0))),'Oxford Economics'!$A$7:$A$1000,$C37,'Oxford Economics'!$B$7:$B$1000,Settings!$B$12)-SUMIFS(INDEX('Oxford Economics'!$A$7:$AZ$1000,0,IFERROR(MATCH(Y$5,'Oxford Economics'!$A$6:$AZ$6,0),MATCH(Y$5&amp;"",'Oxford Economics'!$A$6:$AZ$6,0))),'Oxford Economics'!$A$7:$A$1000,$C37,'Oxford Economics'!$B$7:$B$1000,Settings!$B$14),SUMIFS(INDEX('Oxford Economics'!$A$7:$AZ$1000,0,IFERROR(MATCH(Y$5,'Oxford Economics'!$A$6:$AZ$6,0),MATCH(Y$5&amp;"",'Oxford Economics'!$A$6:$AZ$6,0))),'Oxford Economics'!$A$7:$A$1000,$C37,'Oxford Economics'!$B$7:$B$1000,Settings!$B$14)+SUMIFS(INDEX('Oxford Economics'!$A$7:$AZ$1000,0,IFERROR(MATCH(Y$5,'Oxford Economics'!$A$6:$AZ$6,0),MATCH(Y$5&amp;"",'Oxford Economics'!$A$6:$AZ$6,0))),'Oxford Economics'!$A$7:$A$1000,$C37,'Oxford Economics'!$B$7:$B$1000,Settings!$B$16)+IF(Settings!$B$18="",0,SUMIFS(INDEX('Oxford Economics'!$A$7:$AZ$1000,0,IFERROR(MATCH(Y$5,'Oxford Economics'!$A$6:$AZ$6,0),MATCH(Y$5&amp;"",'Oxford Economics'!$A$6:$AZ$6,0))),'Oxford Economics'!$A$7:$A$1000,$C37,'Oxford Economics'!$B$7:$B$1000,Settings!$B$18)))),""))</f>
        <v>34053.34</v>
      </c>
      <c r="Z37" s="37" t="n">
        <f aca="false">IF($A37="","",IFERROR(1/(1/IF($B37="Residential",SUMIFS(INDEX('Oxford Economics'!$A$7:$AZ$1000,0,IFERROR(MATCH(Z$5,'Oxford Economics'!$A$6:$AZ$6,0),MATCH(Z$5&amp;"",'Oxford Economics'!$A$6:$AZ$6,0))),'Oxford Economics'!$A$7:$A$1000,$C37,'Oxford Economics'!$B$7:$B$1000,Settings!$B$12)-SUMIFS(INDEX('Oxford Economics'!$A$7:$AZ$1000,0,IFERROR(MATCH(Z$5,'Oxford Economics'!$A$6:$AZ$6,0),MATCH(Z$5&amp;"",'Oxford Economics'!$A$6:$AZ$6,0))),'Oxford Economics'!$A$7:$A$1000,$C37,'Oxford Economics'!$B$7:$B$1000,Settings!$B$14),SUMIFS(INDEX('Oxford Economics'!$A$7:$AZ$1000,0,IFERROR(MATCH(Z$5,'Oxford Economics'!$A$6:$AZ$6,0),MATCH(Z$5&amp;"",'Oxford Economics'!$A$6:$AZ$6,0))),'Oxford Economics'!$A$7:$A$1000,$C37,'Oxford Economics'!$B$7:$B$1000,Settings!$B$14)+SUMIFS(INDEX('Oxford Economics'!$A$7:$AZ$1000,0,IFERROR(MATCH(Z$5,'Oxford Economics'!$A$6:$AZ$6,0),MATCH(Z$5&amp;"",'Oxford Economics'!$A$6:$AZ$6,0))),'Oxford Economics'!$A$7:$A$1000,$C37,'Oxford Economics'!$B$7:$B$1000,Settings!$B$16)+IF(Settings!$B$18="",0,SUMIFS(INDEX('Oxford Economics'!$A$7:$AZ$1000,0,IFERROR(MATCH(Z$5,'Oxford Economics'!$A$6:$AZ$6,0),MATCH(Z$5&amp;"",'Oxford Economics'!$A$6:$AZ$6,0))),'Oxford Economics'!$A$7:$A$1000,$C37,'Oxford Economics'!$B$7:$B$1000,Settings!$B$18)))),""))</f>
        <v>36143.78</v>
      </c>
      <c r="AA37" s="37" t="n">
        <f aca="false">IF($A37="","",IFERROR(1/(1/IF($B37="Residential",SUMIFS(INDEX('Oxford Economics'!$A$7:$AZ$1000,0,IFERROR(MATCH(AA$5,'Oxford Economics'!$A$6:$AZ$6,0),MATCH(AA$5&amp;"",'Oxford Economics'!$A$6:$AZ$6,0))),'Oxford Economics'!$A$7:$A$1000,$C37,'Oxford Economics'!$B$7:$B$1000,Settings!$B$12)-SUMIFS(INDEX('Oxford Economics'!$A$7:$AZ$1000,0,IFERROR(MATCH(AA$5,'Oxford Economics'!$A$6:$AZ$6,0),MATCH(AA$5&amp;"",'Oxford Economics'!$A$6:$AZ$6,0))),'Oxford Economics'!$A$7:$A$1000,$C37,'Oxford Economics'!$B$7:$B$1000,Settings!$B$14),SUMIFS(INDEX('Oxford Economics'!$A$7:$AZ$1000,0,IFERROR(MATCH(AA$5,'Oxford Economics'!$A$6:$AZ$6,0),MATCH(AA$5&amp;"",'Oxford Economics'!$A$6:$AZ$6,0))),'Oxford Economics'!$A$7:$A$1000,$C37,'Oxford Economics'!$B$7:$B$1000,Settings!$B$14)+SUMIFS(INDEX('Oxford Economics'!$A$7:$AZ$1000,0,IFERROR(MATCH(AA$5,'Oxford Economics'!$A$6:$AZ$6,0),MATCH(AA$5&amp;"",'Oxford Economics'!$A$6:$AZ$6,0))),'Oxford Economics'!$A$7:$A$1000,$C37,'Oxford Economics'!$B$7:$B$1000,Settings!$B$16)+IF(Settings!$B$18="",0,SUMIFS(INDEX('Oxford Economics'!$A$7:$AZ$1000,0,IFERROR(MATCH(AA$5,'Oxford Economics'!$A$6:$AZ$6,0),MATCH(AA$5&amp;"",'Oxford Economics'!$A$6:$AZ$6,0))),'Oxford Economics'!$A$7:$A$1000,$C37,'Oxford Economics'!$B$7:$B$1000,Settings!$B$18)))),""))</f>
        <v>37320.87</v>
      </c>
      <c r="AB37" s="37" t="n">
        <f aca="false">IF($A37="","",IFERROR(1/(1/IF($B37="Residential",SUMIFS(INDEX('Oxford Economics'!$A$7:$AZ$1000,0,IFERROR(MATCH(AB$5,'Oxford Economics'!$A$6:$AZ$6,0),MATCH(AB$5&amp;"",'Oxford Economics'!$A$6:$AZ$6,0))),'Oxford Economics'!$A$7:$A$1000,$C37,'Oxford Economics'!$B$7:$B$1000,Settings!$B$11)-SUMIFS(INDEX('Oxford Economics'!$A$7:$AZ$1000,0,IFERROR(MATCH(AB$5,'Oxford Economics'!$A$6:$AZ$6,0),MATCH(AB$5&amp;"",'Oxford Economics'!$A$6:$AZ$6,0))),'Oxford Economics'!$A$7:$A$1000,$C37,'Oxford Economics'!$B$7:$B$1000,Settings!$B$13),SUMIFS(INDEX('Oxford Economics'!$A$7:$AZ$1000,0,IFERROR(MATCH(AB$5,'Oxford Economics'!$A$6:$AZ$6,0),MATCH(AB$5&amp;"",'Oxford Economics'!$A$6:$AZ$6,0))),'Oxford Economics'!$A$7:$A$1000,$C37,'Oxford Economics'!$B$7:$B$1000,Settings!$B$13)+SUMIFS(INDEX('Oxford Economics'!$A$7:$AZ$1000,0,IFERROR(MATCH(AB$5,'Oxford Economics'!$A$6:$AZ$6,0),MATCH(AB$5&amp;"",'Oxford Economics'!$A$6:$AZ$6,0))),'Oxford Economics'!$A$7:$A$1000,$C37,'Oxford Economics'!$B$7:$B$1000,Settings!$B$15)+IF(Settings!$B$17="",0,SUMIFS(INDEX('Oxford Economics'!$A$7:$AZ$1000,0,IFERROR(MATCH(AB$5,'Oxford Economics'!$A$6:$AZ$6,0),MATCH(AB$5&amp;"",'Oxford Economics'!$A$6:$AZ$6,0))),'Oxford Economics'!$A$7:$A$1000,$C37,'Oxford Economics'!$B$7:$B$1000,Settings!$B$17)))),""))</f>
        <v>44040.77</v>
      </c>
      <c r="AC37" s="37" t="n">
        <f aca="false">IF($A37="","",IFERROR(1/(1/IF($B37="Residential",SUMIFS(INDEX('Oxford Economics'!$A$7:$AZ$1000,0,IFERROR(MATCH(AC$5,'Oxford Economics'!$A$6:$AZ$6,0),MATCH(AC$5&amp;"",'Oxford Economics'!$A$6:$AZ$6,0))),'Oxford Economics'!$A$7:$A$1000,$C37,'Oxford Economics'!$B$7:$B$1000,Settings!$B$11)-SUMIFS(INDEX('Oxford Economics'!$A$7:$AZ$1000,0,IFERROR(MATCH(AC$5,'Oxford Economics'!$A$6:$AZ$6,0),MATCH(AC$5&amp;"",'Oxford Economics'!$A$6:$AZ$6,0))),'Oxford Economics'!$A$7:$A$1000,$C37,'Oxford Economics'!$B$7:$B$1000,Settings!$B$13),SUMIFS(INDEX('Oxford Economics'!$A$7:$AZ$1000,0,IFERROR(MATCH(AC$5,'Oxford Economics'!$A$6:$AZ$6,0),MATCH(AC$5&amp;"",'Oxford Economics'!$A$6:$AZ$6,0))),'Oxford Economics'!$A$7:$A$1000,$C37,'Oxford Economics'!$B$7:$B$1000,Settings!$B$13)+SUMIFS(INDEX('Oxford Economics'!$A$7:$AZ$1000,0,IFERROR(MATCH(AC$5,'Oxford Economics'!$A$6:$AZ$6,0),MATCH(AC$5&amp;"",'Oxford Economics'!$A$6:$AZ$6,0))),'Oxford Economics'!$A$7:$A$1000,$C37,'Oxford Economics'!$B$7:$B$1000,Settings!$B$15)+IF(Settings!$B$17="",0,SUMIFS(INDEX('Oxford Economics'!$A$7:$AZ$1000,0,IFERROR(MATCH(AC$5,'Oxford Economics'!$A$6:$AZ$6,0),MATCH(AC$5&amp;"",'Oxford Economics'!$A$6:$AZ$6,0))),'Oxford Economics'!$A$7:$A$1000,$C37,'Oxford Economics'!$B$7:$B$1000,Settings!$B$17)))),""))</f>
        <v>42071.52</v>
      </c>
      <c r="AD37" s="37" t="n">
        <f aca="false">IF($A37="","",IFERROR(1/(1/IF($B37="Residential",SUMIFS(INDEX('Oxford Economics'!$A$7:$AZ$1000,0,IFERROR(MATCH(AD$5,'Oxford Economics'!$A$6:$AZ$6,0),MATCH(AD$5&amp;"",'Oxford Economics'!$A$6:$AZ$6,0))),'Oxford Economics'!$A$7:$A$1000,$C37,'Oxford Economics'!$B$7:$B$1000,Settings!$B$11)-SUMIFS(INDEX('Oxford Economics'!$A$7:$AZ$1000,0,IFERROR(MATCH(AD$5,'Oxford Economics'!$A$6:$AZ$6,0),MATCH(AD$5&amp;"",'Oxford Economics'!$A$6:$AZ$6,0))),'Oxford Economics'!$A$7:$A$1000,$C37,'Oxford Economics'!$B$7:$B$1000,Settings!$B$13),SUMIFS(INDEX('Oxford Economics'!$A$7:$AZ$1000,0,IFERROR(MATCH(AD$5,'Oxford Economics'!$A$6:$AZ$6,0),MATCH(AD$5&amp;"",'Oxford Economics'!$A$6:$AZ$6,0))),'Oxford Economics'!$A$7:$A$1000,$C37,'Oxford Economics'!$B$7:$B$1000,Settings!$B$13)+SUMIFS(INDEX('Oxford Economics'!$A$7:$AZ$1000,0,IFERROR(MATCH(AD$5,'Oxford Economics'!$A$6:$AZ$6,0),MATCH(AD$5&amp;"",'Oxford Economics'!$A$6:$AZ$6,0))),'Oxford Economics'!$A$7:$A$1000,$C37,'Oxford Economics'!$B$7:$B$1000,Settings!$B$15)+IF(Settings!$B$17="",0,SUMIFS(INDEX('Oxford Economics'!$A$7:$AZ$1000,0,IFERROR(MATCH(AD$5,'Oxford Economics'!$A$6:$AZ$6,0),MATCH(AD$5&amp;"",'Oxford Economics'!$A$6:$AZ$6,0))),'Oxford Economics'!$A$7:$A$1000,$C37,'Oxford Economics'!$B$7:$B$1000,Settings!$B$17)))),""))</f>
        <v>47072.9</v>
      </c>
      <c r="AE37" s="37" t="n">
        <f aca="false">IF($A37="","",IFERROR(1/(1/IF($B37="Residential",SUMIFS(INDEX('Oxford Economics'!$A$7:$AZ$1000,0,IFERROR(MATCH(AE$5,'Oxford Economics'!$A$6:$AZ$6,0),MATCH(AE$5&amp;"",'Oxford Economics'!$A$6:$AZ$6,0))),'Oxford Economics'!$A$7:$A$1000,$C37,'Oxford Economics'!$B$7:$B$1000,Settings!$B$11)-SUMIFS(INDEX('Oxford Economics'!$A$7:$AZ$1000,0,IFERROR(MATCH(AE$5,'Oxford Economics'!$A$6:$AZ$6,0),MATCH(AE$5&amp;"",'Oxford Economics'!$A$6:$AZ$6,0))),'Oxford Economics'!$A$7:$A$1000,$C37,'Oxford Economics'!$B$7:$B$1000,Settings!$B$13),SUMIFS(INDEX('Oxford Economics'!$A$7:$AZ$1000,0,IFERROR(MATCH(AE$5,'Oxford Economics'!$A$6:$AZ$6,0),MATCH(AE$5&amp;"",'Oxford Economics'!$A$6:$AZ$6,0))),'Oxford Economics'!$A$7:$A$1000,$C37,'Oxford Economics'!$B$7:$B$1000,Settings!$B$13)+SUMIFS(INDEX('Oxford Economics'!$A$7:$AZ$1000,0,IFERROR(MATCH(AE$5,'Oxford Economics'!$A$6:$AZ$6,0),MATCH(AE$5&amp;"",'Oxford Economics'!$A$6:$AZ$6,0))),'Oxford Economics'!$A$7:$A$1000,$C37,'Oxford Economics'!$B$7:$B$1000,Settings!$B$15)+IF(Settings!$B$17="",0,SUMIFS(INDEX('Oxford Economics'!$A$7:$AZ$1000,0,IFERROR(MATCH(AE$5,'Oxford Economics'!$A$6:$AZ$6,0),MATCH(AE$5&amp;"",'Oxford Economics'!$A$6:$AZ$6,0))),'Oxford Economics'!$A$7:$A$1000,$C37,'Oxford Economics'!$B$7:$B$1000,Settings!$B$17)))),""))</f>
        <v>49141.88</v>
      </c>
      <c r="AF37" s="37" t="n">
        <f aca="false">IF($A37="","",IFERROR(1/(1/IF($B37="Residential",SUMIFS(INDEX('Oxford Economics'!$A$7:$AZ$1000,0,IFERROR(MATCH(AF$5,'Oxford Economics'!$A$6:$AZ$6,0),MATCH(AF$5&amp;"",'Oxford Economics'!$A$6:$AZ$6,0))),'Oxford Economics'!$A$7:$A$1000,$C37,'Oxford Economics'!$B$7:$B$1000,Settings!$B$11)-SUMIFS(INDEX('Oxford Economics'!$A$7:$AZ$1000,0,IFERROR(MATCH(AF$5,'Oxford Economics'!$A$6:$AZ$6,0),MATCH(AF$5&amp;"",'Oxford Economics'!$A$6:$AZ$6,0))),'Oxford Economics'!$A$7:$A$1000,$C37,'Oxford Economics'!$B$7:$B$1000,Settings!$B$13),SUMIFS(INDEX('Oxford Economics'!$A$7:$AZ$1000,0,IFERROR(MATCH(AF$5,'Oxford Economics'!$A$6:$AZ$6,0),MATCH(AF$5&amp;"",'Oxford Economics'!$A$6:$AZ$6,0))),'Oxford Economics'!$A$7:$A$1000,$C37,'Oxford Economics'!$B$7:$B$1000,Settings!$B$13)+SUMIFS(INDEX('Oxford Economics'!$A$7:$AZ$1000,0,IFERROR(MATCH(AF$5,'Oxford Economics'!$A$6:$AZ$6,0),MATCH(AF$5&amp;"",'Oxford Economics'!$A$6:$AZ$6,0))),'Oxford Economics'!$A$7:$A$1000,$C37,'Oxford Economics'!$B$7:$B$1000,Settings!$B$15)+IF(Settings!$B$17="",0,SUMIFS(INDEX('Oxford Economics'!$A$7:$AZ$1000,0,IFERROR(MATCH(AF$5,'Oxford Economics'!$A$6:$AZ$6,0),MATCH(AF$5&amp;"",'Oxford Economics'!$A$6:$AZ$6,0))),'Oxford Economics'!$A$7:$A$1000,$C37,'Oxford Economics'!$B$7:$B$1000,Settings!$B$17)))),""))</f>
        <v>50203.62</v>
      </c>
      <c r="AG37" s="37" t="n">
        <f aca="false">IF($A37="","",IFERROR(1/(1/IF($B37="Residential",SUMIFS(INDEX('Oxford Economics'!$A$7:$AZ$1000,0,IFERROR(MATCH(AG$5,'Oxford Economics'!$A$6:$AZ$6,0),MATCH(AG$5&amp;"",'Oxford Economics'!$A$6:$AZ$6,0))),'Oxford Economics'!$A$7:$A$1000,$C37,'Oxford Economics'!$B$7:$B$1000,Settings!$B$11)-SUMIFS(INDEX('Oxford Economics'!$A$7:$AZ$1000,0,IFERROR(MATCH(AG$5,'Oxford Economics'!$A$6:$AZ$6,0),MATCH(AG$5&amp;"",'Oxford Economics'!$A$6:$AZ$6,0))),'Oxford Economics'!$A$7:$A$1000,$C37,'Oxford Economics'!$B$7:$B$1000,Settings!$B$13),SUMIFS(INDEX('Oxford Economics'!$A$7:$AZ$1000,0,IFERROR(MATCH(AG$5,'Oxford Economics'!$A$6:$AZ$6,0),MATCH(AG$5&amp;"",'Oxford Economics'!$A$6:$AZ$6,0))),'Oxford Economics'!$A$7:$A$1000,$C37,'Oxford Economics'!$B$7:$B$1000,Settings!$B$13)+SUMIFS(INDEX('Oxford Economics'!$A$7:$AZ$1000,0,IFERROR(MATCH(AG$5,'Oxford Economics'!$A$6:$AZ$6,0),MATCH(AG$5&amp;"",'Oxford Economics'!$A$6:$AZ$6,0))),'Oxford Economics'!$A$7:$A$1000,$C37,'Oxford Economics'!$B$7:$B$1000,Settings!$B$15)+IF(Settings!$B$17="",0,SUMIFS(INDEX('Oxford Economics'!$A$7:$AZ$1000,0,IFERROR(MATCH(AG$5,'Oxford Economics'!$A$6:$AZ$6,0),MATCH(AG$5&amp;"",'Oxford Economics'!$A$6:$AZ$6,0))),'Oxford Economics'!$A$7:$A$1000,$C37,'Oxford Economics'!$B$7:$B$1000,Settings!$B$17)))),""))</f>
        <v>54779.62</v>
      </c>
      <c r="AH37" s="37" t="n">
        <f aca="false">IF($A37="","",IFERROR(1/(1/IF($B37="Residential",SUMIFS(INDEX('Oxford Economics'!$A$7:$AZ$1000,0,IFERROR(MATCH(AH$5,'Oxford Economics'!$A$6:$AZ$6,0),MATCH(AH$5&amp;"",'Oxford Economics'!$A$6:$AZ$6,0))),'Oxford Economics'!$A$7:$A$1000,$C37,'Oxford Economics'!$B$7:$B$1000,Settings!$B$11)-SUMIFS(INDEX('Oxford Economics'!$A$7:$AZ$1000,0,IFERROR(MATCH(AH$5,'Oxford Economics'!$A$6:$AZ$6,0),MATCH(AH$5&amp;"",'Oxford Economics'!$A$6:$AZ$6,0))),'Oxford Economics'!$A$7:$A$1000,$C37,'Oxford Economics'!$B$7:$B$1000,Settings!$B$13),SUMIFS(INDEX('Oxford Economics'!$A$7:$AZ$1000,0,IFERROR(MATCH(AH$5,'Oxford Economics'!$A$6:$AZ$6,0),MATCH(AH$5&amp;"",'Oxford Economics'!$A$6:$AZ$6,0))),'Oxford Economics'!$A$7:$A$1000,$C37,'Oxford Economics'!$B$7:$B$1000,Settings!$B$13)+SUMIFS(INDEX('Oxford Economics'!$A$7:$AZ$1000,0,IFERROR(MATCH(AH$5,'Oxford Economics'!$A$6:$AZ$6,0),MATCH(AH$5&amp;"",'Oxford Economics'!$A$6:$AZ$6,0))),'Oxford Economics'!$A$7:$A$1000,$C37,'Oxford Economics'!$B$7:$B$1000,Settings!$B$15)+IF(Settings!$B$17="",0,SUMIFS(INDEX('Oxford Economics'!$A$7:$AZ$1000,0,IFERROR(MATCH(AH$5,'Oxford Economics'!$A$6:$AZ$6,0),MATCH(AH$5&amp;"",'Oxford Economics'!$A$6:$AZ$6,0))),'Oxford Economics'!$A$7:$A$1000,$C37,'Oxford Economics'!$B$7:$B$1000,Settings!$B$17)))),""))</f>
        <v>60520.28</v>
      </c>
      <c r="AI37" s="37" t="n">
        <f aca="false">IF($A37="","",IFERROR(1/(1/IF($B37="Residential",SUMIFS(INDEX('Oxford Economics'!$A$7:$AZ$1000,0,IFERROR(MATCH(AI$5,'Oxford Economics'!$A$6:$AZ$6,0),MATCH(AI$5&amp;"",'Oxford Economics'!$A$6:$AZ$6,0))),'Oxford Economics'!$A$7:$A$1000,$C37,'Oxford Economics'!$B$7:$B$1000,Settings!$B$11)-SUMIFS(INDEX('Oxford Economics'!$A$7:$AZ$1000,0,IFERROR(MATCH(AI$5,'Oxford Economics'!$A$6:$AZ$6,0),MATCH(AI$5&amp;"",'Oxford Economics'!$A$6:$AZ$6,0))),'Oxford Economics'!$A$7:$A$1000,$C37,'Oxford Economics'!$B$7:$B$1000,Settings!$B$13),SUMIFS(INDEX('Oxford Economics'!$A$7:$AZ$1000,0,IFERROR(MATCH(AI$5,'Oxford Economics'!$A$6:$AZ$6,0),MATCH(AI$5&amp;"",'Oxford Economics'!$A$6:$AZ$6,0))),'Oxford Economics'!$A$7:$A$1000,$C37,'Oxford Economics'!$B$7:$B$1000,Settings!$B$13)+SUMIFS(INDEX('Oxford Economics'!$A$7:$AZ$1000,0,IFERROR(MATCH(AI$5,'Oxford Economics'!$A$6:$AZ$6,0),MATCH(AI$5&amp;"",'Oxford Economics'!$A$6:$AZ$6,0))),'Oxford Economics'!$A$7:$A$1000,$C37,'Oxford Economics'!$B$7:$B$1000,Settings!$B$15)+IF(Settings!$B$17="",0,SUMIFS(INDEX('Oxford Economics'!$A$7:$AZ$1000,0,IFERROR(MATCH(AI$5,'Oxford Economics'!$A$6:$AZ$6,0),MATCH(AI$5&amp;"",'Oxford Economics'!$A$6:$AZ$6,0))),'Oxford Economics'!$A$7:$A$1000,$C37,'Oxford Economics'!$B$7:$B$1000,Settings!$B$17)))),""))</f>
        <v>64508.84</v>
      </c>
      <c r="AJ37" s="37" t="n">
        <f aca="false">IF($A37="","",IFERROR(1/(1/IF($B37="Residential",SUMIFS(INDEX('Oxford Economics'!$A$7:$AZ$1000,0,IFERROR(MATCH(AJ$5,'Oxford Economics'!$A$6:$AZ$6,0),MATCH(AJ$5&amp;"",'Oxford Economics'!$A$6:$AZ$6,0))),'Oxford Economics'!$A$7:$A$1000,$C37,'Oxford Economics'!$B$7:$B$1000,Settings!$B$11)-SUMIFS(INDEX('Oxford Economics'!$A$7:$AZ$1000,0,IFERROR(MATCH(AJ$5,'Oxford Economics'!$A$6:$AZ$6,0),MATCH(AJ$5&amp;"",'Oxford Economics'!$A$6:$AZ$6,0))),'Oxford Economics'!$A$7:$A$1000,$C37,'Oxford Economics'!$B$7:$B$1000,Settings!$B$13),SUMIFS(INDEX('Oxford Economics'!$A$7:$AZ$1000,0,IFERROR(MATCH(AJ$5,'Oxford Economics'!$A$6:$AZ$6,0),MATCH(AJ$5&amp;"",'Oxford Economics'!$A$6:$AZ$6,0))),'Oxford Economics'!$A$7:$A$1000,$C37,'Oxford Economics'!$B$7:$B$1000,Settings!$B$13)+SUMIFS(INDEX('Oxford Economics'!$A$7:$AZ$1000,0,IFERROR(MATCH(AJ$5,'Oxford Economics'!$A$6:$AZ$6,0),MATCH(AJ$5&amp;"",'Oxford Economics'!$A$6:$AZ$6,0))),'Oxford Economics'!$A$7:$A$1000,$C37,'Oxford Economics'!$B$7:$B$1000,Settings!$B$15)+IF(Settings!$B$17="",0,SUMIFS(INDEX('Oxford Economics'!$A$7:$AZ$1000,0,IFERROR(MATCH(AJ$5,'Oxford Economics'!$A$6:$AZ$6,0),MATCH(AJ$5&amp;"",'Oxford Economics'!$A$6:$AZ$6,0))),'Oxford Economics'!$A$7:$A$1000,$C37,'Oxford Economics'!$B$7:$B$1000,Settings!$B$17)))),""))</f>
        <v>67229.83</v>
      </c>
      <c r="AK37" s="37" t="n">
        <f aca="false">IF($A37="","",IFERROR(1/(1/IF($B37="Residential",SUMIFS(INDEX('Oxford Economics'!$A$7:$AZ$1000,0,IFERROR(MATCH(AK$5,'Oxford Economics'!$A$6:$AZ$6,0),MATCH(AK$5&amp;"",'Oxford Economics'!$A$6:$AZ$6,0))),'Oxford Economics'!$A$7:$A$1000,$C37,'Oxford Economics'!$B$7:$B$1000,Settings!$B$11)-SUMIFS(INDEX('Oxford Economics'!$A$7:$AZ$1000,0,IFERROR(MATCH(AK$5,'Oxford Economics'!$A$6:$AZ$6,0),MATCH(AK$5&amp;"",'Oxford Economics'!$A$6:$AZ$6,0))),'Oxford Economics'!$A$7:$A$1000,$C37,'Oxford Economics'!$B$7:$B$1000,Settings!$B$13),SUMIFS(INDEX('Oxford Economics'!$A$7:$AZ$1000,0,IFERROR(MATCH(AK$5,'Oxford Economics'!$A$6:$AZ$6,0),MATCH(AK$5&amp;"",'Oxford Economics'!$A$6:$AZ$6,0))),'Oxford Economics'!$A$7:$A$1000,$C37,'Oxford Economics'!$B$7:$B$1000,Settings!$B$13)+SUMIFS(INDEX('Oxford Economics'!$A$7:$AZ$1000,0,IFERROR(MATCH(AK$5,'Oxford Economics'!$A$6:$AZ$6,0),MATCH(AK$5&amp;"",'Oxford Economics'!$A$6:$AZ$6,0))),'Oxford Economics'!$A$7:$A$1000,$C37,'Oxford Economics'!$B$7:$B$1000,Settings!$B$15)+IF(Settings!$B$17="",0,SUMIFS(INDEX('Oxford Economics'!$A$7:$AZ$1000,0,IFERROR(MATCH(AK$5,'Oxford Economics'!$A$6:$AZ$6,0),MATCH(AK$5&amp;"",'Oxford Economics'!$A$6:$AZ$6,0))),'Oxford Economics'!$A$7:$A$1000,$C37,'Oxford Economics'!$B$7:$B$1000,Settings!$B$17)))),""))</f>
        <v>69156.3</v>
      </c>
      <c r="AL37" s="37" t="n">
        <f aca="false">IF($A37="","",IFERROR(1/(1/IF($B37="Residential",SUMIFS(INDEX('Oxford Economics'!$A$7:$AZ$1000,0,IFERROR(MATCH(AL$5,'Oxford Economics'!$A$6:$AZ$6,0),MATCH(AL$5&amp;"",'Oxford Economics'!$A$6:$AZ$6,0))),'Oxford Economics'!$A$7:$A$1000,$C37,'Oxford Economics'!$B$7:$B$1000,Settings!$B$11)-SUMIFS(INDEX('Oxford Economics'!$A$7:$AZ$1000,0,IFERROR(MATCH(AL$5,'Oxford Economics'!$A$6:$AZ$6,0),MATCH(AL$5&amp;"",'Oxford Economics'!$A$6:$AZ$6,0))),'Oxford Economics'!$A$7:$A$1000,$C37,'Oxford Economics'!$B$7:$B$1000,Settings!$B$13),SUMIFS(INDEX('Oxford Economics'!$A$7:$AZ$1000,0,IFERROR(MATCH(AL$5,'Oxford Economics'!$A$6:$AZ$6,0),MATCH(AL$5&amp;"",'Oxford Economics'!$A$6:$AZ$6,0))),'Oxford Economics'!$A$7:$A$1000,$C37,'Oxford Economics'!$B$7:$B$1000,Settings!$B$13)+SUMIFS(INDEX('Oxford Economics'!$A$7:$AZ$1000,0,IFERROR(MATCH(AL$5,'Oxford Economics'!$A$6:$AZ$6,0),MATCH(AL$5&amp;"",'Oxford Economics'!$A$6:$AZ$6,0))),'Oxford Economics'!$A$7:$A$1000,$C37,'Oxford Economics'!$B$7:$B$1000,Settings!$B$15)+IF(Settings!$B$17="",0,SUMIFS(INDEX('Oxford Economics'!$A$7:$AZ$1000,0,IFERROR(MATCH(AL$5,'Oxford Economics'!$A$6:$AZ$6,0),MATCH(AL$5&amp;"",'Oxford Economics'!$A$6:$AZ$6,0))),'Oxford Economics'!$A$7:$A$1000,$C37,'Oxford Economics'!$B$7:$B$1000,Settings!$B$17)))),""))</f>
        <v>70650.78</v>
      </c>
      <c r="AM37" s="37" t="n">
        <f aca="false">IF($A37="","",IFERROR(1/(1/IF($B37="Residential",SUMIFS(INDEX('Oxford Economics'!$A$7:$AZ$1000,0,IFERROR(MATCH(AM$5,'Oxford Economics'!$A$6:$AZ$6,0),MATCH(AM$5&amp;"",'Oxford Economics'!$A$6:$AZ$6,0))),'Oxford Economics'!$A$7:$A$1000,$C37,'Oxford Economics'!$B$7:$B$1000,Settings!$B$11)-SUMIFS(INDEX('Oxford Economics'!$A$7:$AZ$1000,0,IFERROR(MATCH(AM$5,'Oxford Economics'!$A$6:$AZ$6,0),MATCH(AM$5&amp;"",'Oxford Economics'!$A$6:$AZ$6,0))),'Oxford Economics'!$A$7:$A$1000,$C37,'Oxford Economics'!$B$7:$B$1000,Settings!$B$13),SUMIFS(INDEX('Oxford Economics'!$A$7:$AZ$1000,0,IFERROR(MATCH(AM$5,'Oxford Economics'!$A$6:$AZ$6,0),MATCH(AM$5&amp;"",'Oxford Economics'!$A$6:$AZ$6,0))),'Oxford Economics'!$A$7:$A$1000,$C37,'Oxford Economics'!$B$7:$B$1000,Settings!$B$13)+SUMIFS(INDEX('Oxford Economics'!$A$7:$AZ$1000,0,IFERROR(MATCH(AM$5,'Oxford Economics'!$A$6:$AZ$6,0),MATCH(AM$5&amp;"",'Oxford Economics'!$A$6:$AZ$6,0))),'Oxford Economics'!$A$7:$A$1000,$C37,'Oxford Economics'!$B$7:$B$1000,Settings!$B$15)+IF(Settings!$B$17="",0,SUMIFS(INDEX('Oxford Economics'!$A$7:$AZ$1000,0,IFERROR(MATCH(AM$5,'Oxford Economics'!$A$6:$AZ$6,0),MATCH(AM$5&amp;"",'Oxford Economics'!$A$6:$AZ$6,0))),'Oxford Economics'!$A$7:$A$1000,$C37,'Oxford Economics'!$B$7:$B$1000,Settings!$B$17)))),""))</f>
        <v>71686.81</v>
      </c>
    </row>
    <row r="38" customFormat="false" ht="15" hidden="false" customHeight="false" outlineLevel="0" collapsed="false">
      <c r="A38" s="36" t="str">
        <f aca="false">IF('Raw data'!$A38="","",'Raw data'!$A38)</f>
        <v>Portugal</v>
      </c>
      <c r="B38" s="36" t="str">
        <f aca="false">IF($A38="","",'Raw data'!$C38)</f>
        <v>Residential</v>
      </c>
      <c r="C38" s="36" t="str">
        <f aca="false">IF($A38="","",IF('Raw data'!$D38="",$A38,'Raw data'!$D38))</f>
        <v>Portugal</v>
      </c>
      <c r="D38" s="37" t="n">
        <f aca="false">IF($A38="","",IF(AND(ISNUMBER(P38),ISNUMBER(AB38)),P38+AB38,""))</f>
        <v>3422.41</v>
      </c>
      <c r="E38" s="37" t="n">
        <f aca="false">IF($A38="","",IF(AND(ISNUMBER(Q38),ISNUMBER(AC38)),Q38+AC38,""))</f>
        <v>3536.71</v>
      </c>
      <c r="F38" s="37" t="n">
        <f aca="false">IF($A38="","",IF(AND(ISNUMBER(R38),ISNUMBER(AD38)),R38+AD38,""))</f>
        <v>3544.62</v>
      </c>
      <c r="G38" s="37" t="n">
        <f aca="false">IF($A38="","",IF(AND(ISNUMBER(S38),ISNUMBER(AE38)),S38+AE38,""))</f>
        <v>3609.4</v>
      </c>
      <c r="H38" s="37" t="n">
        <f aca="false">IF($A38="","",IF(AND(ISNUMBER(T38),ISNUMBER(AF38)),T38+AF38,""))</f>
        <v>3659.01</v>
      </c>
      <c r="I38" s="37" t="n">
        <f aca="false">IF($A38="","",IF(AND(ISNUMBER(U38),ISNUMBER(AG38)),U38+AG38,""))</f>
        <v>3971.49</v>
      </c>
      <c r="J38" s="37" t="n">
        <f aca="false">IF($A38="","",IF(AND(ISNUMBER(V38),ISNUMBER(AH38)),V38+AH38,""))</f>
        <v>4139.38</v>
      </c>
      <c r="K38" s="37" t="n">
        <f aca="false">IF($A38="","",IF(AND(ISNUMBER(W38),ISNUMBER(AI38)),W38+AI38,""))</f>
        <v>4144.61</v>
      </c>
      <c r="L38" s="37" t="n">
        <f aca="false">IF($A38="","",IF(AND(ISNUMBER(X38),ISNUMBER(AJ38)),X38+AJ38,""))</f>
        <v>4112.18</v>
      </c>
      <c r="M38" s="37" t="n">
        <f aca="false">IF($A38="","",IF(AND(ISNUMBER(Y38),ISNUMBER(AK38)),Y38+AK38,""))</f>
        <v>4107.31</v>
      </c>
      <c r="N38" s="37" t="n">
        <f aca="false">IF($A38="","",IF(AND(ISNUMBER(Z38),ISNUMBER(AL38)),Z38+AL38,""))</f>
        <v>4139.33</v>
      </c>
      <c r="O38" s="37" t="n">
        <f aca="false">IF($A38="","",IF(AND(ISNUMBER(AA38),ISNUMBER(AM38)),AA38+AM38,""))</f>
        <v>4179.74</v>
      </c>
      <c r="P38" s="37" t="n">
        <f aca="false">IF($A38="","",IFERROR(1/(1/IF($B38="Residential",SUMIFS(INDEX('Oxford Economics'!$A$7:$AZ$1000,0,IFERROR(MATCH(P$5,'Oxford Economics'!$A$6:$AZ$6,0),MATCH(P$5&amp;"",'Oxford Economics'!$A$6:$AZ$6,0))),'Oxford Economics'!$A$7:$A$1000,$C38,'Oxford Economics'!$B$7:$B$1000,Settings!$B$12)-SUMIFS(INDEX('Oxford Economics'!$A$7:$AZ$1000,0,IFERROR(MATCH(P$5,'Oxford Economics'!$A$6:$AZ$6,0),MATCH(P$5&amp;"",'Oxford Economics'!$A$6:$AZ$6,0))),'Oxford Economics'!$A$7:$A$1000,$C38,'Oxford Economics'!$B$7:$B$1000,Settings!$B$14),SUMIFS(INDEX('Oxford Economics'!$A$7:$AZ$1000,0,IFERROR(MATCH(P$5,'Oxford Economics'!$A$6:$AZ$6,0),MATCH(P$5&amp;"",'Oxford Economics'!$A$6:$AZ$6,0))),'Oxford Economics'!$A$7:$A$1000,$C38,'Oxford Economics'!$B$7:$B$1000,Settings!$B$14)+SUMIFS(INDEX('Oxford Economics'!$A$7:$AZ$1000,0,IFERROR(MATCH(P$5,'Oxford Economics'!$A$6:$AZ$6,0),MATCH(P$5&amp;"",'Oxford Economics'!$A$6:$AZ$6,0))),'Oxford Economics'!$A$7:$A$1000,$C38,'Oxford Economics'!$B$7:$B$1000,Settings!$B$16)+IF(Settings!$B$18="",0,SUMIFS(INDEX('Oxford Economics'!$A$7:$AZ$1000,0,IFERROR(MATCH(P$5,'Oxford Economics'!$A$6:$AZ$6,0),MATCH(P$5&amp;"",'Oxford Economics'!$A$6:$AZ$6,0))),'Oxford Economics'!$A$7:$A$1000,$C38,'Oxford Economics'!$B$7:$B$1000,Settings!$B$18)))),""))</f>
        <v>2183.7</v>
      </c>
      <c r="Q38" s="37" t="n">
        <f aca="false">IF($A38="","",IFERROR(1/(1/IF($B38="Residential",SUMIFS(INDEX('Oxford Economics'!$A$7:$AZ$1000,0,IFERROR(MATCH(Q$5,'Oxford Economics'!$A$6:$AZ$6,0),MATCH(Q$5&amp;"",'Oxford Economics'!$A$6:$AZ$6,0))),'Oxford Economics'!$A$7:$A$1000,$C38,'Oxford Economics'!$B$7:$B$1000,Settings!$B$12)-SUMIFS(INDEX('Oxford Economics'!$A$7:$AZ$1000,0,IFERROR(MATCH(Q$5,'Oxford Economics'!$A$6:$AZ$6,0),MATCH(Q$5&amp;"",'Oxford Economics'!$A$6:$AZ$6,0))),'Oxford Economics'!$A$7:$A$1000,$C38,'Oxford Economics'!$B$7:$B$1000,Settings!$B$14),SUMIFS(INDEX('Oxford Economics'!$A$7:$AZ$1000,0,IFERROR(MATCH(Q$5,'Oxford Economics'!$A$6:$AZ$6,0),MATCH(Q$5&amp;"",'Oxford Economics'!$A$6:$AZ$6,0))),'Oxford Economics'!$A$7:$A$1000,$C38,'Oxford Economics'!$B$7:$B$1000,Settings!$B$14)+SUMIFS(INDEX('Oxford Economics'!$A$7:$AZ$1000,0,IFERROR(MATCH(Q$5,'Oxford Economics'!$A$6:$AZ$6,0),MATCH(Q$5&amp;"",'Oxford Economics'!$A$6:$AZ$6,0))),'Oxford Economics'!$A$7:$A$1000,$C38,'Oxford Economics'!$B$7:$B$1000,Settings!$B$16)+IF(Settings!$B$18="",0,SUMIFS(INDEX('Oxford Economics'!$A$7:$AZ$1000,0,IFERROR(MATCH(Q$5,'Oxford Economics'!$A$6:$AZ$6,0),MATCH(Q$5&amp;"",'Oxford Economics'!$A$6:$AZ$6,0))),'Oxford Economics'!$A$7:$A$1000,$C38,'Oxford Economics'!$B$7:$B$1000,Settings!$B$18)))),""))</f>
        <v>2610.81</v>
      </c>
      <c r="R38" s="37" t="n">
        <f aca="false">IF($A38="","",IFERROR(1/(1/IF($B38="Residential",SUMIFS(INDEX('Oxford Economics'!$A$7:$AZ$1000,0,IFERROR(MATCH(R$5,'Oxford Economics'!$A$6:$AZ$6,0),MATCH(R$5&amp;"",'Oxford Economics'!$A$6:$AZ$6,0))),'Oxford Economics'!$A$7:$A$1000,$C38,'Oxford Economics'!$B$7:$B$1000,Settings!$B$12)-SUMIFS(INDEX('Oxford Economics'!$A$7:$AZ$1000,0,IFERROR(MATCH(R$5,'Oxford Economics'!$A$6:$AZ$6,0),MATCH(R$5&amp;"",'Oxford Economics'!$A$6:$AZ$6,0))),'Oxford Economics'!$A$7:$A$1000,$C38,'Oxford Economics'!$B$7:$B$1000,Settings!$B$14),SUMIFS(INDEX('Oxford Economics'!$A$7:$AZ$1000,0,IFERROR(MATCH(R$5,'Oxford Economics'!$A$6:$AZ$6,0),MATCH(R$5&amp;"",'Oxford Economics'!$A$6:$AZ$6,0))),'Oxford Economics'!$A$7:$A$1000,$C38,'Oxford Economics'!$B$7:$B$1000,Settings!$B$14)+SUMIFS(INDEX('Oxford Economics'!$A$7:$AZ$1000,0,IFERROR(MATCH(R$5,'Oxford Economics'!$A$6:$AZ$6,0),MATCH(R$5&amp;"",'Oxford Economics'!$A$6:$AZ$6,0))),'Oxford Economics'!$A$7:$A$1000,$C38,'Oxford Economics'!$B$7:$B$1000,Settings!$B$16)+IF(Settings!$B$18="",0,SUMIFS(INDEX('Oxford Economics'!$A$7:$AZ$1000,0,IFERROR(MATCH(R$5,'Oxford Economics'!$A$6:$AZ$6,0),MATCH(R$5&amp;"",'Oxford Economics'!$A$6:$AZ$6,0))),'Oxford Economics'!$A$7:$A$1000,$C38,'Oxford Economics'!$B$7:$B$1000,Settings!$B$18)))),""))</f>
        <v>3033.45</v>
      </c>
      <c r="S38" s="37" t="n">
        <f aca="false">IF($A38="","",IFERROR(1/(1/IF($B38="Residential",SUMIFS(INDEX('Oxford Economics'!$A$7:$AZ$1000,0,IFERROR(MATCH(S$5,'Oxford Economics'!$A$6:$AZ$6,0),MATCH(S$5&amp;"",'Oxford Economics'!$A$6:$AZ$6,0))),'Oxford Economics'!$A$7:$A$1000,$C38,'Oxford Economics'!$B$7:$B$1000,Settings!$B$12)-SUMIFS(INDEX('Oxford Economics'!$A$7:$AZ$1000,0,IFERROR(MATCH(S$5,'Oxford Economics'!$A$6:$AZ$6,0),MATCH(S$5&amp;"",'Oxford Economics'!$A$6:$AZ$6,0))),'Oxford Economics'!$A$7:$A$1000,$C38,'Oxford Economics'!$B$7:$B$1000,Settings!$B$14),SUMIFS(INDEX('Oxford Economics'!$A$7:$AZ$1000,0,IFERROR(MATCH(S$5,'Oxford Economics'!$A$6:$AZ$6,0),MATCH(S$5&amp;"",'Oxford Economics'!$A$6:$AZ$6,0))),'Oxford Economics'!$A$7:$A$1000,$C38,'Oxford Economics'!$B$7:$B$1000,Settings!$B$14)+SUMIFS(INDEX('Oxford Economics'!$A$7:$AZ$1000,0,IFERROR(MATCH(S$5,'Oxford Economics'!$A$6:$AZ$6,0),MATCH(S$5&amp;"",'Oxford Economics'!$A$6:$AZ$6,0))),'Oxford Economics'!$A$7:$A$1000,$C38,'Oxford Economics'!$B$7:$B$1000,Settings!$B$16)+IF(Settings!$B$18="",0,SUMIFS(INDEX('Oxford Economics'!$A$7:$AZ$1000,0,IFERROR(MATCH(S$5,'Oxford Economics'!$A$6:$AZ$6,0),MATCH(S$5&amp;"",'Oxford Economics'!$A$6:$AZ$6,0))),'Oxford Economics'!$A$7:$A$1000,$C38,'Oxford Economics'!$B$7:$B$1000,Settings!$B$18)))),""))</f>
        <v>3004.15</v>
      </c>
      <c r="T38" s="37" t="n">
        <f aca="false">IF($A38="","",IFERROR(1/(1/IF($B38="Residential",SUMIFS(INDEX('Oxford Economics'!$A$7:$AZ$1000,0,IFERROR(MATCH(T$5,'Oxford Economics'!$A$6:$AZ$6,0),MATCH(T$5&amp;"",'Oxford Economics'!$A$6:$AZ$6,0))),'Oxford Economics'!$A$7:$A$1000,$C38,'Oxford Economics'!$B$7:$B$1000,Settings!$B$12)-SUMIFS(INDEX('Oxford Economics'!$A$7:$AZ$1000,0,IFERROR(MATCH(T$5,'Oxford Economics'!$A$6:$AZ$6,0),MATCH(T$5&amp;"",'Oxford Economics'!$A$6:$AZ$6,0))),'Oxford Economics'!$A$7:$A$1000,$C38,'Oxford Economics'!$B$7:$B$1000,Settings!$B$14),SUMIFS(INDEX('Oxford Economics'!$A$7:$AZ$1000,0,IFERROR(MATCH(T$5,'Oxford Economics'!$A$6:$AZ$6,0),MATCH(T$5&amp;"",'Oxford Economics'!$A$6:$AZ$6,0))),'Oxford Economics'!$A$7:$A$1000,$C38,'Oxford Economics'!$B$7:$B$1000,Settings!$B$14)+SUMIFS(INDEX('Oxford Economics'!$A$7:$AZ$1000,0,IFERROR(MATCH(T$5,'Oxford Economics'!$A$6:$AZ$6,0),MATCH(T$5&amp;"",'Oxford Economics'!$A$6:$AZ$6,0))),'Oxford Economics'!$A$7:$A$1000,$C38,'Oxford Economics'!$B$7:$B$1000,Settings!$B$16)+IF(Settings!$B$18="",0,SUMIFS(INDEX('Oxford Economics'!$A$7:$AZ$1000,0,IFERROR(MATCH(T$5,'Oxford Economics'!$A$6:$AZ$6,0),MATCH(T$5&amp;"",'Oxford Economics'!$A$6:$AZ$6,0))),'Oxford Economics'!$A$7:$A$1000,$C38,'Oxford Economics'!$B$7:$B$1000,Settings!$B$18)))),""))</f>
        <v>2992.25</v>
      </c>
      <c r="U38" s="37" t="n">
        <f aca="false">IF($A38="","",IFERROR(1/(1/IF($B38="Residential",SUMIFS(INDEX('Oxford Economics'!$A$7:$AZ$1000,0,IFERROR(MATCH(U$5,'Oxford Economics'!$A$6:$AZ$6,0),MATCH(U$5&amp;"",'Oxford Economics'!$A$6:$AZ$6,0))),'Oxford Economics'!$A$7:$A$1000,$C38,'Oxford Economics'!$B$7:$B$1000,Settings!$B$12)-SUMIFS(INDEX('Oxford Economics'!$A$7:$AZ$1000,0,IFERROR(MATCH(U$5,'Oxford Economics'!$A$6:$AZ$6,0),MATCH(U$5&amp;"",'Oxford Economics'!$A$6:$AZ$6,0))),'Oxford Economics'!$A$7:$A$1000,$C38,'Oxford Economics'!$B$7:$B$1000,Settings!$B$14),SUMIFS(INDEX('Oxford Economics'!$A$7:$AZ$1000,0,IFERROR(MATCH(U$5,'Oxford Economics'!$A$6:$AZ$6,0),MATCH(U$5&amp;"",'Oxford Economics'!$A$6:$AZ$6,0))),'Oxford Economics'!$A$7:$A$1000,$C38,'Oxford Economics'!$B$7:$B$1000,Settings!$B$14)+SUMIFS(INDEX('Oxford Economics'!$A$7:$AZ$1000,0,IFERROR(MATCH(U$5,'Oxford Economics'!$A$6:$AZ$6,0),MATCH(U$5&amp;"",'Oxford Economics'!$A$6:$AZ$6,0))),'Oxford Economics'!$A$7:$A$1000,$C38,'Oxford Economics'!$B$7:$B$1000,Settings!$B$16)+IF(Settings!$B$18="",0,SUMIFS(INDEX('Oxford Economics'!$A$7:$AZ$1000,0,IFERROR(MATCH(U$5,'Oxford Economics'!$A$6:$AZ$6,0),MATCH(U$5&amp;"",'Oxford Economics'!$A$6:$AZ$6,0))),'Oxford Economics'!$A$7:$A$1000,$C38,'Oxford Economics'!$B$7:$B$1000,Settings!$B$18)))),""))</f>
        <v>3160.22</v>
      </c>
      <c r="V38" s="37" t="n">
        <f aca="false">IF($A38="","",IFERROR(1/(1/IF($B38="Residential",SUMIFS(INDEX('Oxford Economics'!$A$7:$AZ$1000,0,IFERROR(MATCH(V$5,'Oxford Economics'!$A$6:$AZ$6,0),MATCH(V$5&amp;"",'Oxford Economics'!$A$6:$AZ$6,0))),'Oxford Economics'!$A$7:$A$1000,$C38,'Oxford Economics'!$B$7:$B$1000,Settings!$B$12)-SUMIFS(INDEX('Oxford Economics'!$A$7:$AZ$1000,0,IFERROR(MATCH(V$5,'Oxford Economics'!$A$6:$AZ$6,0),MATCH(V$5&amp;"",'Oxford Economics'!$A$6:$AZ$6,0))),'Oxford Economics'!$A$7:$A$1000,$C38,'Oxford Economics'!$B$7:$B$1000,Settings!$B$14),SUMIFS(INDEX('Oxford Economics'!$A$7:$AZ$1000,0,IFERROR(MATCH(V$5,'Oxford Economics'!$A$6:$AZ$6,0),MATCH(V$5&amp;"",'Oxford Economics'!$A$6:$AZ$6,0))),'Oxford Economics'!$A$7:$A$1000,$C38,'Oxford Economics'!$B$7:$B$1000,Settings!$B$14)+SUMIFS(INDEX('Oxford Economics'!$A$7:$AZ$1000,0,IFERROR(MATCH(V$5,'Oxford Economics'!$A$6:$AZ$6,0),MATCH(V$5&amp;"",'Oxford Economics'!$A$6:$AZ$6,0))),'Oxford Economics'!$A$7:$A$1000,$C38,'Oxford Economics'!$B$7:$B$1000,Settings!$B$16)+IF(Settings!$B$18="",0,SUMIFS(INDEX('Oxford Economics'!$A$7:$AZ$1000,0,IFERROR(MATCH(V$5,'Oxford Economics'!$A$6:$AZ$6,0),MATCH(V$5&amp;"",'Oxford Economics'!$A$6:$AZ$6,0))),'Oxford Economics'!$A$7:$A$1000,$C38,'Oxford Economics'!$B$7:$B$1000,Settings!$B$18)))),""))</f>
        <v>3258.65</v>
      </c>
      <c r="W38" s="37" t="n">
        <f aca="false">IF($A38="","",IFERROR(1/(1/IF($B38="Residential",SUMIFS(INDEX('Oxford Economics'!$A$7:$AZ$1000,0,IFERROR(MATCH(W$5,'Oxford Economics'!$A$6:$AZ$6,0),MATCH(W$5&amp;"",'Oxford Economics'!$A$6:$AZ$6,0))),'Oxford Economics'!$A$7:$A$1000,$C38,'Oxford Economics'!$B$7:$B$1000,Settings!$B$12)-SUMIFS(INDEX('Oxford Economics'!$A$7:$AZ$1000,0,IFERROR(MATCH(W$5,'Oxford Economics'!$A$6:$AZ$6,0),MATCH(W$5&amp;"",'Oxford Economics'!$A$6:$AZ$6,0))),'Oxford Economics'!$A$7:$A$1000,$C38,'Oxford Economics'!$B$7:$B$1000,Settings!$B$14),SUMIFS(INDEX('Oxford Economics'!$A$7:$AZ$1000,0,IFERROR(MATCH(W$5,'Oxford Economics'!$A$6:$AZ$6,0),MATCH(W$5&amp;"",'Oxford Economics'!$A$6:$AZ$6,0))),'Oxford Economics'!$A$7:$A$1000,$C38,'Oxford Economics'!$B$7:$B$1000,Settings!$B$14)+SUMIFS(INDEX('Oxford Economics'!$A$7:$AZ$1000,0,IFERROR(MATCH(W$5,'Oxford Economics'!$A$6:$AZ$6,0),MATCH(W$5&amp;"",'Oxford Economics'!$A$6:$AZ$6,0))),'Oxford Economics'!$A$7:$A$1000,$C38,'Oxford Economics'!$B$7:$B$1000,Settings!$B$16)+IF(Settings!$B$18="",0,SUMIFS(INDEX('Oxford Economics'!$A$7:$AZ$1000,0,IFERROR(MATCH(W$5,'Oxford Economics'!$A$6:$AZ$6,0),MATCH(W$5&amp;"",'Oxford Economics'!$A$6:$AZ$6,0))),'Oxford Economics'!$A$7:$A$1000,$C38,'Oxford Economics'!$B$7:$B$1000,Settings!$B$18)))),""))</f>
        <v>3249.54</v>
      </c>
      <c r="X38" s="37" t="n">
        <f aca="false">IF($A38="","",IFERROR(1/(1/IF($B38="Residential",SUMIFS(INDEX('Oxford Economics'!$A$7:$AZ$1000,0,IFERROR(MATCH(X$5,'Oxford Economics'!$A$6:$AZ$6,0),MATCH(X$5&amp;"",'Oxford Economics'!$A$6:$AZ$6,0))),'Oxford Economics'!$A$7:$A$1000,$C38,'Oxford Economics'!$B$7:$B$1000,Settings!$B$12)-SUMIFS(INDEX('Oxford Economics'!$A$7:$AZ$1000,0,IFERROR(MATCH(X$5,'Oxford Economics'!$A$6:$AZ$6,0),MATCH(X$5&amp;"",'Oxford Economics'!$A$6:$AZ$6,0))),'Oxford Economics'!$A$7:$A$1000,$C38,'Oxford Economics'!$B$7:$B$1000,Settings!$B$14),SUMIFS(INDEX('Oxford Economics'!$A$7:$AZ$1000,0,IFERROR(MATCH(X$5,'Oxford Economics'!$A$6:$AZ$6,0),MATCH(X$5&amp;"",'Oxford Economics'!$A$6:$AZ$6,0))),'Oxford Economics'!$A$7:$A$1000,$C38,'Oxford Economics'!$B$7:$B$1000,Settings!$B$14)+SUMIFS(INDEX('Oxford Economics'!$A$7:$AZ$1000,0,IFERROR(MATCH(X$5,'Oxford Economics'!$A$6:$AZ$6,0),MATCH(X$5&amp;"",'Oxford Economics'!$A$6:$AZ$6,0))),'Oxford Economics'!$A$7:$A$1000,$C38,'Oxford Economics'!$B$7:$B$1000,Settings!$B$16)+IF(Settings!$B$18="",0,SUMIFS(INDEX('Oxford Economics'!$A$7:$AZ$1000,0,IFERROR(MATCH(X$5,'Oxford Economics'!$A$6:$AZ$6,0),MATCH(X$5&amp;"",'Oxford Economics'!$A$6:$AZ$6,0))),'Oxford Economics'!$A$7:$A$1000,$C38,'Oxford Economics'!$B$7:$B$1000,Settings!$B$18)))),""))</f>
        <v>3218.37</v>
      </c>
      <c r="Y38" s="37" t="n">
        <f aca="false">IF($A38="","",IFERROR(1/(1/IF($B38="Residential",SUMIFS(INDEX('Oxford Economics'!$A$7:$AZ$1000,0,IFERROR(MATCH(Y$5,'Oxford Economics'!$A$6:$AZ$6,0),MATCH(Y$5&amp;"",'Oxford Economics'!$A$6:$AZ$6,0))),'Oxford Economics'!$A$7:$A$1000,$C38,'Oxford Economics'!$B$7:$B$1000,Settings!$B$12)-SUMIFS(INDEX('Oxford Economics'!$A$7:$AZ$1000,0,IFERROR(MATCH(Y$5,'Oxford Economics'!$A$6:$AZ$6,0),MATCH(Y$5&amp;"",'Oxford Economics'!$A$6:$AZ$6,0))),'Oxford Economics'!$A$7:$A$1000,$C38,'Oxford Economics'!$B$7:$B$1000,Settings!$B$14),SUMIFS(INDEX('Oxford Economics'!$A$7:$AZ$1000,0,IFERROR(MATCH(Y$5,'Oxford Economics'!$A$6:$AZ$6,0),MATCH(Y$5&amp;"",'Oxford Economics'!$A$6:$AZ$6,0))),'Oxford Economics'!$A$7:$A$1000,$C38,'Oxford Economics'!$B$7:$B$1000,Settings!$B$14)+SUMIFS(INDEX('Oxford Economics'!$A$7:$AZ$1000,0,IFERROR(MATCH(Y$5,'Oxford Economics'!$A$6:$AZ$6,0),MATCH(Y$5&amp;"",'Oxford Economics'!$A$6:$AZ$6,0))),'Oxford Economics'!$A$7:$A$1000,$C38,'Oxford Economics'!$B$7:$B$1000,Settings!$B$16)+IF(Settings!$B$18="",0,SUMIFS(INDEX('Oxford Economics'!$A$7:$AZ$1000,0,IFERROR(MATCH(Y$5,'Oxford Economics'!$A$6:$AZ$6,0),MATCH(Y$5&amp;"",'Oxford Economics'!$A$6:$AZ$6,0))),'Oxford Economics'!$A$7:$A$1000,$C38,'Oxford Economics'!$B$7:$B$1000,Settings!$B$18)))),""))</f>
        <v>3201.23</v>
      </c>
      <c r="Z38" s="37" t="n">
        <f aca="false">IF($A38="","",IFERROR(1/(1/IF($B38="Residential",SUMIFS(INDEX('Oxford Economics'!$A$7:$AZ$1000,0,IFERROR(MATCH(Z$5,'Oxford Economics'!$A$6:$AZ$6,0),MATCH(Z$5&amp;"",'Oxford Economics'!$A$6:$AZ$6,0))),'Oxford Economics'!$A$7:$A$1000,$C38,'Oxford Economics'!$B$7:$B$1000,Settings!$B$12)-SUMIFS(INDEX('Oxford Economics'!$A$7:$AZ$1000,0,IFERROR(MATCH(Z$5,'Oxford Economics'!$A$6:$AZ$6,0),MATCH(Z$5&amp;"",'Oxford Economics'!$A$6:$AZ$6,0))),'Oxford Economics'!$A$7:$A$1000,$C38,'Oxford Economics'!$B$7:$B$1000,Settings!$B$14),SUMIFS(INDEX('Oxford Economics'!$A$7:$AZ$1000,0,IFERROR(MATCH(Z$5,'Oxford Economics'!$A$6:$AZ$6,0),MATCH(Z$5&amp;"",'Oxford Economics'!$A$6:$AZ$6,0))),'Oxford Economics'!$A$7:$A$1000,$C38,'Oxford Economics'!$B$7:$B$1000,Settings!$B$14)+SUMIFS(INDEX('Oxford Economics'!$A$7:$AZ$1000,0,IFERROR(MATCH(Z$5,'Oxford Economics'!$A$6:$AZ$6,0),MATCH(Z$5&amp;"",'Oxford Economics'!$A$6:$AZ$6,0))),'Oxford Economics'!$A$7:$A$1000,$C38,'Oxford Economics'!$B$7:$B$1000,Settings!$B$16)+IF(Settings!$B$18="",0,SUMIFS(INDEX('Oxford Economics'!$A$7:$AZ$1000,0,IFERROR(MATCH(Z$5,'Oxford Economics'!$A$6:$AZ$6,0),MATCH(Z$5&amp;"",'Oxford Economics'!$A$6:$AZ$6,0))),'Oxford Economics'!$A$7:$A$1000,$C38,'Oxford Economics'!$B$7:$B$1000,Settings!$B$18)))),""))</f>
        <v>3206.35</v>
      </c>
      <c r="AA38" s="37" t="n">
        <f aca="false">IF($A38="","",IFERROR(1/(1/IF($B38="Residential",SUMIFS(INDEX('Oxford Economics'!$A$7:$AZ$1000,0,IFERROR(MATCH(AA$5,'Oxford Economics'!$A$6:$AZ$6,0),MATCH(AA$5&amp;"",'Oxford Economics'!$A$6:$AZ$6,0))),'Oxford Economics'!$A$7:$A$1000,$C38,'Oxford Economics'!$B$7:$B$1000,Settings!$B$12)-SUMIFS(INDEX('Oxford Economics'!$A$7:$AZ$1000,0,IFERROR(MATCH(AA$5,'Oxford Economics'!$A$6:$AZ$6,0),MATCH(AA$5&amp;"",'Oxford Economics'!$A$6:$AZ$6,0))),'Oxford Economics'!$A$7:$A$1000,$C38,'Oxford Economics'!$B$7:$B$1000,Settings!$B$14),SUMIFS(INDEX('Oxford Economics'!$A$7:$AZ$1000,0,IFERROR(MATCH(AA$5,'Oxford Economics'!$A$6:$AZ$6,0),MATCH(AA$5&amp;"",'Oxford Economics'!$A$6:$AZ$6,0))),'Oxford Economics'!$A$7:$A$1000,$C38,'Oxford Economics'!$B$7:$B$1000,Settings!$B$14)+SUMIFS(INDEX('Oxford Economics'!$A$7:$AZ$1000,0,IFERROR(MATCH(AA$5,'Oxford Economics'!$A$6:$AZ$6,0),MATCH(AA$5&amp;"",'Oxford Economics'!$A$6:$AZ$6,0))),'Oxford Economics'!$A$7:$A$1000,$C38,'Oxford Economics'!$B$7:$B$1000,Settings!$B$16)+IF(Settings!$B$18="",0,SUMIFS(INDEX('Oxford Economics'!$A$7:$AZ$1000,0,IFERROR(MATCH(AA$5,'Oxford Economics'!$A$6:$AZ$6,0),MATCH(AA$5&amp;"",'Oxford Economics'!$A$6:$AZ$6,0))),'Oxford Economics'!$A$7:$A$1000,$C38,'Oxford Economics'!$B$7:$B$1000,Settings!$B$18)))),""))</f>
        <v>3220.96</v>
      </c>
      <c r="AB38" s="37" t="n">
        <f aca="false">IF($A38="","",IFERROR(1/(1/IF($B38="Residential",SUMIFS(INDEX('Oxford Economics'!$A$7:$AZ$1000,0,IFERROR(MATCH(AB$5,'Oxford Economics'!$A$6:$AZ$6,0),MATCH(AB$5&amp;"",'Oxford Economics'!$A$6:$AZ$6,0))),'Oxford Economics'!$A$7:$A$1000,$C38,'Oxford Economics'!$B$7:$B$1000,Settings!$B$11)-SUMIFS(INDEX('Oxford Economics'!$A$7:$AZ$1000,0,IFERROR(MATCH(AB$5,'Oxford Economics'!$A$6:$AZ$6,0),MATCH(AB$5&amp;"",'Oxford Economics'!$A$6:$AZ$6,0))),'Oxford Economics'!$A$7:$A$1000,$C38,'Oxford Economics'!$B$7:$B$1000,Settings!$B$13),SUMIFS(INDEX('Oxford Economics'!$A$7:$AZ$1000,0,IFERROR(MATCH(AB$5,'Oxford Economics'!$A$6:$AZ$6,0),MATCH(AB$5&amp;"",'Oxford Economics'!$A$6:$AZ$6,0))),'Oxford Economics'!$A$7:$A$1000,$C38,'Oxford Economics'!$B$7:$B$1000,Settings!$B$13)+SUMIFS(INDEX('Oxford Economics'!$A$7:$AZ$1000,0,IFERROR(MATCH(AB$5,'Oxford Economics'!$A$6:$AZ$6,0),MATCH(AB$5&amp;"",'Oxford Economics'!$A$6:$AZ$6,0))),'Oxford Economics'!$A$7:$A$1000,$C38,'Oxford Economics'!$B$7:$B$1000,Settings!$B$15)+IF(Settings!$B$17="",0,SUMIFS(INDEX('Oxford Economics'!$A$7:$AZ$1000,0,IFERROR(MATCH(AB$5,'Oxford Economics'!$A$6:$AZ$6,0),MATCH(AB$5&amp;"",'Oxford Economics'!$A$6:$AZ$6,0))),'Oxford Economics'!$A$7:$A$1000,$C38,'Oxford Economics'!$B$7:$B$1000,Settings!$B$17)))),""))</f>
        <v>1238.71</v>
      </c>
      <c r="AC38" s="37" t="n">
        <f aca="false">IF($A38="","",IFERROR(1/(1/IF($B38="Residential",SUMIFS(INDEX('Oxford Economics'!$A$7:$AZ$1000,0,IFERROR(MATCH(AC$5,'Oxford Economics'!$A$6:$AZ$6,0),MATCH(AC$5&amp;"",'Oxford Economics'!$A$6:$AZ$6,0))),'Oxford Economics'!$A$7:$A$1000,$C38,'Oxford Economics'!$B$7:$B$1000,Settings!$B$11)-SUMIFS(INDEX('Oxford Economics'!$A$7:$AZ$1000,0,IFERROR(MATCH(AC$5,'Oxford Economics'!$A$6:$AZ$6,0),MATCH(AC$5&amp;"",'Oxford Economics'!$A$6:$AZ$6,0))),'Oxford Economics'!$A$7:$A$1000,$C38,'Oxford Economics'!$B$7:$B$1000,Settings!$B$13),SUMIFS(INDEX('Oxford Economics'!$A$7:$AZ$1000,0,IFERROR(MATCH(AC$5,'Oxford Economics'!$A$6:$AZ$6,0),MATCH(AC$5&amp;"",'Oxford Economics'!$A$6:$AZ$6,0))),'Oxford Economics'!$A$7:$A$1000,$C38,'Oxford Economics'!$B$7:$B$1000,Settings!$B$13)+SUMIFS(INDEX('Oxford Economics'!$A$7:$AZ$1000,0,IFERROR(MATCH(AC$5,'Oxford Economics'!$A$6:$AZ$6,0),MATCH(AC$5&amp;"",'Oxford Economics'!$A$6:$AZ$6,0))),'Oxford Economics'!$A$7:$A$1000,$C38,'Oxford Economics'!$B$7:$B$1000,Settings!$B$15)+IF(Settings!$B$17="",0,SUMIFS(INDEX('Oxford Economics'!$A$7:$AZ$1000,0,IFERROR(MATCH(AC$5,'Oxford Economics'!$A$6:$AZ$6,0),MATCH(AC$5&amp;"",'Oxford Economics'!$A$6:$AZ$6,0))),'Oxford Economics'!$A$7:$A$1000,$C38,'Oxford Economics'!$B$7:$B$1000,Settings!$B$17)))),""))</f>
        <v>925.9</v>
      </c>
      <c r="AD38" s="37" t="n">
        <f aca="false">IF($A38="","",IFERROR(1/(1/IF($B38="Residential",SUMIFS(INDEX('Oxford Economics'!$A$7:$AZ$1000,0,IFERROR(MATCH(AD$5,'Oxford Economics'!$A$6:$AZ$6,0),MATCH(AD$5&amp;"",'Oxford Economics'!$A$6:$AZ$6,0))),'Oxford Economics'!$A$7:$A$1000,$C38,'Oxford Economics'!$B$7:$B$1000,Settings!$B$11)-SUMIFS(INDEX('Oxford Economics'!$A$7:$AZ$1000,0,IFERROR(MATCH(AD$5,'Oxford Economics'!$A$6:$AZ$6,0),MATCH(AD$5&amp;"",'Oxford Economics'!$A$6:$AZ$6,0))),'Oxford Economics'!$A$7:$A$1000,$C38,'Oxford Economics'!$B$7:$B$1000,Settings!$B$13),SUMIFS(INDEX('Oxford Economics'!$A$7:$AZ$1000,0,IFERROR(MATCH(AD$5,'Oxford Economics'!$A$6:$AZ$6,0),MATCH(AD$5&amp;"",'Oxford Economics'!$A$6:$AZ$6,0))),'Oxford Economics'!$A$7:$A$1000,$C38,'Oxford Economics'!$B$7:$B$1000,Settings!$B$13)+SUMIFS(INDEX('Oxford Economics'!$A$7:$AZ$1000,0,IFERROR(MATCH(AD$5,'Oxford Economics'!$A$6:$AZ$6,0),MATCH(AD$5&amp;"",'Oxford Economics'!$A$6:$AZ$6,0))),'Oxford Economics'!$A$7:$A$1000,$C38,'Oxford Economics'!$B$7:$B$1000,Settings!$B$15)+IF(Settings!$B$17="",0,SUMIFS(INDEX('Oxford Economics'!$A$7:$AZ$1000,0,IFERROR(MATCH(AD$5,'Oxford Economics'!$A$6:$AZ$6,0),MATCH(AD$5&amp;"",'Oxford Economics'!$A$6:$AZ$6,0))),'Oxford Economics'!$A$7:$A$1000,$C38,'Oxford Economics'!$B$7:$B$1000,Settings!$B$17)))),""))</f>
        <v>511.17</v>
      </c>
      <c r="AE38" s="37" t="n">
        <f aca="false">IF($A38="","",IFERROR(1/(1/IF($B38="Residential",SUMIFS(INDEX('Oxford Economics'!$A$7:$AZ$1000,0,IFERROR(MATCH(AE$5,'Oxford Economics'!$A$6:$AZ$6,0),MATCH(AE$5&amp;"",'Oxford Economics'!$A$6:$AZ$6,0))),'Oxford Economics'!$A$7:$A$1000,$C38,'Oxford Economics'!$B$7:$B$1000,Settings!$B$11)-SUMIFS(INDEX('Oxford Economics'!$A$7:$AZ$1000,0,IFERROR(MATCH(AE$5,'Oxford Economics'!$A$6:$AZ$6,0),MATCH(AE$5&amp;"",'Oxford Economics'!$A$6:$AZ$6,0))),'Oxford Economics'!$A$7:$A$1000,$C38,'Oxford Economics'!$B$7:$B$1000,Settings!$B$13),SUMIFS(INDEX('Oxford Economics'!$A$7:$AZ$1000,0,IFERROR(MATCH(AE$5,'Oxford Economics'!$A$6:$AZ$6,0),MATCH(AE$5&amp;"",'Oxford Economics'!$A$6:$AZ$6,0))),'Oxford Economics'!$A$7:$A$1000,$C38,'Oxford Economics'!$B$7:$B$1000,Settings!$B$13)+SUMIFS(INDEX('Oxford Economics'!$A$7:$AZ$1000,0,IFERROR(MATCH(AE$5,'Oxford Economics'!$A$6:$AZ$6,0),MATCH(AE$5&amp;"",'Oxford Economics'!$A$6:$AZ$6,0))),'Oxford Economics'!$A$7:$A$1000,$C38,'Oxford Economics'!$B$7:$B$1000,Settings!$B$15)+IF(Settings!$B$17="",0,SUMIFS(INDEX('Oxford Economics'!$A$7:$AZ$1000,0,IFERROR(MATCH(AE$5,'Oxford Economics'!$A$6:$AZ$6,0),MATCH(AE$5&amp;"",'Oxford Economics'!$A$6:$AZ$6,0))),'Oxford Economics'!$A$7:$A$1000,$C38,'Oxford Economics'!$B$7:$B$1000,Settings!$B$17)))),""))</f>
        <v>605.25</v>
      </c>
      <c r="AF38" s="37" t="n">
        <f aca="false">IF($A38="","",IFERROR(1/(1/IF($B38="Residential",SUMIFS(INDEX('Oxford Economics'!$A$7:$AZ$1000,0,IFERROR(MATCH(AF$5,'Oxford Economics'!$A$6:$AZ$6,0),MATCH(AF$5&amp;"",'Oxford Economics'!$A$6:$AZ$6,0))),'Oxford Economics'!$A$7:$A$1000,$C38,'Oxford Economics'!$B$7:$B$1000,Settings!$B$11)-SUMIFS(INDEX('Oxford Economics'!$A$7:$AZ$1000,0,IFERROR(MATCH(AF$5,'Oxford Economics'!$A$6:$AZ$6,0),MATCH(AF$5&amp;"",'Oxford Economics'!$A$6:$AZ$6,0))),'Oxford Economics'!$A$7:$A$1000,$C38,'Oxford Economics'!$B$7:$B$1000,Settings!$B$13),SUMIFS(INDEX('Oxford Economics'!$A$7:$AZ$1000,0,IFERROR(MATCH(AF$5,'Oxford Economics'!$A$6:$AZ$6,0),MATCH(AF$5&amp;"",'Oxford Economics'!$A$6:$AZ$6,0))),'Oxford Economics'!$A$7:$A$1000,$C38,'Oxford Economics'!$B$7:$B$1000,Settings!$B$13)+SUMIFS(INDEX('Oxford Economics'!$A$7:$AZ$1000,0,IFERROR(MATCH(AF$5,'Oxford Economics'!$A$6:$AZ$6,0),MATCH(AF$5&amp;"",'Oxford Economics'!$A$6:$AZ$6,0))),'Oxford Economics'!$A$7:$A$1000,$C38,'Oxford Economics'!$B$7:$B$1000,Settings!$B$15)+IF(Settings!$B$17="",0,SUMIFS(INDEX('Oxford Economics'!$A$7:$AZ$1000,0,IFERROR(MATCH(AF$5,'Oxford Economics'!$A$6:$AZ$6,0),MATCH(AF$5&amp;"",'Oxford Economics'!$A$6:$AZ$6,0))),'Oxford Economics'!$A$7:$A$1000,$C38,'Oxford Economics'!$B$7:$B$1000,Settings!$B$17)))),""))</f>
        <v>666.76</v>
      </c>
      <c r="AG38" s="37" t="n">
        <f aca="false">IF($A38="","",IFERROR(1/(1/IF($B38="Residential",SUMIFS(INDEX('Oxford Economics'!$A$7:$AZ$1000,0,IFERROR(MATCH(AG$5,'Oxford Economics'!$A$6:$AZ$6,0),MATCH(AG$5&amp;"",'Oxford Economics'!$A$6:$AZ$6,0))),'Oxford Economics'!$A$7:$A$1000,$C38,'Oxford Economics'!$B$7:$B$1000,Settings!$B$11)-SUMIFS(INDEX('Oxford Economics'!$A$7:$AZ$1000,0,IFERROR(MATCH(AG$5,'Oxford Economics'!$A$6:$AZ$6,0),MATCH(AG$5&amp;"",'Oxford Economics'!$A$6:$AZ$6,0))),'Oxford Economics'!$A$7:$A$1000,$C38,'Oxford Economics'!$B$7:$B$1000,Settings!$B$13),SUMIFS(INDEX('Oxford Economics'!$A$7:$AZ$1000,0,IFERROR(MATCH(AG$5,'Oxford Economics'!$A$6:$AZ$6,0),MATCH(AG$5&amp;"",'Oxford Economics'!$A$6:$AZ$6,0))),'Oxford Economics'!$A$7:$A$1000,$C38,'Oxford Economics'!$B$7:$B$1000,Settings!$B$13)+SUMIFS(INDEX('Oxford Economics'!$A$7:$AZ$1000,0,IFERROR(MATCH(AG$5,'Oxford Economics'!$A$6:$AZ$6,0),MATCH(AG$5&amp;"",'Oxford Economics'!$A$6:$AZ$6,0))),'Oxford Economics'!$A$7:$A$1000,$C38,'Oxford Economics'!$B$7:$B$1000,Settings!$B$15)+IF(Settings!$B$17="",0,SUMIFS(INDEX('Oxford Economics'!$A$7:$AZ$1000,0,IFERROR(MATCH(AG$5,'Oxford Economics'!$A$6:$AZ$6,0),MATCH(AG$5&amp;"",'Oxford Economics'!$A$6:$AZ$6,0))),'Oxford Economics'!$A$7:$A$1000,$C38,'Oxford Economics'!$B$7:$B$1000,Settings!$B$17)))),""))</f>
        <v>811.27</v>
      </c>
      <c r="AH38" s="37" t="n">
        <f aca="false">IF($A38="","",IFERROR(1/(1/IF($B38="Residential",SUMIFS(INDEX('Oxford Economics'!$A$7:$AZ$1000,0,IFERROR(MATCH(AH$5,'Oxford Economics'!$A$6:$AZ$6,0),MATCH(AH$5&amp;"",'Oxford Economics'!$A$6:$AZ$6,0))),'Oxford Economics'!$A$7:$A$1000,$C38,'Oxford Economics'!$B$7:$B$1000,Settings!$B$11)-SUMIFS(INDEX('Oxford Economics'!$A$7:$AZ$1000,0,IFERROR(MATCH(AH$5,'Oxford Economics'!$A$6:$AZ$6,0),MATCH(AH$5&amp;"",'Oxford Economics'!$A$6:$AZ$6,0))),'Oxford Economics'!$A$7:$A$1000,$C38,'Oxford Economics'!$B$7:$B$1000,Settings!$B$13),SUMIFS(INDEX('Oxford Economics'!$A$7:$AZ$1000,0,IFERROR(MATCH(AH$5,'Oxford Economics'!$A$6:$AZ$6,0),MATCH(AH$5&amp;"",'Oxford Economics'!$A$6:$AZ$6,0))),'Oxford Economics'!$A$7:$A$1000,$C38,'Oxford Economics'!$B$7:$B$1000,Settings!$B$13)+SUMIFS(INDEX('Oxford Economics'!$A$7:$AZ$1000,0,IFERROR(MATCH(AH$5,'Oxford Economics'!$A$6:$AZ$6,0),MATCH(AH$5&amp;"",'Oxford Economics'!$A$6:$AZ$6,0))),'Oxford Economics'!$A$7:$A$1000,$C38,'Oxford Economics'!$B$7:$B$1000,Settings!$B$15)+IF(Settings!$B$17="",0,SUMIFS(INDEX('Oxford Economics'!$A$7:$AZ$1000,0,IFERROR(MATCH(AH$5,'Oxford Economics'!$A$6:$AZ$6,0),MATCH(AH$5&amp;"",'Oxford Economics'!$A$6:$AZ$6,0))),'Oxford Economics'!$A$7:$A$1000,$C38,'Oxford Economics'!$B$7:$B$1000,Settings!$B$17)))),""))</f>
        <v>880.73</v>
      </c>
      <c r="AI38" s="37" t="n">
        <f aca="false">IF($A38="","",IFERROR(1/(1/IF($B38="Residential",SUMIFS(INDEX('Oxford Economics'!$A$7:$AZ$1000,0,IFERROR(MATCH(AI$5,'Oxford Economics'!$A$6:$AZ$6,0),MATCH(AI$5&amp;"",'Oxford Economics'!$A$6:$AZ$6,0))),'Oxford Economics'!$A$7:$A$1000,$C38,'Oxford Economics'!$B$7:$B$1000,Settings!$B$11)-SUMIFS(INDEX('Oxford Economics'!$A$7:$AZ$1000,0,IFERROR(MATCH(AI$5,'Oxford Economics'!$A$6:$AZ$6,0),MATCH(AI$5&amp;"",'Oxford Economics'!$A$6:$AZ$6,0))),'Oxford Economics'!$A$7:$A$1000,$C38,'Oxford Economics'!$B$7:$B$1000,Settings!$B$13),SUMIFS(INDEX('Oxford Economics'!$A$7:$AZ$1000,0,IFERROR(MATCH(AI$5,'Oxford Economics'!$A$6:$AZ$6,0),MATCH(AI$5&amp;"",'Oxford Economics'!$A$6:$AZ$6,0))),'Oxford Economics'!$A$7:$A$1000,$C38,'Oxford Economics'!$B$7:$B$1000,Settings!$B$13)+SUMIFS(INDEX('Oxford Economics'!$A$7:$AZ$1000,0,IFERROR(MATCH(AI$5,'Oxford Economics'!$A$6:$AZ$6,0),MATCH(AI$5&amp;"",'Oxford Economics'!$A$6:$AZ$6,0))),'Oxford Economics'!$A$7:$A$1000,$C38,'Oxford Economics'!$B$7:$B$1000,Settings!$B$15)+IF(Settings!$B$17="",0,SUMIFS(INDEX('Oxford Economics'!$A$7:$AZ$1000,0,IFERROR(MATCH(AI$5,'Oxford Economics'!$A$6:$AZ$6,0),MATCH(AI$5&amp;"",'Oxford Economics'!$A$6:$AZ$6,0))),'Oxford Economics'!$A$7:$A$1000,$C38,'Oxford Economics'!$B$7:$B$1000,Settings!$B$17)))),""))</f>
        <v>895.07</v>
      </c>
      <c r="AJ38" s="37" t="n">
        <f aca="false">IF($A38="","",IFERROR(1/(1/IF($B38="Residential",SUMIFS(INDEX('Oxford Economics'!$A$7:$AZ$1000,0,IFERROR(MATCH(AJ$5,'Oxford Economics'!$A$6:$AZ$6,0),MATCH(AJ$5&amp;"",'Oxford Economics'!$A$6:$AZ$6,0))),'Oxford Economics'!$A$7:$A$1000,$C38,'Oxford Economics'!$B$7:$B$1000,Settings!$B$11)-SUMIFS(INDEX('Oxford Economics'!$A$7:$AZ$1000,0,IFERROR(MATCH(AJ$5,'Oxford Economics'!$A$6:$AZ$6,0),MATCH(AJ$5&amp;"",'Oxford Economics'!$A$6:$AZ$6,0))),'Oxford Economics'!$A$7:$A$1000,$C38,'Oxford Economics'!$B$7:$B$1000,Settings!$B$13),SUMIFS(INDEX('Oxford Economics'!$A$7:$AZ$1000,0,IFERROR(MATCH(AJ$5,'Oxford Economics'!$A$6:$AZ$6,0),MATCH(AJ$5&amp;"",'Oxford Economics'!$A$6:$AZ$6,0))),'Oxford Economics'!$A$7:$A$1000,$C38,'Oxford Economics'!$B$7:$B$1000,Settings!$B$13)+SUMIFS(INDEX('Oxford Economics'!$A$7:$AZ$1000,0,IFERROR(MATCH(AJ$5,'Oxford Economics'!$A$6:$AZ$6,0),MATCH(AJ$5&amp;"",'Oxford Economics'!$A$6:$AZ$6,0))),'Oxford Economics'!$A$7:$A$1000,$C38,'Oxford Economics'!$B$7:$B$1000,Settings!$B$15)+IF(Settings!$B$17="",0,SUMIFS(INDEX('Oxford Economics'!$A$7:$AZ$1000,0,IFERROR(MATCH(AJ$5,'Oxford Economics'!$A$6:$AZ$6,0),MATCH(AJ$5&amp;"",'Oxford Economics'!$A$6:$AZ$6,0))),'Oxford Economics'!$A$7:$A$1000,$C38,'Oxford Economics'!$B$7:$B$1000,Settings!$B$17)))),""))</f>
        <v>893.81</v>
      </c>
      <c r="AK38" s="37" t="n">
        <f aca="false">IF($A38="","",IFERROR(1/(1/IF($B38="Residential",SUMIFS(INDEX('Oxford Economics'!$A$7:$AZ$1000,0,IFERROR(MATCH(AK$5,'Oxford Economics'!$A$6:$AZ$6,0),MATCH(AK$5&amp;"",'Oxford Economics'!$A$6:$AZ$6,0))),'Oxford Economics'!$A$7:$A$1000,$C38,'Oxford Economics'!$B$7:$B$1000,Settings!$B$11)-SUMIFS(INDEX('Oxford Economics'!$A$7:$AZ$1000,0,IFERROR(MATCH(AK$5,'Oxford Economics'!$A$6:$AZ$6,0),MATCH(AK$5&amp;"",'Oxford Economics'!$A$6:$AZ$6,0))),'Oxford Economics'!$A$7:$A$1000,$C38,'Oxford Economics'!$B$7:$B$1000,Settings!$B$13),SUMIFS(INDEX('Oxford Economics'!$A$7:$AZ$1000,0,IFERROR(MATCH(AK$5,'Oxford Economics'!$A$6:$AZ$6,0),MATCH(AK$5&amp;"",'Oxford Economics'!$A$6:$AZ$6,0))),'Oxford Economics'!$A$7:$A$1000,$C38,'Oxford Economics'!$B$7:$B$1000,Settings!$B$13)+SUMIFS(INDEX('Oxford Economics'!$A$7:$AZ$1000,0,IFERROR(MATCH(AK$5,'Oxford Economics'!$A$6:$AZ$6,0),MATCH(AK$5&amp;"",'Oxford Economics'!$A$6:$AZ$6,0))),'Oxford Economics'!$A$7:$A$1000,$C38,'Oxford Economics'!$B$7:$B$1000,Settings!$B$15)+IF(Settings!$B$17="",0,SUMIFS(INDEX('Oxford Economics'!$A$7:$AZ$1000,0,IFERROR(MATCH(AK$5,'Oxford Economics'!$A$6:$AZ$6,0),MATCH(AK$5&amp;"",'Oxford Economics'!$A$6:$AZ$6,0))),'Oxford Economics'!$A$7:$A$1000,$C38,'Oxford Economics'!$B$7:$B$1000,Settings!$B$17)))),""))</f>
        <v>906.08</v>
      </c>
      <c r="AL38" s="37" t="n">
        <f aca="false">IF($A38="","",IFERROR(1/(1/IF($B38="Residential",SUMIFS(INDEX('Oxford Economics'!$A$7:$AZ$1000,0,IFERROR(MATCH(AL$5,'Oxford Economics'!$A$6:$AZ$6,0),MATCH(AL$5&amp;"",'Oxford Economics'!$A$6:$AZ$6,0))),'Oxford Economics'!$A$7:$A$1000,$C38,'Oxford Economics'!$B$7:$B$1000,Settings!$B$11)-SUMIFS(INDEX('Oxford Economics'!$A$7:$AZ$1000,0,IFERROR(MATCH(AL$5,'Oxford Economics'!$A$6:$AZ$6,0),MATCH(AL$5&amp;"",'Oxford Economics'!$A$6:$AZ$6,0))),'Oxford Economics'!$A$7:$A$1000,$C38,'Oxford Economics'!$B$7:$B$1000,Settings!$B$13),SUMIFS(INDEX('Oxford Economics'!$A$7:$AZ$1000,0,IFERROR(MATCH(AL$5,'Oxford Economics'!$A$6:$AZ$6,0),MATCH(AL$5&amp;"",'Oxford Economics'!$A$6:$AZ$6,0))),'Oxford Economics'!$A$7:$A$1000,$C38,'Oxford Economics'!$B$7:$B$1000,Settings!$B$13)+SUMIFS(INDEX('Oxford Economics'!$A$7:$AZ$1000,0,IFERROR(MATCH(AL$5,'Oxford Economics'!$A$6:$AZ$6,0),MATCH(AL$5&amp;"",'Oxford Economics'!$A$6:$AZ$6,0))),'Oxford Economics'!$A$7:$A$1000,$C38,'Oxford Economics'!$B$7:$B$1000,Settings!$B$15)+IF(Settings!$B$17="",0,SUMIFS(INDEX('Oxford Economics'!$A$7:$AZ$1000,0,IFERROR(MATCH(AL$5,'Oxford Economics'!$A$6:$AZ$6,0),MATCH(AL$5&amp;"",'Oxford Economics'!$A$6:$AZ$6,0))),'Oxford Economics'!$A$7:$A$1000,$C38,'Oxford Economics'!$B$7:$B$1000,Settings!$B$17)))),""))</f>
        <v>932.98</v>
      </c>
      <c r="AM38" s="37" t="n">
        <f aca="false">IF($A38="","",IFERROR(1/(1/IF($B38="Residential",SUMIFS(INDEX('Oxford Economics'!$A$7:$AZ$1000,0,IFERROR(MATCH(AM$5,'Oxford Economics'!$A$6:$AZ$6,0),MATCH(AM$5&amp;"",'Oxford Economics'!$A$6:$AZ$6,0))),'Oxford Economics'!$A$7:$A$1000,$C38,'Oxford Economics'!$B$7:$B$1000,Settings!$B$11)-SUMIFS(INDEX('Oxford Economics'!$A$7:$AZ$1000,0,IFERROR(MATCH(AM$5,'Oxford Economics'!$A$6:$AZ$6,0),MATCH(AM$5&amp;"",'Oxford Economics'!$A$6:$AZ$6,0))),'Oxford Economics'!$A$7:$A$1000,$C38,'Oxford Economics'!$B$7:$B$1000,Settings!$B$13),SUMIFS(INDEX('Oxford Economics'!$A$7:$AZ$1000,0,IFERROR(MATCH(AM$5,'Oxford Economics'!$A$6:$AZ$6,0),MATCH(AM$5&amp;"",'Oxford Economics'!$A$6:$AZ$6,0))),'Oxford Economics'!$A$7:$A$1000,$C38,'Oxford Economics'!$B$7:$B$1000,Settings!$B$13)+SUMIFS(INDEX('Oxford Economics'!$A$7:$AZ$1000,0,IFERROR(MATCH(AM$5,'Oxford Economics'!$A$6:$AZ$6,0),MATCH(AM$5&amp;"",'Oxford Economics'!$A$6:$AZ$6,0))),'Oxford Economics'!$A$7:$A$1000,$C38,'Oxford Economics'!$B$7:$B$1000,Settings!$B$15)+IF(Settings!$B$17="",0,SUMIFS(INDEX('Oxford Economics'!$A$7:$AZ$1000,0,IFERROR(MATCH(AM$5,'Oxford Economics'!$A$6:$AZ$6,0),MATCH(AM$5&amp;"",'Oxford Economics'!$A$6:$AZ$6,0))),'Oxford Economics'!$A$7:$A$1000,$C38,'Oxford Economics'!$B$7:$B$1000,Settings!$B$17)))),""))</f>
        <v>958.78</v>
      </c>
    </row>
    <row r="39" customFormat="false" ht="15" hidden="false" customHeight="false" outlineLevel="0" collapsed="false">
      <c r="A39" s="36" t="str">
        <f aca="false">IF('Raw data'!$A39="","",'Raw data'!$A39)</f>
        <v>Portugal</v>
      </c>
      <c r="B39" s="36" t="str">
        <f aca="false">IF($A39="","",'Raw data'!$C39)</f>
        <v>Commercial</v>
      </c>
      <c r="C39" s="36" t="str">
        <f aca="false">IF($A39="","",IF('Raw data'!$D39="",$A39,'Raw data'!$D39))</f>
        <v>Portugal</v>
      </c>
      <c r="D39" s="37" t="n">
        <f aca="false">IF($A39="","",IF(AND(ISNUMBER(P39),ISNUMBER(AB39)),P39+AB39,""))</f>
        <v>7017.82</v>
      </c>
      <c r="E39" s="37" t="n">
        <f aca="false">IF($A39="","",IF(AND(ISNUMBER(Q39),ISNUMBER(AC39)),Q39+AC39,""))</f>
        <v>7418.12</v>
      </c>
      <c r="F39" s="37" t="n">
        <f aca="false">IF($A39="","",IF(AND(ISNUMBER(R39),ISNUMBER(AD39)),R39+AD39,""))</f>
        <v>7578.38</v>
      </c>
      <c r="G39" s="37" t="n">
        <f aca="false">IF($A39="","",IF(AND(ISNUMBER(S39),ISNUMBER(AE39)),S39+AE39,""))</f>
        <v>7713.88</v>
      </c>
      <c r="H39" s="37" t="n">
        <f aca="false">IF($A39="","",IF(AND(ISNUMBER(T39),ISNUMBER(AF39)),T39+AF39,""))</f>
        <v>7919</v>
      </c>
      <c r="I39" s="37" t="n">
        <f aca="false">IF($A39="","",IF(AND(ISNUMBER(U39),ISNUMBER(AG39)),U39+AG39,""))</f>
        <v>8433.78</v>
      </c>
      <c r="J39" s="37" t="n">
        <f aca="false">IF($A39="","",IF(AND(ISNUMBER(V39),ISNUMBER(AH39)),V39+AH39,""))</f>
        <v>9146.9</v>
      </c>
      <c r="K39" s="37" t="n">
        <f aca="false">IF($A39="","",IF(AND(ISNUMBER(W39),ISNUMBER(AI39)),W39+AI39,""))</f>
        <v>9585.74</v>
      </c>
      <c r="L39" s="37" t="n">
        <f aca="false">IF($A39="","",IF(AND(ISNUMBER(X39),ISNUMBER(AJ39)),X39+AJ39,""))</f>
        <v>9824.28</v>
      </c>
      <c r="M39" s="37" t="n">
        <f aca="false">IF($A39="","",IF(AND(ISNUMBER(Y39),ISNUMBER(AK39)),Y39+AK39,""))</f>
        <v>10014.62</v>
      </c>
      <c r="N39" s="37" t="n">
        <f aca="false">IF($A39="","",IF(AND(ISNUMBER(Z39),ISNUMBER(AL39)),Z39+AL39,""))</f>
        <v>10248.43</v>
      </c>
      <c r="O39" s="37" t="n">
        <f aca="false">IF($A39="","",IF(AND(ISNUMBER(AA39),ISNUMBER(AM39)),AA39+AM39,""))</f>
        <v>10477.1</v>
      </c>
      <c r="P39" s="37" t="n">
        <f aca="false">IF($A39="","",IFERROR(1/(1/IF($B39="Residential",SUMIFS(INDEX('Oxford Economics'!$A$7:$AZ$1000,0,IFERROR(MATCH(P$5,'Oxford Economics'!$A$6:$AZ$6,0),MATCH(P$5&amp;"",'Oxford Economics'!$A$6:$AZ$6,0))),'Oxford Economics'!$A$7:$A$1000,$C39,'Oxford Economics'!$B$7:$B$1000,Settings!$B$12)-SUMIFS(INDEX('Oxford Economics'!$A$7:$AZ$1000,0,IFERROR(MATCH(P$5,'Oxford Economics'!$A$6:$AZ$6,0),MATCH(P$5&amp;"",'Oxford Economics'!$A$6:$AZ$6,0))),'Oxford Economics'!$A$7:$A$1000,$C39,'Oxford Economics'!$B$7:$B$1000,Settings!$B$14),SUMIFS(INDEX('Oxford Economics'!$A$7:$AZ$1000,0,IFERROR(MATCH(P$5,'Oxford Economics'!$A$6:$AZ$6,0),MATCH(P$5&amp;"",'Oxford Economics'!$A$6:$AZ$6,0))),'Oxford Economics'!$A$7:$A$1000,$C39,'Oxford Economics'!$B$7:$B$1000,Settings!$B$14)+SUMIFS(INDEX('Oxford Economics'!$A$7:$AZ$1000,0,IFERROR(MATCH(P$5,'Oxford Economics'!$A$6:$AZ$6,0),MATCH(P$5&amp;"",'Oxford Economics'!$A$6:$AZ$6,0))),'Oxford Economics'!$A$7:$A$1000,$C39,'Oxford Economics'!$B$7:$B$1000,Settings!$B$16)+IF(Settings!$B$18="",0,SUMIFS(INDEX('Oxford Economics'!$A$7:$AZ$1000,0,IFERROR(MATCH(P$5,'Oxford Economics'!$A$6:$AZ$6,0),MATCH(P$5&amp;"",'Oxford Economics'!$A$6:$AZ$6,0))),'Oxford Economics'!$A$7:$A$1000,$C39,'Oxford Economics'!$B$7:$B$1000,Settings!$B$18)))),""))</f>
        <v>4205.94</v>
      </c>
      <c r="Q39" s="37" t="n">
        <f aca="false">IF($A39="","",IFERROR(1/(1/IF($B39="Residential",SUMIFS(INDEX('Oxford Economics'!$A$7:$AZ$1000,0,IFERROR(MATCH(Q$5,'Oxford Economics'!$A$6:$AZ$6,0),MATCH(Q$5&amp;"",'Oxford Economics'!$A$6:$AZ$6,0))),'Oxford Economics'!$A$7:$A$1000,$C39,'Oxford Economics'!$B$7:$B$1000,Settings!$B$12)-SUMIFS(INDEX('Oxford Economics'!$A$7:$AZ$1000,0,IFERROR(MATCH(Q$5,'Oxford Economics'!$A$6:$AZ$6,0),MATCH(Q$5&amp;"",'Oxford Economics'!$A$6:$AZ$6,0))),'Oxford Economics'!$A$7:$A$1000,$C39,'Oxford Economics'!$B$7:$B$1000,Settings!$B$14),SUMIFS(INDEX('Oxford Economics'!$A$7:$AZ$1000,0,IFERROR(MATCH(Q$5,'Oxford Economics'!$A$6:$AZ$6,0),MATCH(Q$5&amp;"",'Oxford Economics'!$A$6:$AZ$6,0))),'Oxford Economics'!$A$7:$A$1000,$C39,'Oxford Economics'!$B$7:$B$1000,Settings!$B$14)+SUMIFS(INDEX('Oxford Economics'!$A$7:$AZ$1000,0,IFERROR(MATCH(Q$5,'Oxford Economics'!$A$6:$AZ$6,0),MATCH(Q$5&amp;"",'Oxford Economics'!$A$6:$AZ$6,0))),'Oxford Economics'!$A$7:$A$1000,$C39,'Oxford Economics'!$B$7:$B$1000,Settings!$B$16)+IF(Settings!$B$18="",0,SUMIFS(INDEX('Oxford Economics'!$A$7:$AZ$1000,0,IFERROR(MATCH(Q$5,'Oxford Economics'!$A$6:$AZ$6,0),MATCH(Q$5&amp;"",'Oxford Economics'!$A$6:$AZ$6,0))),'Oxford Economics'!$A$7:$A$1000,$C39,'Oxford Economics'!$B$7:$B$1000,Settings!$B$18)))),""))</f>
        <v>4211.78</v>
      </c>
      <c r="R39" s="37" t="n">
        <f aca="false">IF($A39="","",IFERROR(1/(1/IF($B39="Residential",SUMIFS(INDEX('Oxford Economics'!$A$7:$AZ$1000,0,IFERROR(MATCH(R$5,'Oxford Economics'!$A$6:$AZ$6,0),MATCH(R$5&amp;"",'Oxford Economics'!$A$6:$AZ$6,0))),'Oxford Economics'!$A$7:$A$1000,$C39,'Oxford Economics'!$B$7:$B$1000,Settings!$B$12)-SUMIFS(INDEX('Oxford Economics'!$A$7:$AZ$1000,0,IFERROR(MATCH(R$5,'Oxford Economics'!$A$6:$AZ$6,0),MATCH(R$5&amp;"",'Oxford Economics'!$A$6:$AZ$6,0))),'Oxford Economics'!$A$7:$A$1000,$C39,'Oxford Economics'!$B$7:$B$1000,Settings!$B$14),SUMIFS(INDEX('Oxford Economics'!$A$7:$AZ$1000,0,IFERROR(MATCH(R$5,'Oxford Economics'!$A$6:$AZ$6,0),MATCH(R$5&amp;"",'Oxford Economics'!$A$6:$AZ$6,0))),'Oxford Economics'!$A$7:$A$1000,$C39,'Oxford Economics'!$B$7:$B$1000,Settings!$B$14)+SUMIFS(INDEX('Oxford Economics'!$A$7:$AZ$1000,0,IFERROR(MATCH(R$5,'Oxford Economics'!$A$6:$AZ$6,0),MATCH(R$5&amp;"",'Oxford Economics'!$A$6:$AZ$6,0))),'Oxford Economics'!$A$7:$A$1000,$C39,'Oxford Economics'!$B$7:$B$1000,Settings!$B$16)+IF(Settings!$B$18="",0,SUMIFS(INDEX('Oxford Economics'!$A$7:$AZ$1000,0,IFERROR(MATCH(R$5,'Oxford Economics'!$A$6:$AZ$6,0),MATCH(R$5&amp;"",'Oxford Economics'!$A$6:$AZ$6,0))),'Oxford Economics'!$A$7:$A$1000,$C39,'Oxford Economics'!$B$7:$B$1000,Settings!$B$18)))),""))</f>
        <v>3885.91</v>
      </c>
      <c r="S39" s="37" t="n">
        <f aca="false">IF($A39="","",IFERROR(1/(1/IF($B39="Residential",SUMIFS(INDEX('Oxford Economics'!$A$7:$AZ$1000,0,IFERROR(MATCH(S$5,'Oxford Economics'!$A$6:$AZ$6,0),MATCH(S$5&amp;"",'Oxford Economics'!$A$6:$AZ$6,0))),'Oxford Economics'!$A$7:$A$1000,$C39,'Oxford Economics'!$B$7:$B$1000,Settings!$B$12)-SUMIFS(INDEX('Oxford Economics'!$A$7:$AZ$1000,0,IFERROR(MATCH(S$5,'Oxford Economics'!$A$6:$AZ$6,0),MATCH(S$5&amp;"",'Oxford Economics'!$A$6:$AZ$6,0))),'Oxford Economics'!$A$7:$A$1000,$C39,'Oxford Economics'!$B$7:$B$1000,Settings!$B$14),SUMIFS(INDEX('Oxford Economics'!$A$7:$AZ$1000,0,IFERROR(MATCH(S$5,'Oxford Economics'!$A$6:$AZ$6,0),MATCH(S$5&amp;"",'Oxford Economics'!$A$6:$AZ$6,0))),'Oxford Economics'!$A$7:$A$1000,$C39,'Oxford Economics'!$B$7:$B$1000,Settings!$B$14)+SUMIFS(INDEX('Oxford Economics'!$A$7:$AZ$1000,0,IFERROR(MATCH(S$5,'Oxford Economics'!$A$6:$AZ$6,0),MATCH(S$5&amp;"",'Oxford Economics'!$A$6:$AZ$6,0))),'Oxford Economics'!$A$7:$A$1000,$C39,'Oxford Economics'!$B$7:$B$1000,Settings!$B$16)+IF(Settings!$B$18="",0,SUMIFS(INDEX('Oxford Economics'!$A$7:$AZ$1000,0,IFERROR(MATCH(S$5,'Oxford Economics'!$A$6:$AZ$6,0),MATCH(S$5&amp;"",'Oxford Economics'!$A$6:$AZ$6,0))),'Oxford Economics'!$A$7:$A$1000,$C39,'Oxford Economics'!$B$7:$B$1000,Settings!$B$18)))),""))</f>
        <v>4033.69</v>
      </c>
      <c r="T39" s="37" t="n">
        <f aca="false">IF($A39="","",IFERROR(1/(1/IF($B39="Residential",SUMIFS(INDEX('Oxford Economics'!$A$7:$AZ$1000,0,IFERROR(MATCH(T$5,'Oxford Economics'!$A$6:$AZ$6,0),MATCH(T$5&amp;"",'Oxford Economics'!$A$6:$AZ$6,0))),'Oxford Economics'!$A$7:$A$1000,$C39,'Oxford Economics'!$B$7:$B$1000,Settings!$B$12)-SUMIFS(INDEX('Oxford Economics'!$A$7:$AZ$1000,0,IFERROR(MATCH(T$5,'Oxford Economics'!$A$6:$AZ$6,0),MATCH(T$5&amp;"",'Oxford Economics'!$A$6:$AZ$6,0))),'Oxford Economics'!$A$7:$A$1000,$C39,'Oxford Economics'!$B$7:$B$1000,Settings!$B$14),SUMIFS(INDEX('Oxford Economics'!$A$7:$AZ$1000,0,IFERROR(MATCH(T$5,'Oxford Economics'!$A$6:$AZ$6,0),MATCH(T$5&amp;"",'Oxford Economics'!$A$6:$AZ$6,0))),'Oxford Economics'!$A$7:$A$1000,$C39,'Oxford Economics'!$B$7:$B$1000,Settings!$B$14)+SUMIFS(INDEX('Oxford Economics'!$A$7:$AZ$1000,0,IFERROR(MATCH(T$5,'Oxford Economics'!$A$6:$AZ$6,0),MATCH(T$5&amp;"",'Oxford Economics'!$A$6:$AZ$6,0))),'Oxford Economics'!$A$7:$A$1000,$C39,'Oxford Economics'!$B$7:$B$1000,Settings!$B$16)+IF(Settings!$B$18="",0,SUMIFS(INDEX('Oxford Economics'!$A$7:$AZ$1000,0,IFERROR(MATCH(T$5,'Oxford Economics'!$A$6:$AZ$6,0),MATCH(T$5&amp;"",'Oxford Economics'!$A$6:$AZ$6,0))),'Oxford Economics'!$A$7:$A$1000,$C39,'Oxford Economics'!$B$7:$B$1000,Settings!$B$18)))),""))</f>
        <v>4158.4</v>
      </c>
      <c r="U39" s="37" t="n">
        <f aca="false">IF($A39="","",IFERROR(1/(1/IF($B39="Residential",SUMIFS(INDEX('Oxford Economics'!$A$7:$AZ$1000,0,IFERROR(MATCH(U$5,'Oxford Economics'!$A$6:$AZ$6,0),MATCH(U$5&amp;"",'Oxford Economics'!$A$6:$AZ$6,0))),'Oxford Economics'!$A$7:$A$1000,$C39,'Oxford Economics'!$B$7:$B$1000,Settings!$B$12)-SUMIFS(INDEX('Oxford Economics'!$A$7:$AZ$1000,0,IFERROR(MATCH(U$5,'Oxford Economics'!$A$6:$AZ$6,0),MATCH(U$5&amp;"",'Oxford Economics'!$A$6:$AZ$6,0))),'Oxford Economics'!$A$7:$A$1000,$C39,'Oxford Economics'!$B$7:$B$1000,Settings!$B$14),SUMIFS(INDEX('Oxford Economics'!$A$7:$AZ$1000,0,IFERROR(MATCH(U$5,'Oxford Economics'!$A$6:$AZ$6,0),MATCH(U$5&amp;"",'Oxford Economics'!$A$6:$AZ$6,0))),'Oxford Economics'!$A$7:$A$1000,$C39,'Oxford Economics'!$B$7:$B$1000,Settings!$B$14)+SUMIFS(INDEX('Oxford Economics'!$A$7:$AZ$1000,0,IFERROR(MATCH(U$5,'Oxford Economics'!$A$6:$AZ$6,0),MATCH(U$5&amp;"",'Oxford Economics'!$A$6:$AZ$6,0))),'Oxford Economics'!$A$7:$A$1000,$C39,'Oxford Economics'!$B$7:$B$1000,Settings!$B$16)+IF(Settings!$B$18="",0,SUMIFS(INDEX('Oxford Economics'!$A$7:$AZ$1000,0,IFERROR(MATCH(U$5,'Oxford Economics'!$A$6:$AZ$6,0),MATCH(U$5&amp;"",'Oxford Economics'!$A$6:$AZ$6,0))),'Oxford Economics'!$A$7:$A$1000,$C39,'Oxford Economics'!$B$7:$B$1000,Settings!$B$18)))),""))</f>
        <v>4557.43</v>
      </c>
      <c r="V39" s="37" t="n">
        <f aca="false">IF($A39="","",IFERROR(1/(1/IF($B39="Residential",SUMIFS(INDEX('Oxford Economics'!$A$7:$AZ$1000,0,IFERROR(MATCH(V$5,'Oxford Economics'!$A$6:$AZ$6,0),MATCH(V$5&amp;"",'Oxford Economics'!$A$6:$AZ$6,0))),'Oxford Economics'!$A$7:$A$1000,$C39,'Oxford Economics'!$B$7:$B$1000,Settings!$B$12)-SUMIFS(INDEX('Oxford Economics'!$A$7:$AZ$1000,0,IFERROR(MATCH(V$5,'Oxford Economics'!$A$6:$AZ$6,0),MATCH(V$5&amp;"",'Oxford Economics'!$A$6:$AZ$6,0))),'Oxford Economics'!$A$7:$A$1000,$C39,'Oxford Economics'!$B$7:$B$1000,Settings!$B$14),SUMIFS(INDEX('Oxford Economics'!$A$7:$AZ$1000,0,IFERROR(MATCH(V$5,'Oxford Economics'!$A$6:$AZ$6,0),MATCH(V$5&amp;"",'Oxford Economics'!$A$6:$AZ$6,0))),'Oxford Economics'!$A$7:$A$1000,$C39,'Oxford Economics'!$B$7:$B$1000,Settings!$B$14)+SUMIFS(INDEX('Oxford Economics'!$A$7:$AZ$1000,0,IFERROR(MATCH(V$5,'Oxford Economics'!$A$6:$AZ$6,0),MATCH(V$5&amp;"",'Oxford Economics'!$A$6:$AZ$6,0))),'Oxford Economics'!$A$7:$A$1000,$C39,'Oxford Economics'!$B$7:$B$1000,Settings!$B$16)+IF(Settings!$B$18="",0,SUMIFS(INDEX('Oxford Economics'!$A$7:$AZ$1000,0,IFERROR(MATCH(V$5,'Oxford Economics'!$A$6:$AZ$6,0),MATCH(V$5&amp;"",'Oxford Economics'!$A$6:$AZ$6,0))),'Oxford Economics'!$A$7:$A$1000,$C39,'Oxford Economics'!$B$7:$B$1000,Settings!$B$18)))),""))</f>
        <v>4956.6</v>
      </c>
      <c r="W39" s="37" t="n">
        <f aca="false">IF($A39="","",IFERROR(1/(1/IF($B39="Residential",SUMIFS(INDEX('Oxford Economics'!$A$7:$AZ$1000,0,IFERROR(MATCH(W$5,'Oxford Economics'!$A$6:$AZ$6,0),MATCH(W$5&amp;"",'Oxford Economics'!$A$6:$AZ$6,0))),'Oxford Economics'!$A$7:$A$1000,$C39,'Oxford Economics'!$B$7:$B$1000,Settings!$B$12)-SUMIFS(INDEX('Oxford Economics'!$A$7:$AZ$1000,0,IFERROR(MATCH(W$5,'Oxford Economics'!$A$6:$AZ$6,0),MATCH(W$5&amp;"",'Oxford Economics'!$A$6:$AZ$6,0))),'Oxford Economics'!$A$7:$A$1000,$C39,'Oxford Economics'!$B$7:$B$1000,Settings!$B$14),SUMIFS(INDEX('Oxford Economics'!$A$7:$AZ$1000,0,IFERROR(MATCH(W$5,'Oxford Economics'!$A$6:$AZ$6,0),MATCH(W$5&amp;"",'Oxford Economics'!$A$6:$AZ$6,0))),'Oxford Economics'!$A$7:$A$1000,$C39,'Oxford Economics'!$B$7:$B$1000,Settings!$B$14)+SUMIFS(INDEX('Oxford Economics'!$A$7:$AZ$1000,0,IFERROR(MATCH(W$5,'Oxford Economics'!$A$6:$AZ$6,0),MATCH(W$5&amp;"",'Oxford Economics'!$A$6:$AZ$6,0))),'Oxford Economics'!$A$7:$A$1000,$C39,'Oxford Economics'!$B$7:$B$1000,Settings!$B$16)+IF(Settings!$B$18="",0,SUMIFS(INDEX('Oxford Economics'!$A$7:$AZ$1000,0,IFERROR(MATCH(W$5,'Oxford Economics'!$A$6:$AZ$6,0),MATCH(W$5&amp;"",'Oxford Economics'!$A$6:$AZ$6,0))),'Oxford Economics'!$A$7:$A$1000,$C39,'Oxford Economics'!$B$7:$B$1000,Settings!$B$18)))),""))</f>
        <v>5283.7</v>
      </c>
      <c r="X39" s="37" t="n">
        <f aca="false">IF($A39="","",IFERROR(1/(1/IF($B39="Residential",SUMIFS(INDEX('Oxford Economics'!$A$7:$AZ$1000,0,IFERROR(MATCH(X$5,'Oxford Economics'!$A$6:$AZ$6,0),MATCH(X$5&amp;"",'Oxford Economics'!$A$6:$AZ$6,0))),'Oxford Economics'!$A$7:$A$1000,$C39,'Oxford Economics'!$B$7:$B$1000,Settings!$B$12)-SUMIFS(INDEX('Oxford Economics'!$A$7:$AZ$1000,0,IFERROR(MATCH(X$5,'Oxford Economics'!$A$6:$AZ$6,0),MATCH(X$5&amp;"",'Oxford Economics'!$A$6:$AZ$6,0))),'Oxford Economics'!$A$7:$A$1000,$C39,'Oxford Economics'!$B$7:$B$1000,Settings!$B$14),SUMIFS(INDEX('Oxford Economics'!$A$7:$AZ$1000,0,IFERROR(MATCH(X$5,'Oxford Economics'!$A$6:$AZ$6,0),MATCH(X$5&amp;"",'Oxford Economics'!$A$6:$AZ$6,0))),'Oxford Economics'!$A$7:$A$1000,$C39,'Oxford Economics'!$B$7:$B$1000,Settings!$B$14)+SUMIFS(INDEX('Oxford Economics'!$A$7:$AZ$1000,0,IFERROR(MATCH(X$5,'Oxford Economics'!$A$6:$AZ$6,0),MATCH(X$5&amp;"",'Oxford Economics'!$A$6:$AZ$6,0))),'Oxford Economics'!$A$7:$A$1000,$C39,'Oxford Economics'!$B$7:$B$1000,Settings!$B$16)+IF(Settings!$B$18="",0,SUMIFS(INDEX('Oxford Economics'!$A$7:$AZ$1000,0,IFERROR(MATCH(X$5,'Oxford Economics'!$A$6:$AZ$6,0),MATCH(X$5&amp;"",'Oxford Economics'!$A$6:$AZ$6,0))),'Oxford Economics'!$A$7:$A$1000,$C39,'Oxford Economics'!$B$7:$B$1000,Settings!$B$18)))),""))</f>
        <v>5440.4</v>
      </c>
      <c r="Y39" s="37" t="n">
        <f aca="false">IF($A39="","",IFERROR(1/(1/IF($B39="Residential",SUMIFS(INDEX('Oxford Economics'!$A$7:$AZ$1000,0,IFERROR(MATCH(Y$5,'Oxford Economics'!$A$6:$AZ$6,0),MATCH(Y$5&amp;"",'Oxford Economics'!$A$6:$AZ$6,0))),'Oxford Economics'!$A$7:$A$1000,$C39,'Oxford Economics'!$B$7:$B$1000,Settings!$B$12)-SUMIFS(INDEX('Oxford Economics'!$A$7:$AZ$1000,0,IFERROR(MATCH(Y$5,'Oxford Economics'!$A$6:$AZ$6,0),MATCH(Y$5&amp;"",'Oxford Economics'!$A$6:$AZ$6,0))),'Oxford Economics'!$A$7:$A$1000,$C39,'Oxford Economics'!$B$7:$B$1000,Settings!$B$14),SUMIFS(INDEX('Oxford Economics'!$A$7:$AZ$1000,0,IFERROR(MATCH(Y$5,'Oxford Economics'!$A$6:$AZ$6,0),MATCH(Y$5&amp;"",'Oxford Economics'!$A$6:$AZ$6,0))),'Oxford Economics'!$A$7:$A$1000,$C39,'Oxford Economics'!$B$7:$B$1000,Settings!$B$14)+SUMIFS(INDEX('Oxford Economics'!$A$7:$AZ$1000,0,IFERROR(MATCH(Y$5,'Oxford Economics'!$A$6:$AZ$6,0),MATCH(Y$5&amp;"",'Oxford Economics'!$A$6:$AZ$6,0))),'Oxford Economics'!$A$7:$A$1000,$C39,'Oxford Economics'!$B$7:$B$1000,Settings!$B$16)+IF(Settings!$B$18="",0,SUMIFS(INDEX('Oxford Economics'!$A$7:$AZ$1000,0,IFERROR(MATCH(Y$5,'Oxford Economics'!$A$6:$AZ$6,0),MATCH(Y$5&amp;"",'Oxford Economics'!$A$6:$AZ$6,0))),'Oxford Economics'!$A$7:$A$1000,$C39,'Oxford Economics'!$B$7:$B$1000,Settings!$B$18)))),""))</f>
        <v>5540.03</v>
      </c>
      <c r="Z39" s="37" t="n">
        <f aca="false">IF($A39="","",IFERROR(1/(1/IF($B39="Residential",SUMIFS(INDEX('Oxford Economics'!$A$7:$AZ$1000,0,IFERROR(MATCH(Z$5,'Oxford Economics'!$A$6:$AZ$6,0),MATCH(Z$5&amp;"",'Oxford Economics'!$A$6:$AZ$6,0))),'Oxford Economics'!$A$7:$A$1000,$C39,'Oxford Economics'!$B$7:$B$1000,Settings!$B$12)-SUMIFS(INDEX('Oxford Economics'!$A$7:$AZ$1000,0,IFERROR(MATCH(Z$5,'Oxford Economics'!$A$6:$AZ$6,0),MATCH(Z$5&amp;"",'Oxford Economics'!$A$6:$AZ$6,0))),'Oxford Economics'!$A$7:$A$1000,$C39,'Oxford Economics'!$B$7:$B$1000,Settings!$B$14),SUMIFS(INDEX('Oxford Economics'!$A$7:$AZ$1000,0,IFERROR(MATCH(Z$5,'Oxford Economics'!$A$6:$AZ$6,0),MATCH(Z$5&amp;"",'Oxford Economics'!$A$6:$AZ$6,0))),'Oxford Economics'!$A$7:$A$1000,$C39,'Oxford Economics'!$B$7:$B$1000,Settings!$B$14)+SUMIFS(INDEX('Oxford Economics'!$A$7:$AZ$1000,0,IFERROR(MATCH(Z$5,'Oxford Economics'!$A$6:$AZ$6,0),MATCH(Z$5&amp;"",'Oxford Economics'!$A$6:$AZ$6,0))),'Oxford Economics'!$A$7:$A$1000,$C39,'Oxford Economics'!$B$7:$B$1000,Settings!$B$16)+IF(Settings!$B$18="",0,SUMIFS(INDEX('Oxford Economics'!$A$7:$AZ$1000,0,IFERROR(MATCH(Z$5,'Oxford Economics'!$A$6:$AZ$6,0),MATCH(Z$5&amp;"",'Oxford Economics'!$A$6:$AZ$6,0))),'Oxford Economics'!$A$7:$A$1000,$C39,'Oxford Economics'!$B$7:$B$1000,Settings!$B$18)))),""))</f>
        <v>5644.9</v>
      </c>
      <c r="AA39" s="37" t="n">
        <f aca="false">IF($A39="","",IFERROR(1/(1/IF($B39="Residential",SUMIFS(INDEX('Oxford Economics'!$A$7:$AZ$1000,0,IFERROR(MATCH(AA$5,'Oxford Economics'!$A$6:$AZ$6,0),MATCH(AA$5&amp;"",'Oxford Economics'!$A$6:$AZ$6,0))),'Oxford Economics'!$A$7:$A$1000,$C39,'Oxford Economics'!$B$7:$B$1000,Settings!$B$12)-SUMIFS(INDEX('Oxford Economics'!$A$7:$AZ$1000,0,IFERROR(MATCH(AA$5,'Oxford Economics'!$A$6:$AZ$6,0),MATCH(AA$5&amp;"",'Oxford Economics'!$A$6:$AZ$6,0))),'Oxford Economics'!$A$7:$A$1000,$C39,'Oxford Economics'!$B$7:$B$1000,Settings!$B$14),SUMIFS(INDEX('Oxford Economics'!$A$7:$AZ$1000,0,IFERROR(MATCH(AA$5,'Oxford Economics'!$A$6:$AZ$6,0),MATCH(AA$5&amp;"",'Oxford Economics'!$A$6:$AZ$6,0))),'Oxford Economics'!$A$7:$A$1000,$C39,'Oxford Economics'!$B$7:$B$1000,Settings!$B$14)+SUMIFS(INDEX('Oxford Economics'!$A$7:$AZ$1000,0,IFERROR(MATCH(AA$5,'Oxford Economics'!$A$6:$AZ$6,0),MATCH(AA$5&amp;"",'Oxford Economics'!$A$6:$AZ$6,0))),'Oxford Economics'!$A$7:$A$1000,$C39,'Oxford Economics'!$B$7:$B$1000,Settings!$B$16)+IF(Settings!$B$18="",0,SUMIFS(INDEX('Oxford Economics'!$A$7:$AZ$1000,0,IFERROR(MATCH(AA$5,'Oxford Economics'!$A$6:$AZ$6,0),MATCH(AA$5&amp;"",'Oxford Economics'!$A$6:$AZ$6,0))),'Oxford Economics'!$A$7:$A$1000,$C39,'Oxford Economics'!$B$7:$B$1000,Settings!$B$18)))),""))</f>
        <v>5778.22</v>
      </c>
      <c r="AB39" s="37" t="n">
        <f aca="false">IF($A39="","",IFERROR(1/(1/IF($B39="Residential",SUMIFS(INDEX('Oxford Economics'!$A$7:$AZ$1000,0,IFERROR(MATCH(AB$5,'Oxford Economics'!$A$6:$AZ$6,0),MATCH(AB$5&amp;"",'Oxford Economics'!$A$6:$AZ$6,0))),'Oxford Economics'!$A$7:$A$1000,$C39,'Oxford Economics'!$B$7:$B$1000,Settings!$B$11)-SUMIFS(INDEX('Oxford Economics'!$A$7:$AZ$1000,0,IFERROR(MATCH(AB$5,'Oxford Economics'!$A$6:$AZ$6,0),MATCH(AB$5&amp;"",'Oxford Economics'!$A$6:$AZ$6,0))),'Oxford Economics'!$A$7:$A$1000,$C39,'Oxford Economics'!$B$7:$B$1000,Settings!$B$13),SUMIFS(INDEX('Oxford Economics'!$A$7:$AZ$1000,0,IFERROR(MATCH(AB$5,'Oxford Economics'!$A$6:$AZ$6,0),MATCH(AB$5&amp;"",'Oxford Economics'!$A$6:$AZ$6,0))),'Oxford Economics'!$A$7:$A$1000,$C39,'Oxford Economics'!$B$7:$B$1000,Settings!$B$13)+SUMIFS(INDEX('Oxford Economics'!$A$7:$AZ$1000,0,IFERROR(MATCH(AB$5,'Oxford Economics'!$A$6:$AZ$6,0),MATCH(AB$5&amp;"",'Oxford Economics'!$A$6:$AZ$6,0))),'Oxford Economics'!$A$7:$A$1000,$C39,'Oxford Economics'!$B$7:$B$1000,Settings!$B$15)+IF(Settings!$B$17="",0,SUMIFS(INDEX('Oxford Economics'!$A$7:$AZ$1000,0,IFERROR(MATCH(AB$5,'Oxford Economics'!$A$6:$AZ$6,0),MATCH(AB$5&amp;"",'Oxford Economics'!$A$6:$AZ$6,0))),'Oxford Economics'!$A$7:$A$1000,$C39,'Oxford Economics'!$B$7:$B$1000,Settings!$B$17)))),""))</f>
        <v>2811.88</v>
      </c>
      <c r="AC39" s="37" t="n">
        <f aca="false">IF($A39="","",IFERROR(1/(1/IF($B39="Residential",SUMIFS(INDEX('Oxford Economics'!$A$7:$AZ$1000,0,IFERROR(MATCH(AC$5,'Oxford Economics'!$A$6:$AZ$6,0),MATCH(AC$5&amp;"",'Oxford Economics'!$A$6:$AZ$6,0))),'Oxford Economics'!$A$7:$A$1000,$C39,'Oxford Economics'!$B$7:$B$1000,Settings!$B$11)-SUMIFS(INDEX('Oxford Economics'!$A$7:$AZ$1000,0,IFERROR(MATCH(AC$5,'Oxford Economics'!$A$6:$AZ$6,0),MATCH(AC$5&amp;"",'Oxford Economics'!$A$6:$AZ$6,0))),'Oxford Economics'!$A$7:$A$1000,$C39,'Oxford Economics'!$B$7:$B$1000,Settings!$B$13),SUMIFS(INDEX('Oxford Economics'!$A$7:$AZ$1000,0,IFERROR(MATCH(AC$5,'Oxford Economics'!$A$6:$AZ$6,0),MATCH(AC$5&amp;"",'Oxford Economics'!$A$6:$AZ$6,0))),'Oxford Economics'!$A$7:$A$1000,$C39,'Oxford Economics'!$B$7:$B$1000,Settings!$B$13)+SUMIFS(INDEX('Oxford Economics'!$A$7:$AZ$1000,0,IFERROR(MATCH(AC$5,'Oxford Economics'!$A$6:$AZ$6,0),MATCH(AC$5&amp;"",'Oxford Economics'!$A$6:$AZ$6,0))),'Oxford Economics'!$A$7:$A$1000,$C39,'Oxford Economics'!$B$7:$B$1000,Settings!$B$15)+IF(Settings!$B$17="",0,SUMIFS(INDEX('Oxford Economics'!$A$7:$AZ$1000,0,IFERROR(MATCH(AC$5,'Oxford Economics'!$A$6:$AZ$6,0),MATCH(AC$5&amp;"",'Oxford Economics'!$A$6:$AZ$6,0))),'Oxford Economics'!$A$7:$A$1000,$C39,'Oxford Economics'!$B$7:$B$1000,Settings!$B$17)))),""))</f>
        <v>3206.34</v>
      </c>
      <c r="AD39" s="37" t="n">
        <f aca="false">IF($A39="","",IFERROR(1/(1/IF($B39="Residential",SUMIFS(INDEX('Oxford Economics'!$A$7:$AZ$1000,0,IFERROR(MATCH(AD$5,'Oxford Economics'!$A$6:$AZ$6,0),MATCH(AD$5&amp;"",'Oxford Economics'!$A$6:$AZ$6,0))),'Oxford Economics'!$A$7:$A$1000,$C39,'Oxford Economics'!$B$7:$B$1000,Settings!$B$11)-SUMIFS(INDEX('Oxford Economics'!$A$7:$AZ$1000,0,IFERROR(MATCH(AD$5,'Oxford Economics'!$A$6:$AZ$6,0),MATCH(AD$5&amp;"",'Oxford Economics'!$A$6:$AZ$6,0))),'Oxford Economics'!$A$7:$A$1000,$C39,'Oxford Economics'!$B$7:$B$1000,Settings!$B$13),SUMIFS(INDEX('Oxford Economics'!$A$7:$AZ$1000,0,IFERROR(MATCH(AD$5,'Oxford Economics'!$A$6:$AZ$6,0),MATCH(AD$5&amp;"",'Oxford Economics'!$A$6:$AZ$6,0))),'Oxford Economics'!$A$7:$A$1000,$C39,'Oxford Economics'!$B$7:$B$1000,Settings!$B$13)+SUMIFS(INDEX('Oxford Economics'!$A$7:$AZ$1000,0,IFERROR(MATCH(AD$5,'Oxford Economics'!$A$6:$AZ$6,0),MATCH(AD$5&amp;"",'Oxford Economics'!$A$6:$AZ$6,0))),'Oxford Economics'!$A$7:$A$1000,$C39,'Oxford Economics'!$B$7:$B$1000,Settings!$B$15)+IF(Settings!$B$17="",0,SUMIFS(INDEX('Oxford Economics'!$A$7:$AZ$1000,0,IFERROR(MATCH(AD$5,'Oxford Economics'!$A$6:$AZ$6,0),MATCH(AD$5&amp;"",'Oxford Economics'!$A$6:$AZ$6,0))),'Oxford Economics'!$A$7:$A$1000,$C39,'Oxford Economics'!$B$7:$B$1000,Settings!$B$17)))),""))</f>
        <v>3692.47</v>
      </c>
      <c r="AE39" s="37" t="n">
        <f aca="false">IF($A39="","",IFERROR(1/(1/IF($B39="Residential",SUMIFS(INDEX('Oxford Economics'!$A$7:$AZ$1000,0,IFERROR(MATCH(AE$5,'Oxford Economics'!$A$6:$AZ$6,0),MATCH(AE$5&amp;"",'Oxford Economics'!$A$6:$AZ$6,0))),'Oxford Economics'!$A$7:$A$1000,$C39,'Oxford Economics'!$B$7:$B$1000,Settings!$B$11)-SUMIFS(INDEX('Oxford Economics'!$A$7:$AZ$1000,0,IFERROR(MATCH(AE$5,'Oxford Economics'!$A$6:$AZ$6,0),MATCH(AE$5&amp;"",'Oxford Economics'!$A$6:$AZ$6,0))),'Oxford Economics'!$A$7:$A$1000,$C39,'Oxford Economics'!$B$7:$B$1000,Settings!$B$13),SUMIFS(INDEX('Oxford Economics'!$A$7:$AZ$1000,0,IFERROR(MATCH(AE$5,'Oxford Economics'!$A$6:$AZ$6,0),MATCH(AE$5&amp;"",'Oxford Economics'!$A$6:$AZ$6,0))),'Oxford Economics'!$A$7:$A$1000,$C39,'Oxford Economics'!$B$7:$B$1000,Settings!$B$13)+SUMIFS(INDEX('Oxford Economics'!$A$7:$AZ$1000,0,IFERROR(MATCH(AE$5,'Oxford Economics'!$A$6:$AZ$6,0),MATCH(AE$5&amp;"",'Oxford Economics'!$A$6:$AZ$6,0))),'Oxford Economics'!$A$7:$A$1000,$C39,'Oxford Economics'!$B$7:$B$1000,Settings!$B$15)+IF(Settings!$B$17="",0,SUMIFS(INDEX('Oxford Economics'!$A$7:$AZ$1000,0,IFERROR(MATCH(AE$5,'Oxford Economics'!$A$6:$AZ$6,0),MATCH(AE$5&amp;"",'Oxford Economics'!$A$6:$AZ$6,0))),'Oxford Economics'!$A$7:$A$1000,$C39,'Oxford Economics'!$B$7:$B$1000,Settings!$B$17)))),""))</f>
        <v>3680.19</v>
      </c>
      <c r="AF39" s="37" t="n">
        <f aca="false">IF($A39="","",IFERROR(1/(1/IF($B39="Residential",SUMIFS(INDEX('Oxford Economics'!$A$7:$AZ$1000,0,IFERROR(MATCH(AF$5,'Oxford Economics'!$A$6:$AZ$6,0),MATCH(AF$5&amp;"",'Oxford Economics'!$A$6:$AZ$6,0))),'Oxford Economics'!$A$7:$A$1000,$C39,'Oxford Economics'!$B$7:$B$1000,Settings!$B$11)-SUMIFS(INDEX('Oxford Economics'!$A$7:$AZ$1000,0,IFERROR(MATCH(AF$5,'Oxford Economics'!$A$6:$AZ$6,0),MATCH(AF$5&amp;"",'Oxford Economics'!$A$6:$AZ$6,0))),'Oxford Economics'!$A$7:$A$1000,$C39,'Oxford Economics'!$B$7:$B$1000,Settings!$B$13),SUMIFS(INDEX('Oxford Economics'!$A$7:$AZ$1000,0,IFERROR(MATCH(AF$5,'Oxford Economics'!$A$6:$AZ$6,0),MATCH(AF$5&amp;"",'Oxford Economics'!$A$6:$AZ$6,0))),'Oxford Economics'!$A$7:$A$1000,$C39,'Oxford Economics'!$B$7:$B$1000,Settings!$B$13)+SUMIFS(INDEX('Oxford Economics'!$A$7:$AZ$1000,0,IFERROR(MATCH(AF$5,'Oxford Economics'!$A$6:$AZ$6,0),MATCH(AF$5&amp;"",'Oxford Economics'!$A$6:$AZ$6,0))),'Oxford Economics'!$A$7:$A$1000,$C39,'Oxford Economics'!$B$7:$B$1000,Settings!$B$15)+IF(Settings!$B$17="",0,SUMIFS(INDEX('Oxford Economics'!$A$7:$AZ$1000,0,IFERROR(MATCH(AF$5,'Oxford Economics'!$A$6:$AZ$6,0),MATCH(AF$5&amp;"",'Oxford Economics'!$A$6:$AZ$6,0))),'Oxford Economics'!$A$7:$A$1000,$C39,'Oxford Economics'!$B$7:$B$1000,Settings!$B$17)))),""))</f>
        <v>3760.6</v>
      </c>
      <c r="AG39" s="37" t="n">
        <f aca="false">IF($A39="","",IFERROR(1/(1/IF($B39="Residential",SUMIFS(INDEX('Oxford Economics'!$A$7:$AZ$1000,0,IFERROR(MATCH(AG$5,'Oxford Economics'!$A$6:$AZ$6,0),MATCH(AG$5&amp;"",'Oxford Economics'!$A$6:$AZ$6,0))),'Oxford Economics'!$A$7:$A$1000,$C39,'Oxford Economics'!$B$7:$B$1000,Settings!$B$11)-SUMIFS(INDEX('Oxford Economics'!$A$7:$AZ$1000,0,IFERROR(MATCH(AG$5,'Oxford Economics'!$A$6:$AZ$6,0),MATCH(AG$5&amp;"",'Oxford Economics'!$A$6:$AZ$6,0))),'Oxford Economics'!$A$7:$A$1000,$C39,'Oxford Economics'!$B$7:$B$1000,Settings!$B$13),SUMIFS(INDEX('Oxford Economics'!$A$7:$AZ$1000,0,IFERROR(MATCH(AG$5,'Oxford Economics'!$A$6:$AZ$6,0),MATCH(AG$5&amp;"",'Oxford Economics'!$A$6:$AZ$6,0))),'Oxford Economics'!$A$7:$A$1000,$C39,'Oxford Economics'!$B$7:$B$1000,Settings!$B$13)+SUMIFS(INDEX('Oxford Economics'!$A$7:$AZ$1000,0,IFERROR(MATCH(AG$5,'Oxford Economics'!$A$6:$AZ$6,0),MATCH(AG$5&amp;"",'Oxford Economics'!$A$6:$AZ$6,0))),'Oxford Economics'!$A$7:$A$1000,$C39,'Oxford Economics'!$B$7:$B$1000,Settings!$B$15)+IF(Settings!$B$17="",0,SUMIFS(INDEX('Oxford Economics'!$A$7:$AZ$1000,0,IFERROR(MATCH(AG$5,'Oxford Economics'!$A$6:$AZ$6,0),MATCH(AG$5&amp;"",'Oxford Economics'!$A$6:$AZ$6,0))),'Oxford Economics'!$A$7:$A$1000,$C39,'Oxford Economics'!$B$7:$B$1000,Settings!$B$17)))),""))</f>
        <v>3876.35</v>
      </c>
      <c r="AH39" s="37" t="n">
        <f aca="false">IF($A39="","",IFERROR(1/(1/IF($B39="Residential",SUMIFS(INDEX('Oxford Economics'!$A$7:$AZ$1000,0,IFERROR(MATCH(AH$5,'Oxford Economics'!$A$6:$AZ$6,0),MATCH(AH$5&amp;"",'Oxford Economics'!$A$6:$AZ$6,0))),'Oxford Economics'!$A$7:$A$1000,$C39,'Oxford Economics'!$B$7:$B$1000,Settings!$B$11)-SUMIFS(INDEX('Oxford Economics'!$A$7:$AZ$1000,0,IFERROR(MATCH(AH$5,'Oxford Economics'!$A$6:$AZ$6,0),MATCH(AH$5&amp;"",'Oxford Economics'!$A$6:$AZ$6,0))),'Oxford Economics'!$A$7:$A$1000,$C39,'Oxford Economics'!$B$7:$B$1000,Settings!$B$13),SUMIFS(INDEX('Oxford Economics'!$A$7:$AZ$1000,0,IFERROR(MATCH(AH$5,'Oxford Economics'!$A$6:$AZ$6,0),MATCH(AH$5&amp;"",'Oxford Economics'!$A$6:$AZ$6,0))),'Oxford Economics'!$A$7:$A$1000,$C39,'Oxford Economics'!$B$7:$B$1000,Settings!$B$13)+SUMIFS(INDEX('Oxford Economics'!$A$7:$AZ$1000,0,IFERROR(MATCH(AH$5,'Oxford Economics'!$A$6:$AZ$6,0),MATCH(AH$5&amp;"",'Oxford Economics'!$A$6:$AZ$6,0))),'Oxford Economics'!$A$7:$A$1000,$C39,'Oxford Economics'!$B$7:$B$1000,Settings!$B$15)+IF(Settings!$B$17="",0,SUMIFS(INDEX('Oxford Economics'!$A$7:$AZ$1000,0,IFERROR(MATCH(AH$5,'Oxford Economics'!$A$6:$AZ$6,0),MATCH(AH$5&amp;"",'Oxford Economics'!$A$6:$AZ$6,0))),'Oxford Economics'!$A$7:$A$1000,$C39,'Oxford Economics'!$B$7:$B$1000,Settings!$B$17)))),""))</f>
        <v>4190.3</v>
      </c>
      <c r="AI39" s="37" t="n">
        <f aca="false">IF($A39="","",IFERROR(1/(1/IF($B39="Residential",SUMIFS(INDEX('Oxford Economics'!$A$7:$AZ$1000,0,IFERROR(MATCH(AI$5,'Oxford Economics'!$A$6:$AZ$6,0),MATCH(AI$5&amp;"",'Oxford Economics'!$A$6:$AZ$6,0))),'Oxford Economics'!$A$7:$A$1000,$C39,'Oxford Economics'!$B$7:$B$1000,Settings!$B$11)-SUMIFS(INDEX('Oxford Economics'!$A$7:$AZ$1000,0,IFERROR(MATCH(AI$5,'Oxford Economics'!$A$6:$AZ$6,0),MATCH(AI$5&amp;"",'Oxford Economics'!$A$6:$AZ$6,0))),'Oxford Economics'!$A$7:$A$1000,$C39,'Oxford Economics'!$B$7:$B$1000,Settings!$B$13),SUMIFS(INDEX('Oxford Economics'!$A$7:$AZ$1000,0,IFERROR(MATCH(AI$5,'Oxford Economics'!$A$6:$AZ$6,0),MATCH(AI$5&amp;"",'Oxford Economics'!$A$6:$AZ$6,0))),'Oxford Economics'!$A$7:$A$1000,$C39,'Oxford Economics'!$B$7:$B$1000,Settings!$B$13)+SUMIFS(INDEX('Oxford Economics'!$A$7:$AZ$1000,0,IFERROR(MATCH(AI$5,'Oxford Economics'!$A$6:$AZ$6,0),MATCH(AI$5&amp;"",'Oxford Economics'!$A$6:$AZ$6,0))),'Oxford Economics'!$A$7:$A$1000,$C39,'Oxford Economics'!$B$7:$B$1000,Settings!$B$15)+IF(Settings!$B$17="",0,SUMIFS(INDEX('Oxford Economics'!$A$7:$AZ$1000,0,IFERROR(MATCH(AI$5,'Oxford Economics'!$A$6:$AZ$6,0),MATCH(AI$5&amp;"",'Oxford Economics'!$A$6:$AZ$6,0))),'Oxford Economics'!$A$7:$A$1000,$C39,'Oxford Economics'!$B$7:$B$1000,Settings!$B$17)))),""))</f>
        <v>4302.04</v>
      </c>
      <c r="AJ39" s="37" t="n">
        <f aca="false">IF($A39="","",IFERROR(1/(1/IF($B39="Residential",SUMIFS(INDEX('Oxford Economics'!$A$7:$AZ$1000,0,IFERROR(MATCH(AJ$5,'Oxford Economics'!$A$6:$AZ$6,0),MATCH(AJ$5&amp;"",'Oxford Economics'!$A$6:$AZ$6,0))),'Oxford Economics'!$A$7:$A$1000,$C39,'Oxford Economics'!$B$7:$B$1000,Settings!$B$11)-SUMIFS(INDEX('Oxford Economics'!$A$7:$AZ$1000,0,IFERROR(MATCH(AJ$5,'Oxford Economics'!$A$6:$AZ$6,0),MATCH(AJ$5&amp;"",'Oxford Economics'!$A$6:$AZ$6,0))),'Oxford Economics'!$A$7:$A$1000,$C39,'Oxford Economics'!$B$7:$B$1000,Settings!$B$13),SUMIFS(INDEX('Oxford Economics'!$A$7:$AZ$1000,0,IFERROR(MATCH(AJ$5,'Oxford Economics'!$A$6:$AZ$6,0),MATCH(AJ$5&amp;"",'Oxford Economics'!$A$6:$AZ$6,0))),'Oxford Economics'!$A$7:$A$1000,$C39,'Oxford Economics'!$B$7:$B$1000,Settings!$B$13)+SUMIFS(INDEX('Oxford Economics'!$A$7:$AZ$1000,0,IFERROR(MATCH(AJ$5,'Oxford Economics'!$A$6:$AZ$6,0),MATCH(AJ$5&amp;"",'Oxford Economics'!$A$6:$AZ$6,0))),'Oxford Economics'!$A$7:$A$1000,$C39,'Oxford Economics'!$B$7:$B$1000,Settings!$B$15)+IF(Settings!$B$17="",0,SUMIFS(INDEX('Oxford Economics'!$A$7:$AZ$1000,0,IFERROR(MATCH(AJ$5,'Oxford Economics'!$A$6:$AZ$6,0),MATCH(AJ$5&amp;"",'Oxford Economics'!$A$6:$AZ$6,0))),'Oxford Economics'!$A$7:$A$1000,$C39,'Oxford Economics'!$B$7:$B$1000,Settings!$B$17)))),""))</f>
        <v>4383.88</v>
      </c>
      <c r="AK39" s="37" t="n">
        <f aca="false">IF($A39="","",IFERROR(1/(1/IF($B39="Residential",SUMIFS(INDEX('Oxford Economics'!$A$7:$AZ$1000,0,IFERROR(MATCH(AK$5,'Oxford Economics'!$A$6:$AZ$6,0),MATCH(AK$5&amp;"",'Oxford Economics'!$A$6:$AZ$6,0))),'Oxford Economics'!$A$7:$A$1000,$C39,'Oxford Economics'!$B$7:$B$1000,Settings!$B$11)-SUMIFS(INDEX('Oxford Economics'!$A$7:$AZ$1000,0,IFERROR(MATCH(AK$5,'Oxford Economics'!$A$6:$AZ$6,0),MATCH(AK$5&amp;"",'Oxford Economics'!$A$6:$AZ$6,0))),'Oxford Economics'!$A$7:$A$1000,$C39,'Oxford Economics'!$B$7:$B$1000,Settings!$B$13),SUMIFS(INDEX('Oxford Economics'!$A$7:$AZ$1000,0,IFERROR(MATCH(AK$5,'Oxford Economics'!$A$6:$AZ$6,0),MATCH(AK$5&amp;"",'Oxford Economics'!$A$6:$AZ$6,0))),'Oxford Economics'!$A$7:$A$1000,$C39,'Oxford Economics'!$B$7:$B$1000,Settings!$B$13)+SUMIFS(INDEX('Oxford Economics'!$A$7:$AZ$1000,0,IFERROR(MATCH(AK$5,'Oxford Economics'!$A$6:$AZ$6,0),MATCH(AK$5&amp;"",'Oxford Economics'!$A$6:$AZ$6,0))),'Oxford Economics'!$A$7:$A$1000,$C39,'Oxford Economics'!$B$7:$B$1000,Settings!$B$15)+IF(Settings!$B$17="",0,SUMIFS(INDEX('Oxford Economics'!$A$7:$AZ$1000,0,IFERROR(MATCH(AK$5,'Oxford Economics'!$A$6:$AZ$6,0),MATCH(AK$5&amp;"",'Oxford Economics'!$A$6:$AZ$6,0))),'Oxford Economics'!$A$7:$A$1000,$C39,'Oxford Economics'!$B$7:$B$1000,Settings!$B$17)))),""))</f>
        <v>4474.59</v>
      </c>
      <c r="AL39" s="37" t="n">
        <f aca="false">IF($A39="","",IFERROR(1/(1/IF($B39="Residential",SUMIFS(INDEX('Oxford Economics'!$A$7:$AZ$1000,0,IFERROR(MATCH(AL$5,'Oxford Economics'!$A$6:$AZ$6,0),MATCH(AL$5&amp;"",'Oxford Economics'!$A$6:$AZ$6,0))),'Oxford Economics'!$A$7:$A$1000,$C39,'Oxford Economics'!$B$7:$B$1000,Settings!$B$11)-SUMIFS(INDEX('Oxford Economics'!$A$7:$AZ$1000,0,IFERROR(MATCH(AL$5,'Oxford Economics'!$A$6:$AZ$6,0),MATCH(AL$5&amp;"",'Oxford Economics'!$A$6:$AZ$6,0))),'Oxford Economics'!$A$7:$A$1000,$C39,'Oxford Economics'!$B$7:$B$1000,Settings!$B$13),SUMIFS(INDEX('Oxford Economics'!$A$7:$AZ$1000,0,IFERROR(MATCH(AL$5,'Oxford Economics'!$A$6:$AZ$6,0),MATCH(AL$5&amp;"",'Oxford Economics'!$A$6:$AZ$6,0))),'Oxford Economics'!$A$7:$A$1000,$C39,'Oxford Economics'!$B$7:$B$1000,Settings!$B$13)+SUMIFS(INDEX('Oxford Economics'!$A$7:$AZ$1000,0,IFERROR(MATCH(AL$5,'Oxford Economics'!$A$6:$AZ$6,0),MATCH(AL$5&amp;"",'Oxford Economics'!$A$6:$AZ$6,0))),'Oxford Economics'!$A$7:$A$1000,$C39,'Oxford Economics'!$B$7:$B$1000,Settings!$B$15)+IF(Settings!$B$17="",0,SUMIFS(INDEX('Oxford Economics'!$A$7:$AZ$1000,0,IFERROR(MATCH(AL$5,'Oxford Economics'!$A$6:$AZ$6,0),MATCH(AL$5&amp;"",'Oxford Economics'!$A$6:$AZ$6,0))),'Oxford Economics'!$A$7:$A$1000,$C39,'Oxford Economics'!$B$7:$B$1000,Settings!$B$17)))),""))</f>
        <v>4603.53</v>
      </c>
      <c r="AM39" s="37" t="n">
        <f aca="false">IF($A39="","",IFERROR(1/(1/IF($B39="Residential",SUMIFS(INDEX('Oxford Economics'!$A$7:$AZ$1000,0,IFERROR(MATCH(AM$5,'Oxford Economics'!$A$6:$AZ$6,0),MATCH(AM$5&amp;"",'Oxford Economics'!$A$6:$AZ$6,0))),'Oxford Economics'!$A$7:$A$1000,$C39,'Oxford Economics'!$B$7:$B$1000,Settings!$B$11)-SUMIFS(INDEX('Oxford Economics'!$A$7:$AZ$1000,0,IFERROR(MATCH(AM$5,'Oxford Economics'!$A$6:$AZ$6,0),MATCH(AM$5&amp;"",'Oxford Economics'!$A$6:$AZ$6,0))),'Oxford Economics'!$A$7:$A$1000,$C39,'Oxford Economics'!$B$7:$B$1000,Settings!$B$13),SUMIFS(INDEX('Oxford Economics'!$A$7:$AZ$1000,0,IFERROR(MATCH(AM$5,'Oxford Economics'!$A$6:$AZ$6,0),MATCH(AM$5&amp;"",'Oxford Economics'!$A$6:$AZ$6,0))),'Oxford Economics'!$A$7:$A$1000,$C39,'Oxford Economics'!$B$7:$B$1000,Settings!$B$13)+SUMIFS(INDEX('Oxford Economics'!$A$7:$AZ$1000,0,IFERROR(MATCH(AM$5,'Oxford Economics'!$A$6:$AZ$6,0),MATCH(AM$5&amp;"",'Oxford Economics'!$A$6:$AZ$6,0))),'Oxford Economics'!$A$7:$A$1000,$C39,'Oxford Economics'!$B$7:$B$1000,Settings!$B$15)+IF(Settings!$B$17="",0,SUMIFS(INDEX('Oxford Economics'!$A$7:$AZ$1000,0,IFERROR(MATCH(AM$5,'Oxford Economics'!$A$6:$AZ$6,0),MATCH(AM$5&amp;"",'Oxford Economics'!$A$6:$AZ$6,0))),'Oxford Economics'!$A$7:$A$1000,$C39,'Oxford Economics'!$B$7:$B$1000,Settings!$B$17)))),""))</f>
        <v>4698.88</v>
      </c>
    </row>
    <row r="40" customFormat="false" ht="15" hidden="false" customHeight="false" outlineLevel="0" collapsed="false">
      <c r="A40" s="36" t="str">
        <f aca="false">IF('Raw data'!$A40="","",'Raw data'!$A40)</f>
        <v/>
      </c>
      <c r="B40" s="36" t="str">
        <f aca="false">IF($A40="","",'Raw data'!$C40)</f>
        <v/>
      </c>
      <c r="C40" s="36" t="str">
        <f aca="false">IF($A40="","",IF('Raw data'!$D40="",$A40,'Raw data'!$D40))</f>
        <v/>
      </c>
      <c r="D40" s="37" t="str">
        <f aca="false">IF($A40="","",IF(AND(ISNUMBER(P40),ISNUMBER(AB40)),P40+AB40,""))</f>
        <v/>
      </c>
      <c r="E40" s="37" t="str">
        <f aca="false">IF($A40="","",IF(AND(ISNUMBER(Q40),ISNUMBER(AC40)),Q40+AC40,""))</f>
        <v/>
      </c>
      <c r="F40" s="37" t="str">
        <f aca="false">IF($A40="","",IF(AND(ISNUMBER(R40),ISNUMBER(AD40)),R40+AD40,""))</f>
        <v/>
      </c>
      <c r="G40" s="37" t="str">
        <f aca="false">IF($A40="","",IF(AND(ISNUMBER(S40),ISNUMBER(AE40)),S40+AE40,""))</f>
        <v/>
      </c>
      <c r="H40" s="37" t="str">
        <f aca="false">IF($A40="","",IF(AND(ISNUMBER(T40),ISNUMBER(AF40)),T40+AF40,""))</f>
        <v/>
      </c>
      <c r="I40" s="37" t="str">
        <f aca="false">IF($A40="","",IF(AND(ISNUMBER(U40),ISNUMBER(AG40)),U40+AG40,""))</f>
        <v/>
      </c>
      <c r="J40" s="37" t="str">
        <f aca="false">IF($A40="","",IF(AND(ISNUMBER(V40),ISNUMBER(AH40)),V40+AH40,""))</f>
        <v/>
      </c>
      <c r="K40" s="37" t="str">
        <f aca="false">IF($A40="","",IF(AND(ISNUMBER(W40),ISNUMBER(AI40)),W40+AI40,""))</f>
        <v/>
      </c>
      <c r="L40" s="37" t="str">
        <f aca="false">IF($A40="","",IF(AND(ISNUMBER(X40),ISNUMBER(AJ40)),X40+AJ40,""))</f>
        <v/>
      </c>
      <c r="M40" s="37" t="str">
        <f aca="false">IF($A40="","",IF(AND(ISNUMBER(Y40),ISNUMBER(AK40)),Y40+AK40,""))</f>
        <v/>
      </c>
      <c r="N40" s="37" t="str">
        <f aca="false">IF($A40="","",IF(AND(ISNUMBER(Z40),ISNUMBER(AL40)),Z40+AL40,""))</f>
        <v/>
      </c>
      <c r="O40" s="37" t="str">
        <f aca="false">IF($A40="","",IF(AND(ISNUMBER(AA40),ISNUMBER(AM40)),AA40+AM40,""))</f>
        <v/>
      </c>
      <c r="P40" s="37" t="str">
        <f aca="false">IF($A40="","",IFERROR(1/(1/IF($B40="Residential",SUMIFS(INDEX('Oxford Economics'!$A$7:$AZ$1000,0,IFERROR(MATCH(P$5,'Oxford Economics'!$A$6:$AZ$6,0),MATCH(P$5&amp;"",'Oxford Economics'!$A$6:$AZ$6,0))),'Oxford Economics'!$A$7:$A$1000,$C40,'Oxford Economics'!$B$7:$B$1000,Settings!$B$12)-SUMIFS(INDEX('Oxford Economics'!$A$7:$AZ$1000,0,IFERROR(MATCH(P$5,'Oxford Economics'!$A$6:$AZ$6,0),MATCH(P$5&amp;"",'Oxford Economics'!$A$6:$AZ$6,0))),'Oxford Economics'!$A$7:$A$1000,$C40,'Oxford Economics'!$B$7:$B$1000,Settings!$B$14),SUMIFS(INDEX('Oxford Economics'!$A$7:$AZ$1000,0,IFERROR(MATCH(P$5,'Oxford Economics'!$A$6:$AZ$6,0),MATCH(P$5&amp;"",'Oxford Economics'!$A$6:$AZ$6,0))),'Oxford Economics'!$A$7:$A$1000,$C40,'Oxford Economics'!$B$7:$B$1000,Settings!$B$14)+SUMIFS(INDEX('Oxford Economics'!$A$7:$AZ$1000,0,IFERROR(MATCH(P$5,'Oxford Economics'!$A$6:$AZ$6,0),MATCH(P$5&amp;"",'Oxford Economics'!$A$6:$AZ$6,0))),'Oxford Economics'!$A$7:$A$1000,$C40,'Oxford Economics'!$B$7:$B$1000,Settings!$B$16)+IF(Settings!$B$18="",0,SUMIFS(INDEX('Oxford Economics'!$A$7:$AZ$1000,0,IFERROR(MATCH(P$5,'Oxford Economics'!$A$6:$AZ$6,0),MATCH(P$5&amp;"",'Oxford Economics'!$A$6:$AZ$6,0))),'Oxford Economics'!$A$7:$A$1000,$C40,'Oxford Economics'!$B$7:$B$1000,Settings!$B$18)))),""))</f>
        <v/>
      </c>
      <c r="Q40" s="37" t="str">
        <f aca="false">IF($A40="","",IFERROR(1/(1/IF($B40="Residential",SUMIFS(INDEX('Oxford Economics'!$A$7:$AZ$1000,0,IFERROR(MATCH(Q$5,'Oxford Economics'!$A$6:$AZ$6,0),MATCH(Q$5&amp;"",'Oxford Economics'!$A$6:$AZ$6,0))),'Oxford Economics'!$A$7:$A$1000,$C40,'Oxford Economics'!$B$7:$B$1000,Settings!$B$12)-SUMIFS(INDEX('Oxford Economics'!$A$7:$AZ$1000,0,IFERROR(MATCH(Q$5,'Oxford Economics'!$A$6:$AZ$6,0),MATCH(Q$5&amp;"",'Oxford Economics'!$A$6:$AZ$6,0))),'Oxford Economics'!$A$7:$A$1000,$C40,'Oxford Economics'!$B$7:$B$1000,Settings!$B$14),SUMIFS(INDEX('Oxford Economics'!$A$7:$AZ$1000,0,IFERROR(MATCH(Q$5,'Oxford Economics'!$A$6:$AZ$6,0),MATCH(Q$5&amp;"",'Oxford Economics'!$A$6:$AZ$6,0))),'Oxford Economics'!$A$7:$A$1000,$C40,'Oxford Economics'!$B$7:$B$1000,Settings!$B$14)+SUMIFS(INDEX('Oxford Economics'!$A$7:$AZ$1000,0,IFERROR(MATCH(Q$5,'Oxford Economics'!$A$6:$AZ$6,0),MATCH(Q$5&amp;"",'Oxford Economics'!$A$6:$AZ$6,0))),'Oxford Economics'!$A$7:$A$1000,$C40,'Oxford Economics'!$B$7:$B$1000,Settings!$B$16)+IF(Settings!$B$18="",0,SUMIFS(INDEX('Oxford Economics'!$A$7:$AZ$1000,0,IFERROR(MATCH(Q$5,'Oxford Economics'!$A$6:$AZ$6,0),MATCH(Q$5&amp;"",'Oxford Economics'!$A$6:$AZ$6,0))),'Oxford Economics'!$A$7:$A$1000,$C40,'Oxford Economics'!$B$7:$B$1000,Settings!$B$18)))),""))</f>
        <v/>
      </c>
      <c r="R40" s="37" t="str">
        <f aca="false">IF($A40="","",IFERROR(1/(1/IF($B40="Residential",SUMIFS(INDEX('Oxford Economics'!$A$7:$AZ$1000,0,IFERROR(MATCH(R$5,'Oxford Economics'!$A$6:$AZ$6,0),MATCH(R$5&amp;"",'Oxford Economics'!$A$6:$AZ$6,0))),'Oxford Economics'!$A$7:$A$1000,$C40,'Oxford Economics'!$B$7:$B$1000,Settings!$B$12)-SUMIFS(INDEX('Oxford Economics'!$A$7:$AZ$1000,0,IFERROR(MATCH(R$5,'Oxford Economics'!$A$6:$AZ$6,0),MATCH(R$5&amp;"",'Oxford Economics'!$A$6:$AZ$6,0))),'Oxford Economics'!$A$7:$A$1000,$C40,'Oxford Economics'!$B$7:$B$1000,Settings!$B$14),SUMIFS(INDEX('Oxford Economics'!$A$7:$AZ$1000,0,IFERROR(MATCH(R$5,'Oxford Economics'!$A$6:$AZ$6,0),MATCH(R$5&amp;"",'Oxford Economics'!$A$6:$AZ$6,0))),'Oxford Economics'!$A$7:$A$1000,$C40,'Oxford Economics'!$B$7:$B$1000,Settings!$B$14)+SUMIFS(INDEX('Oxford Economics'!$A$7:$AZ$1000,0,IFERROR(MATCH(R$5,'Oxford Economics'!$A$6:$AZ$6,0),MATCH(R$5&amp;"",'Oxford Economics'!$A$6:$AZ$6,0))),'Oxford Economics'!$A$7:$A$1000,$C40,'Oxford Economics'!$B$7:$B$1000,Settings!$B$16)+IF(Settings!$B$18="",0,SUMIFS(INDEX('Oxford Economics'!$A$7:$AZ$1000,0,IFERROR(MATCH(R$5,'Oxford Economics'!$A$6:$AZ$6,0),MATCH(R$5&amp;"",'Oxford Economics'!$A$6:$AZ$6,0))),'Oxford Economics'!$A$7:$A$1000,$C40,'Oxford Economics'!$B$7:$B$1000,Settings!$B$18)))),""))</f>
        <v/>
      </c>
      <c r="S40" s="37" t="str">
        <f aca="false">IF($A40="","",IFERROR(1/(1/IF($B40="Residential",SUMIFS(INDEX('Oxford Economics'!$A$7:$AZ$1000,0,IFERROR(MATCH(S$5,'Oxford Economics'!$A$6:$AZ$6,0),MATCH(S$5&amp;"",'Oxford Economics'!$A$6:$AZ$6,0))),'Oxford Economics'!$A$7:$A$1000,$C40,'Oxford Economics'!$B$7:$B$1000,Settings!$B$12)-SUMIFS(INDEX('Oxford Economics'!$A$7:$AZ$1000,0,IFERROR(MATCH(S$5,'Oxford Economics'!$A$6:$AZ$6,0),MATCH(S$5&amp;"",'Oxford Economics'!$A$6:$AZ$6,0))),'Oxford Economics'!$A$7:$A$1000,$C40,'Oxford Economics'!$B$7:$B$1000,Settings!$B$14),SUMIFS(INDEX('Oxford Economics'!$A$7:$AZ$1000,0,IFERROR(MATCH(S$5,'Oxford Economics'!$A$6:$AZ$6,0),MATCH(S$5&amp;"",'Oxford Economics'!$A$6:$AZ$6,0))),'Oxford Economics'!$A$7:$A$1000,$C40,'Oxford Economics'!$B$7:$B$1000,Settings!$B$14)+SUMIFS(INDEX('Oxford Economics'!$A$7:$AZ$1000,0,IFERROR(MATCH(S$5,'Oxford Economics'!$A$6:$AZ$6,0),MATCH(S$5&amp;"",'Oxford Economics'!$A$6:$AZ$6,0))),'Oxford Economics'!$A$7:$A$1000,$C40,'Oxford Economics'!$B$7:$B$1000,Settings!$B$16)+IF(Settings!$B$18="",0,SUMIFS(INDEX('Oxford Economics'!$A$7:$AZ$1000,0,IFERROR(MATCH(S$5,'Oxford Economics'!$A$6:$AZ$6,0),MATCH(S$5&amp;"",'Oxford Economics'!$A$6:$AZ$6,0))),'Oxford Economics'!$A$7:$A$1000,$C40,'Oxford Economics'!$B$7:$B$1000,Settings!$B$18)))),""))</f>
        <v/>
      </c>
      <c r="T40" s="37" t="str">
        <f aca="false">IF($A40="","",IFERROR(1/(1/IF($B40="Residential",SUMIFS(INDEX('Oxford Economics'!$A$7:$AZ$1000,0,IFERROR(MATCH(T$5,'Oxford Economics'!$A$6:$AZ$6,0),MATCH(T$5&amp;"",'Oxford Economics'!$A$6:$AZ$6,0))),'Oxford Economics'!$A$7:$A$1000,$C40,'Oxford Economics'!$B$7:$B$1000,Settings!$B$12)-SUMIFS(INDEX('Oxford Economics'!$A$7:$AZ$1000,0,IFERROR(MATCH(T$5,'Oxford Economics'!$A$6:$AZ$6,0),MATCH(T$5&amp;"",'Oxford Economics'!$A$6:$AZ$6,0))),'Oxford Economics'!$A$7:$A$1000,$C40,'Oxford Economics'!$B$7:$B$1000,Settings!$B$14),SUMIFS(INDEX('Oxford Economics'!$A$7:$AZ$1000,0,IFERROR(MATCH(T$5,'Oxford Economics'!$A$6:$AZ$6,0),MATCH(T$5&amp;"",'Oxford Economics'!$A$6:$AZ$6,0))),'Oxford Economics'!$A$7:$A$1000,$C40,'Oxford Economics'!$B$7:$B$1000,Settings!$B$14)+SUMIFS(INDEX('Oxford Economics'!$A$7:$AZ$1000,0,IFERROR(MATCH(T$5,'Oxford Economics'!$A$6:$AZ$6,0),MATCH(T$5&amp;"",'Oxford Economics'!$A$6:$AZ$6,0))),'Oxford Economics'!$A$7:$A$1000,$C40,'Oxford Economics'!$B$7:$B$1000,Settings!$B$16)+IF(Settings!$B$18="",0,SUMIFS(INDEX('Oxford Economics'!$A$7:$AZ$1000,0,IFERROR(MATCH(T$5,'Oxford Economics'!$A$6:$AZ$6,0),MATCH(T$5&amp;"",'Oxford Economics'!$A$6:$AZ$6,0))),'Oxford Economics'!$A$7:$A$1000,$C40,'Oxford Economics'!$B$7:$B$1000,Settings!$B$18)))),""))</f>
        <v/>
      </c>
      <c r="U40" s="37" t="str">
        <f aca="false">IF($A40="","",IFERROR(1/(1/IF($B40="Residential",SUMIFS(INDEX('Oxford Economics'!$A$7:$AZ$1000,0,IFERROR(MATCH(U$5,'Oxford Economics'!$A$6:$AZ$6,0),MATCH(U$5&amp;"",'Oxford Economics'!$A$6:$AZ$6,0))),'Oxford Economics'!$A$7:$A$1000,$C40,'Oxford Economics'!$B$7:$B$1000,Settings!$B$12)-SUMIFS(INDEX('Oxford Economics'!$A$7:$AZ$1000,0,IFERROR(MATCH(U$5,'Oxford Economics'!$A$6:$AZ$6,0),MATCH(U$5&amp;"",'Oxford Economics'!$A$6:$AZ$6,0))),'Oxford Economics'!$A$7:$A$1000,$C40,'Oxford Economics'!$B$7:$B$1000,Settings!$B$14),SUMIFS(INDEX('Oxford Economics'!$A$7:$AZ$1000,0,IFERROR(MATCH(U$5,'Oxford Economics'!$A$6:$AZ$6,0),MATCH(U$5&amp;"",'Oxford Economics'!$A$6:$AZ$6,0))),'Oxford Economics'!$A$7:$A$1000,$C40,'Oxford Economics'!$B$7:$B$1000,Settings!$B$14)+SUMIFS(INDEX('Oxford Economics'!$A$7:$AZ$1000,0,IFERROR(MATCH(U$5,'Oxford Economics'!$A$6:$AZ$6,0),MATCH(U$5&amp;"",'Oxford Economics'!$A$6:$AZ$6,0))),'Oxford Economics'!$A$7:$A$1000,$C40,'Oxford Economics'!$B$7:$B$1000,Settings!$B$16)+IF(Settings!$B$18="",0,SUMIFS(INDEX('Oxford Economics'!$A$7:$AZ$1000,0,IFERROR(MATCH(U$5,'Oxford Economics'!$A$6:$AZ$6,0),MATCH(U$5&amp;"",'Oxford Economics'!$A$6:$AZ$6,0))),'Oxford Economics'!$A$7:$A$1000,$C40,'Oxford Economics'!$B$7:$B$1000,Settings!$B$18)))),""))</f>
        <v/>
      </c>
      <c r="V40" s="37" t="str">
        <f aca="false">IF($A40="","",IFERROR(1/(1/IF($B40="Residential",SUMIFS(INDEX('Oxford Economics'!$A$7:$AZ$1000,0,IFERROR(MATCH(V$5,'Oxford Economics'!$A$6:$AZ$6,0),MATCH(V$5&amp;"",'Oxford Economics'!$A$6:$AZ$6,0))),'Oxford Economics'!$A$7:$A$1000,$C40,'Oxford Economics'!$B$7:$B$1000,Settings!$B$12)-SUMIFS(INDEX('Oxford Economics'!$A$7:$AZ$1000,0,IFERROR(MATCH(V$5,'Oxford Economics'!$A$6:$AZ$6,0),MATCH(V$5&amp;"",'Oxford Economics'!$A$6:$AZ$6,0))),'Oxford Economics'!$A$7:$A$1000,$C40,'Oxford Economics'!$B$7:$B$1000,Settings!$B$14),SUMIFS(INDEX('Oxford Economics'!$A$7:$AZ$1000,0,IFERROR(MATCH(V$5,'Oxford Economics'!$A$6:$AZ$6,0),MATCH(V$5&amp;"",'Oxford Economics'!$A$6:$AZ$6,0))),'Oxford Economics'!$A$7:$A$1000,$C40,'Oxford Economics'!$B$7:$B$1000,Settings!$B$14)+SUMIFS(INDEX('Oxford Economics'!$A$7:$AZ$1000,0,IFERROR(MATCH(V$5,'Oxford Economics'!$A$6:$AZ$6,0),MATCH(V$5&amp;"",'Oxford Economics'!$A$6:$AZ$6,0))),'Oxford Economics'!$A$7:$A$1000,$C40,'Oxford Economics'!$B$7:$B$1000,Settings!$B$16)+IF(Settings!$B$18="",0,SUMIFS(INDEX('Oxford Economics'!$A$7:$AZ$1000,0,IFERROR(MATCH(V$5,'Oxford Economics'!$A$6:$AZ$6,0),MATCH(V$5&amp;"",'Oxford Economics'!$A$6:$AZ$6,0))),'Oxford Economics'!$A$7:$A$1000,$C40,'Oxford Economics'!$B$7:$B$1000,Settings!$B$18)))),""))</f>
        <v/>
      </c>
      <c r="W40" s="37" t="str">
        <f aca="false">IF($A40="","",IFERROR(1/(1/IF($B40="Residential",SUMIFS(INDEX('Oxford Economics'!$A$7:$AZ$1000,0,IFERROR(MATCH(W$5,'Oxford Economics'!$A$6:$AZ$6,0),MATCH(W$5&amp;"",'Oxford Economics'!$A$6:$AZ$6,0))),'Oxford Economics'!$A$7:$A$1000,$C40,'Oxford Economics'!$B$7:$B$1000,Settings!$B$12)-SUMIFS(INDEX('Oxford Economics'!$A$7:$AZ$1000,0,IFERROR(MATCH(W$5,'Oxford Economics'!$A$6:$AZ$6,0),MATCH(W$5&amp;"",'Oxford Economics'!$A$6:$AZ$6,0))),'Oxford Economics'!$A$7:$A$1000,$C40,'Oxford Economics'!$B$7:$B$1000,Settings!$B$14),SUMIFS(INDEX('Oxford Economics'!$A$7:$AZ$1000,0,IFERROR(MATCH(W$5,'Oxford Economics'!$A$6:$AZ$6,0),MATCH(W$5&amp;"",'Oxford Economics'!$A$6:$AZ$6,0))),'Oxford Economics'!$A$7:$A$1000,$C40,'Oxford Economics'!$B$7:$B$1000,Settings!$B$14)+SUMIFS(INDEX('Oxford Economics'!$A$7:$AZ$1000,0,IFERROR(MATCH(W$5,'Oxford Economics'!$A$6:$AZ$6,0),MATCH(W$5&amp;"",'Oxford Economics'!$A$6:$AZ$6,0))),'Oxford Economics'!$A$7:$A$1000,$C40,'Oxford Economics'!$B$7:$B$1000,Settings!$B$16)+IF(Settings!$B$18="",0,SUMIFS(INDEX('Oxford Economics'!$A$7:$AZ$1000,0,IFERROR(MATCH(W$5,'Oxford Economics'!$A$6:$AZ$6,0),MATCH(W$5&amp;"",'Oxford Economics'!$A$6:$AZ$6,0))),'Oxford Economics'!$A$7:$A$1000,$C40,'Oxford Economics'!$B$7:$B$1000,Settings!$B$18)))),""))</f>
        <v/>
      </c>
      <c r="X40" s="37" t="str">
        <f aca="false">IF($A40="","",IFERROR(1/(1/IF($B40="Residential",SUMIFS(INDEX('Oxford Economics'!$A$7:$AZ$1000,0,IFERROR(MATCH(X$5,'Oxford Economics'!$A$6:$AZ$6,0),MATCH(X$5&amp;"",'Oxford Economics'!$A$6:$AZ$6,0))),'Oxford Economics'!$A$7:$A$1000,$C40,'Oxford Economics'!$B$7:$B$1000,Settings!$B$12)-SUMIFS(INDEX('Oxford Economics'!$A$7:$AZ$1000,0,IFERROR(MATCH(X$5,'Oxford Economics'!$A$6:$AZ$6,0),MATCH(X$5&amp;"",'Oxford Economics'!$A$6:$AZ$6,0))),'Oxford Economics'!$A$7:$A$1000,$C40,'Oxford Economics'!$B$7:$B$1000,Settings!$B$14),SUMIFS(INDEX('Oxford Economics'!$A$7:$AZ$1000,0,IFERROR(MATCH(X$5,'Oxford Economics'!$A$6:$AZ$6,0),MATCH(X$5&amp;"",'Oxford Economics'!$A$6:$AZ$6,0))),'Oxford Economics'!$A$7:$A$1000,$C40,'Oxford Economics'!$B$7:$B$1000,Settings!$B$14)+SUMIFS(INDEX('Oxford Economics'!$A$7:$AZ$1000,0,IFERROR(MATCH(X$5,'Oxford Economics'!$A$6:$AZ$6,0),MATCH(X$5&amp;"",'Oxford Economics'!$A$6:$AZ$6,0))),'Oxford Economics'!$A$7:$A$1000,$C40,'Oxford Economics'!$B$7:$B$1000,Settings!$B$16)+IF(Settings!$B$18="",0,SUMIFS(INDEX('Oxford Economics'!$A$7:$AZ$1000,0,IFERROR(MATCH(X$5,'Oxford Economics'!$A$6:$AZ$6,0),MATCH(X$5&amp;"",'Oxford Economics'!$A$6:$AZ$6,0))),'Oxford Economics'!$A$7:$A$1000,$C40,'Oxford Economics'!$B$7:$B$1000,Settings!$B$18)))),""))</f>
        <v/>
      </c>
      <c r="Y40" s="37" t="str">
        <f aca="false">IF($A40="","",IFERROR(1/(1/IF($B40="Residential",SUMIFS(INDEX('Oxford Economics'!$A$7:$AZ$1000,0,IFERROR(MATCH(Y$5,'Oxford Economics'!$A$6:$AZ$6,0),MATCH(Y$5&amp;"",'Oxford Economics'!$A$6:$AZ$6,0))),'Oxford Economics'!$A$7:$A$1000,$C40,'Oxford Economics'!$B$7:$B$1000,Settings!$B$12)-SUMIFS(INDEX('Oxford Economics'!$A$7:$AZ$1000,0,IFERROR(MATCH(Y$5,'Oxford Economics'!$A$6:$AZ$6,0),MATCH(Y$5&amp;"",'Oxford Economics'!$A$6:$AZ$6,0))),'Oxford Economics'!$A$7:$A$1000,$C40,'Oxford Economics'!$B$7:$B$1000,Settings!$B$14),SUMIFS(INDEX('Oxford Economics'!$A$7:$AZ$1000,0,IFERROR(MATCH(Y$5,'Oxford Economics'!$A$6:$AZ$6,0),MATCH(Y$5&amp;"",'Oxford Economics'!$A$6:$AZ$6,0))),'Oxford Economics'!$A$7:$A$1000,$C40,'Oxford Economics'!$B$7:$B$1000,Settings!$B$14)+SUMIFS(INDEX('Oxford Economics'!$A$7:$AZ$1000,0,IFERROR(MATCH(Y$5,'Oxford Economics'!$A$6:$AZ$6,0),MATCH(Y$5&amp;"",'Oxford Economics'!$A$6:$AZ$6,0))),'Oxford Economics'!$A$7:$A$1000,$C40,'Oxford Economics'!$B$7:$B$1000,Settings!$B$16)+IF(Settings!$B$18="",0,SUMIFS(INDEX('Oxford Economics'!$A$7:$AZ$1000,0,IFERROR(MATCH(Y$5,'Oxford Economics'!$A$6:$AZ$6,0),MATCH(Y$5&amp;"",'Oxford Economics'!$A$6:$AZ$6,0))),'Oxford Economics'!$A$7:$A$1000,$C40,'Oxford Economics'!$B$7:$B$1000,Settings!$B$18)))),""))</f>
        <v/>
      </c>
      <c r="Z40" s="37" t="str">
        <f aca="false">IF($A40="","",IFERROR(1/(1/IF($B40="Residential",SUMIFS(INDEX('Oxford Economics'!$A$7:$AZ$1000,0,IFERROR(MATCH(Z$5,'Oxford Economics'!$A$6:$AZ$6,0),MATCH(Z$5&amp;"",'Oxford Economics'!$A$6:$AZ$6,0))),'Oxford Economics'!$A$7:$A$1000,$C40,'Oxford Economics'!$B$7:$B$1000,Settings!$B$12)-SUMIFS(INDEX('Oxford Economics'!$A$7:$AZ$1000,0,IFERROR(MATCH(Z$5,'Oxford Economics'!$A$6:$AZ$6,0),MATCH(Z$5&amp;"",'Oxford Economics'!$A$6:$AZ$6,0))),'Oxford Economics'!$A$7:$A$1000,$C40,'Oxford Economics'!$B$7:$B$1000,Settings!$B$14),SUMIFS(INDEX('Oxford Economics'!$A$7:$AZ$1000,0,IFERROR(MATCH(Z$5,'Oxford Economics'!$A$6:$AZ$6,0),MATCH(Z$5&amp;"",'Oxford Economics'!$A$6:$AZ$6,0))),'Oxford Economics'!$A$7:$A$1000,$C40,'Oxford Economics'!$B$7:$B$1000,Settings!$B$14)+SUMIFS(INDEX('Oxford Economics'!$A$7:$AZ$1000,0,IFERROR(MATCH(Z$5,'Oxford Economics'!$A$6:$AZ$6,0),MATCH(Z$5&amp;"",'Oxford Economics'!$A$6:$AZ$6,0))),'Oxford Economics'!$A$7:$A$1000,$C40,'Oxford Economics'!$B$7:$B$1000,Settings!$B$16)+IF(Settings!$B$18="",0,SUMIFS(INDEX('Oxford Economics'!$A$7:$AZ$1000,0,IFERROR(MATCH(Z$5,'Oxford Economics'!$A$6:$AZ$6,0),MATCH(Z$5&amp;"",'Oxford Economics'!$A$6:$AZ$6,0))),'Oxford Economics'!$A$7:$A$1000,$C40,'Oxford Economics'!$B$7:$B$1000,Settings!$B$18)))),""))</f>
        <v/>
      </c>
      <c r="AA40" s="37" t="str">
        <f aca="false">IF($A40="","",IFERROR(1/(1/IF($B40="Residential",SUMIFS(INDEX('Oxford Economics'!$A$7:$AZ$1000,0,IFERROR(MATCH(AA$5,'Oxford Economics'!$A$6:$AZ$6,0),MATCH(AA$5&amp;"",'Oxford Economics'!$A$6:$AZ$6,0))),'Oxford Economics'!$A$7:$A$1000,$C40,'Oxford Economics'!$B$7:$B$1000,Settings!$B$12)-SUMIFS(INDEX('Oxford Economics'!$A$7:$AZ$1000,0,IFERROR(MATCH(AA$5,'Oxford Economics'!$A$6:$AZ$6,0),MATCH(AA$5&amp;"",'Oxford Economics'!$A$6:$AZ$6,0))),'Oxford Economics'!$A$7:$A$1000,$C40,'Oxford Economics'!$B$7:$B$1000,Settings!$B$14),SUMIFS(INDEX('Oxford Economics'!$A$7:$AZ$1000,0,IFERROR(MATCH(AA$5,'Oxford Economics'!$A$6:$AZ$6,0),MATCH(AA$5&amp;"",'Oxford Economics'!$A$6:$AZ$6,0))),'Oxford Economics'!$A$7:$A$1000,$C40,'Oxford Economics'!$B$7:$B$1000,Settings!$B$14)+SUMIFS(INDEX('Oxford Economics'!$A$7:$AZ$1000,0,IFERROR(MATCH(AA$5,'Oxford Economics'!$A$6:$AZ$6,0),MATCH(AA$5&amp;"",'Oxford Economics'!$A$6:$AZ$6,0))),'Oxford Economics'!$A$7:$A$1000,$C40,'Oxford Economics'!$B$7:$B$1000,Settings!$B$16)+IF(Settings!$B$18="",0,SUMIFS(INDEX('Oxford Economics'!$A$7:$AZ$1000,0,IFERROR(MATCH(AA$5,'Oxford Economics'!$A$6:$AZ$6,0),MATCH(AA$5&amp;"",'Oxford Economics'!$A$6:$AZ$6,0))),'Oxford Economics'!$A$7:$A$1000,$C40,'Oxford Economics'!$B$7:$B$1000,Settings!$B$18)))),""))</f>
        <v/>
      </c>
      <c r="AB40" s="37" t="str">
        <f aca="false">IF($A40="","",IFERROR(1/(1/IF($B40="Residential",SUMIFS(INDEX('Oxford Economics'!$A$7:$AZ$1000,0,IFERROR(MATCH(AB$5,'Oxford Economics'!$A$6:$AZ$6,0),MATCH(AB$5&amp;"",'Oxford Economics'!$A$6:$AZ$6,0))),'Oxford Economics'!$A$7:$A$1000,$C40,'Oxford Economics'!$B$7:$B$1000,Settings!$B$11)-SUMIFS(INDEX('Oxford Economics'!$A$7:$AZ$1000,0,IFERROR(MATCH(AB$5,'Oxford Economics'!$A$6:$AZ$6,0),MATCH(AB$5&amp;"",'Oxford Economics'!$A$6:$AZ$6,0))),'Oxford Economics'!$A$7:$A$1000,$C40,'Oxford Economics'!$B$7:$B$1000,Settings!$B$13),SUMIFS(INDEX('Oxford Economics'!$A$7:$AZ$1000,0,IFERROR(MATCH(AB$5,'Oxford Economics'!$A$6:$AZ$6,0),MATCH(AB$5&amp;"",'Oxford Economics'!$A$6:$AZ$6,0))),'Oxford Economics'!$A$7:$A$1000,$C40,'Oxford Economics'!$B$7:$B$1000,Settings!$B$13)+SUMIFS(INDEX('Oxford Economics'!$A$7:$AZ$1000,0,IFERROR(MATCH(AB$5,'Oxford Economics'!$A$6:$AZ$6,0),MATCH(AB$5&amp;"",'Oxford Economics'!$A$6:$AZ$6,0))),'Oxford Economics'!$A$7:$A$1000,$C40,'Oxford Economics'!$B$7:$B$1000,Settings!$B$15)+IF(Settings!$B$17="",0,SUMIFS(INDEX('Oxford Economics'!$A$7:$AZ$1000,0,IFERROR(MATCH(AB$5,'Oxford Economics'!$A$6:$AZ$6,0),MATCH(AB$5&amp;"",'Oxford Economics'!$A$6:$AZ$6,0))),'Oxford Economics'!$A$7:$A$1000,$C40,'Oxford Economics'!$B$7:$B$1000,Settings!$B$17)))),""))</f>
        <v/>
      </c>
      <c r="AC40" s="37" t="str">
        <f aca="false">IF($A40="","",IFERROR(1/(1/IF($B40="Residential",SUMIFS(INDEX('Oxford Economics'!$A$7:$AZ$1000,0,IFERROR(MATCH(AC$5,'Oxford Economics'!$A$6:$AZ$6,0),MATCH(AC$5&amp;"",'Oxford Economics'!$A$6:$AZ$6,0))),'Oxford Economics'!$A$7:$A$1000,$C40,'Oxford Economics'!$B$7:$B$1000,Settings!$B$11)-SUMIFS(INDEX('Oxford Economics'!$A$7:$AZ$1000,0,IFERROR(MATCH(AC$5,'Oxford Economics'!$A$6:$AZ$6,0),MATCH(AC$5&amp;"",'Oxford Economics'!$A$6:$AZ$6,0))),'Oxford Economics'!$A$7:$A$1000,$C40,'Oxford Economics'!$B$7:$B$1000,Settings!$B$13),SUMIFS(INDEX('Oxford Economics'!$A$7:$AZ$1000,0,IFERROR(MATCH(AC$5,'Oxford Economics'!$A$6:$AZ$6,0),MATCH(AC$5&amp;"",'Oxford Economics'!$A$6:$AZ$6,0))),'Oxford Economics'!$A$7:$A$1000,$C40,'Oxford Economics'!$B$7:$B$1000,Settings!$B$13)+SUMIFS(INDEX('Oxford Economics'!$A$7:$AZ$1000,0,IFERROR(MATCH(AC$5,'Oxford Economics'!$A$6:$AZ$6,0),MATCH(AC$5&amp;"",'Oxford Economics'!$A$6:$AZ$6,0))),'Oxford Economics'!$A$7:$A$1000,$C40,'Oxford Economics'!$B$7:$B$1000,Settings!$B$15)+IF(Settings!$B$17="",0,SUMIFS(INDEX('Oxford Economics'!$A$7:$AZ$1000,0,IFERROR(MATCH(AC$5,'Oxford Economics'!$A$6:$AZ$6,0),MATCH(AC$5&amp;"",'Oxford Economics'!$A$6:$AZ$6,0))),'Oxford Economics'!$A$7:$A$1000,$C40,'Oxford Economics'!$B$7:$B$1000,Settings!$B$17)))),""))</f>
        <v/>
      </c>
      <c r="AD40" s="37" t="str">
        <f aca="false">IF($A40="","",IFERROR(1/(1/IF($B40="Residential",SUMIFS(INDEX('Oxford Economics'!$A$7:$AZ$1000,0,IFERROR(MATCH(AD$5,'Oxford Economics'!$A$6:$AZ$6,0),MATCH(AD$5&amp;"",'Oxford Economics'!$A$6:$AZ$6,0))),'Oxford Economics'!$A$7:$A$1000,$C40,'Oxford Economics'!$B$7:$B$1000,Settings!$B$11)-SUMIFS(INDEX('Oxford Economics'!$A$7:$AZ$1000,0,IFERROR(MATCH(AD$5,'Oxford Economics'!$A$6:$AZ$6,0),MATCH(AD$5&amp;"",'Oxford Economics'!$A$6:$AZ$6,0))),'Oxford Economics'!$A$7:$A$1000,$C40,'Oxford Economics'!$B$7:$B$1000,Settings!$B$13),SUMIFS(INDEX('Oxford Economics'!$A$7:$AZ$1000,0,IFERROR(MATCH(AD$5,'Oxford Economics'!$A$6:$AZ$6,0),MATCH(AD$5&amp;"",'Oxford Economics'!$A$6:$AZ$6,0))),'Oxford Economics'!$A$7:$A$1000,$C40,'Oxford Economics'!$B$7:$B$1000,Settings!$B$13)+SUMIFS(INDEX('Oxford Economics'!$A$7:$AZ$1000,0,IFERROR(MATCH(AD$5,'Oxford Economics'!$A$6:$AZ$6,0),MATCH(AD$5&amp;"",'Oxford Economics'!$A$6:$AZ$6,0))),'Oxford Economics'!$A$7:$A$1000,$C40,'Oxford Economics'!$B$7:$B$1000,Settings!$B$15)+IF(Settings!$B$17="",0,SUMIFS(INDEX('Oxford Economics'!$A$7:$AZ$1000,0,IFERROR(MATCH(AD$5,'Oxford Economics'!$A$6:$AZ$6,0),MATCH(AD$5&amp;"",'Oxford Economics'!$A$6:$AZ$6,0))),'Oxford Economics'!$A$7:$A$1000,$C40,'Oxford Economics'!$B$7:$B$1000,Settings!$B$17)))),""))</f>
        <v/>
      </c>
      <c r="AE40" s="37" t="str">
        <f aca="false">IF($A40="","",IFERROR(1/(1/IF($B40="Residential",SUMIFS(INDEX('Oxford Economics'!$A$7:$AZ$1000,0,IFERROR(MATCH(AE$5,'Oxford Economics'!$A$6:$AZ$6,0),MATCH(AE$5&amp;"",'Oxford Economics'!$A$6:$AZ$6,0))),'Oxford Economics'!$A$7:$A$1000,$C40,'Oxford Economics'!$B$7:$B$1000,Settings!$B$11)-SUMIFS(INDEX('Oxford Economics'!$A$7:$AZ$1000,0,IFERROR(MATCH(AE$5,'Oxford Economics'!$A$6:$AZ$6,0),MATCH(AE$5&amp;"",'Oxford Economics'!$A$6:$AZ$6,0))),'Oxford Economics'!$A$7:$A$1000,$C40,'Oxford Economics'!$B$7:$B$1000,Settings!$B$13),SUMIFS(INDEX('Oxford Economics'!$A$7:$AZ$1000,0,IFERROR(MATCH(AE$5,'Oxford Economics'!$A$6:$AZ$6,0),MATCH(AE$5&amp;"",'Oxford Economics'!$A$6:$AZ$6,0))),'Oxford Economics'!$A$7:$A$1000,$C40,'Oxford Economics'!$B$7:$B$1000,Settings!$B$13)+SUMIFS(INDEX('Oxford Economics'!$A$7:$AZ$1000,0,IFERROR(MATCH(AE$5,'Oxford Economics'!$A$6:$AZ$6,0),MATCH(AE$5&amp;"",'Oxford Economics'!$A$6:$AZ$6,0))),'Oxford Economics'!$A$7:$A$1000,$C40,'Oxford Economics'!$B$7:$B$1000,Settings!$B$15)+IF(Settings!$B$17="",0,SUMIFS(INDEX('Oxford Economics'!$A$7:$AZ$1000,0,IFERROR(MATCH(AE$5,'Oxford Economics'!$A$6:$AZ$6,0),MATCH(AE$5&amp;"",'Oxford Economics'!$A$6:$AZ$6,0))),'Oxford Economics'!$A$7:$A$1000,$C40,'Oxford Economics'!$B$7:$B$1000,Settings!$B$17)))),""))</f>
        <v/>
      </c>
      <c r="AF40" s="37" t="str">
        <f aca="false">IF($A40="","",IFERROR(1/(1/IF($B40="Residential",SUMIFS(INDEX('Oxford Economics'!$A$7:$AZ$1000,0,IFERROR(MATCH(AF$5,'Oxford Economics'!$A$6:$AZ$6,0),MATCH(AF$5&amp;"",'Oxford Economics'!$A$6:$AZ$6,0))),'Oxford Economics'!$A$7:$A$1000,$C40,'Oxford Economics'!$B$7:$B$1000,Settings!$B$11)-SUMIFS(INDEX('Oxford Economics'!$A$7:$AZ$1000,0,IFERROR(MATCH(AF$5,'Oxford Economics'!$A$6:$AZ$6,0),MATCH(AF$5&amp;"",'Oxford Economics'!$A$6:$AZ$6,0))),'Oxford Economics'!$A$7:$A$1000,$C40,'Oxford Economics'!$B$7:$B$1000,Settings!$B$13),SUMIFS(INDEX('Oxford Economics'!$A$7:$AZ$1000,0,IFERROR(MATCH(AF$5,'Oxford Economics'!$A$6:$AZ$6,0),MATCH(AF$5&amp;"",'Oxford Economics'!$A$6:$AZ$6,0))),'Oxford Economics'!$A$7:$A$1000,$C40,'Oxford Economics'!$B$7:$B$1000,Settings!$B$13)+SUMIFS(INDEX('Oxford Economics'!$A$7:$AZ$1000,0,IFERROR(MATCH(AF$5,'Oxford Economics'!$A$6:$AZ$6,0),MATCH(AF$5&amp;"",'Oxford Economics'!$A$6:$AZ$6,0))),'Oxford Economics'!$A$7:$A$1000,$C40,'Oxford Economics'!$B$7:$B$1000,Settings!$B$15)+IF(Settings!$B$17="",0,SUMIFS(INDEX('Oxford Economics'!$A$7:$AZ$1000,0,IFERROR(MATCH(AF$5,'Oxford Economics'!$A$6:$AZ$6,0),MATCH(AF$5&amp;"",'Oxford Economics'!$A$6:$AZ$6,0))),'Oxford Economics'!$A$7:$A$1000,$C40,'Oxford Economics'!$B$7:$B$1000,Settings!$B$17)))),""))</f>
        <v/>
      </c>
      <c r="AG40" s="37" t="str">
        <f aca="false">IF($A40="","",IFERROR(1/(1/IF($B40="Residential",SUMIFS(INDEX('Oxford Economics'!$A$7:$AZ$1000,0,IFERROR(MATCH(AG$5,'Oxford Economics'!$A$6:$AZ$6,0),MATCH(AG$5&amp;"",'Oxford Economics'!$A$6:$AZ$6,0))),'Oxford Economics'!$A$7:$A$1000,$C40,'Oxford Economics'!$B$7:$B$1000,Settings!$B$11)-SUMIFS(INDEX('Oxford Economics'!$A$7:$AZ$1000,0,IFERROR(MATCH(AG$5,'Oxford Economics'!$A$6:$AZ$6,0),MATCH(AG$5&amp;"",'Oxford Economics'!$A$6:$AZ$6,0))),'Oxford Economics'!$A$7:$A$1000,$C40,'Oxford Economics'!$B$7:$B$1000,Settings!$B$13),SUMIFS(INDEX('Oxford Economics'!$A$7:$AZ$1000,0,IFERROR(MATCH(AG$5,'Oxford Economics'!$A$6:$AZ$6,0),MATCH(AG$5&amp;"",'Oxford Economics'!$A$6:$AZ$6,0))),'Oxford Economics'!$A$7:$A$1000,$C40,'Oxford Economics'!$B$7:$B$1000,Settings!$B$13)+SUMIFS(INDEX('Oxford Economics'!$A$7:$AZ$1000,0,IFERROR(MATCH(AG$5,'Oxford Economics'!$A$6:$AZ$6,0),MATCH(AG$5&amp;"",'Oxford Economics'!$A$6:$AZ$6,0))),'Oxford Economics'!$A$7:$A$1000,$C40,'Oxford Economics'!$B$7:$B$1000,Settings!$B$15)+IF(Settings!$B$17="",0,SUMIFS(INDEX('Oxford Economics'!$A$7:$AZ$1000,0,IFERROR(MATCH(AG$5,'Oxford Economics'!$A$6:$AZ$6,0),MATCH(AG$5&amp;"",'Oxford Economics'!$A$6:$AZ$6,0))),'Oxford Economics'!$A$7:$A$1000,$C40,'Oxford Economics'!$B$7:$B$1000,Settings!$B$17)))),""))</f>
        <v/>
      </c>
      <c r="AH40" s="37" t="str">
        <f aca="false">IF($A40="","",IFERROR(1/(1/IF($B40="Residential",SUMIFS(INDEX('Oxford Economics'!$A$7:$AZ$1000,0,IFERROR(MATCH(AH$5,'Oxford Economics'!$A$6:$AZ$6,0),MATCH(AH$5&amp;"",'Oxford Economics'!$A$6:$AZ$6,0))),'Oxford Economics'!$A$7:$A$1000,$C40,'Oxford Economics'!$B$7:$B$1000,Settings!$B$11)-SUMIFS(INDEX('Oxford Economics'!$A$7:$AZ$1000,0,IFERROR(MATCH(AH$5,'Oxford Economics'!$A$6:$AZ$6,0),MATCH(AH$5&amp;"",'Oxford Economics'!$A$6:$AZ$6,0))),'Oxford Economics'!$A$7:$A$1000,$C40,'Oxford Economics'!$B$7:$B$1000,Settings!$B$13),SUMIFS(INDEX('Oxford Economics'!$A$7:$AZ$1000,0,IFERROR(MATCH(AH$5,'Oxford Economics'!$A$6:$AZ$6,0),MATCH(AH$5&amp;"",'Oxford Economics'!$A$6:$AZ$6,0))),'Oxford Economics'!$A$7:$A$1000,$C40,'Oxford Economics'!$B$7:$B$1000,Settings!$B$13)+SUMIFS(INDEX('Oxford Economics'!$A$7:$AZ$1000,0,IFERROR(MATCH(AH$5,'Oxford Economics'!$A$6:$AZ$6,0),MATCH(AH$5&amp;"",'Oxford Economics'!$A$6:$AZ$6,0))),'Oxford Economics'!$A$7:$A$1000,$C40,'Oxford Economics'!$B$7:$B$1000,Settings!$B$15)+IF(Settings!$B$17="",0,SUMIFS(INDEX('Oxford Economics'!$A$7:$AZ$1000,0,IFERROR(MATCH(AH$5,'Oxford Economics'!$A$6:$AZ$6,0),MATCH(AH$5&amp;"",'Oxford Economics'!$A$6:$AZ$6,0))),'Oxford Economics'!$A$7:$A$1000,$C40,'Oxford Economics'!$B$7:$B$1000,Settings!$B$17)))),""))</f>
        <v/>
      </c>
      <c r="AI40" s="37" t="str">
        <f aca="false">IF($A40="","",IFERROR(1/(1/IF($B40="Residential",SUMIFS(INDEX('Oxford Economics'!$A$7:$AZ$1000,0,IFERROR(MATCH(AI$5,'Oxford Economics'!$A$6:$AZ$6,0),MATCH(AI$5&amp;"",'Oxford Economics'!$A$6:$AZ$6,0))),'Oxford Economics'!$A$7:$A$1000,$C40,'Oxford Economics'!$B$7:$B$1000,Settings!$B$11)-SUMIFS(INDEX('Oxford Economics'!$A$7:$AZ$1000,0,IFERROR(MATCH(AI$5,'Oxford Economics'!$A$6:$AZ$6,0),MATCH(AI$5&amp;"",'Oxford Economics'!$A$6:$AZ$6,0))),'Oxford Economics'!$A$7:$A$1000,$C40,'Oxford Economics'!$B$7:$B$1000,Settings!$B$13),SUMIFS(INDEX('Oxford Economics'!$A$7:$AZ$1000,0,IFERROR(MATCH(AI$5,'Oxford Economics'!$A$6:$AZ$6,0),MATCH(AI$5&amp;"",'Oxford Economics'!$A$6:$AZ$6,0))),'Oxford Economics'!$A$7:$A$1000,$C40,'Oxford Economics'!$B$7:$B$1000,Settings!$B$13)+SUMIFS(INDEX('Oxford Economics'!$A$7:$AZ$1000,0,IFERROR(MATCH(AI$5,'Oxford Economics'!$A$6:$AZ$6,0),MATCH(AI$5&amp;"",'Oxford Economics'!$A$6:$AZ$6,0))),'Oxford Economics'!$A$7:$A$1000,$C40,'Oxford Economics'!$B$7:$B$1000,Settings!$B$15)+IF(Settings!$B$17="",0,SUMIFS(INDEX('Oxford Economics'!$A$7:$AZ$1000,0,IFERROR(MATCH(AI$5,'Oxford Economics'!$A$6:$AZ$6,0),MATCH(AI$5&amp;"",'Oxford Economics'!$A$6:$AZ$6,0))),'Oxford Economics'!$A$7:$A$1000,$C40,'Oxford Economics'!$B$7:$B$1000,Settings!$B$17)))),""))</f>
        <v/>
      </c>
      <c r="AJ40" s="37" t="str">
        <f aca="false">IF($A40="","",IFERROR(1/(1/IF($B40="Residential",SUMIFS(INDEX('Oxford Economics'!$A$7:$AZ$1000,0,IFERROR(MATCH(AJ$5,'Oxford Economics'!$A$6:$AZ$6,0),MATCH(AJ$5&amp;"",'Oxford Economics'!$A$6:$AZ$6,0))),'Oxford Economics'!$A$7:$A$1000,$C40,'Oxford Economics'!$B$7:$B$1000,Settings!$B$11)-SUMIFS(INDEX('Oxford Economics'!$A$7:$AZ$1000,0,IFERROR(MATCH(AJ$5,'Oxford Economics'!$A$6:$AZ$6,0),MATCH(AJ$5&amp;"",'Oxford Economics'!$A$6:$AZ$6,0))),'Oxford Economics'!$A$7:$A$1000,$C40,'Oxford Economics'!$B$7:$B$1000,Settings!$B$13),SUMIFS(INDEX('Oxford Economics'!$A$7:$AZ$1000,0,IFERROR(MATCH(AJ$5,'Oxford Economics'!$A$6:$AZ$6,0),MATCH(AJ$5&amp;"",'Oxford Economics'!$A$6:$AZ$6,0))),'Oxford Economics'!$A$7:$A$1000,$C40,'Oxford Economics'!$B$7:$B$1000,Settings!$B$13)+SUMIFS(INDEX('Oxford Economics'!$A$7:$AZ$1000,0,IFERROR(MATCH(AJ$5,'Oxford Economics'!$A$6:$AZ$6,0),MATCH(AJ$5&amp;"",'Oxford Economics'!$A$6:$AZ$6,0))),'Oxford Economics'!$A$7:$A$1000,$C40,'Oxford Economics'!$B$7:$B$1000,Settings!$B$15)+IF(Settings!$B$17="",0,SUMIFS(INDEX('Oxford Economics'!$A$7:$AZ$1000,0,IFERROR(MATCH(AJ$5,'Oxford Economics'!$A$6:$AZ$6,0),MATCH(AJ$5&amp;"",'Oxford Economics'!$A$6:$AZ$6,0))),'Oxford Economics'!$A$7:$A$1000,$C40,'Oxford Economics'!$B$7:$B$1000,Settings!$B$17)))),""))</f>
        <v/>
      </c>
      <c r="AK40" s="37" t="str">
        <f aca="false">IF($A40="","",IFERROR(1/(1/IF($B40="Residential",SUMIFS(INDEX('Oxford Economics'!$A$7:$AZ$1000,0,IFERROR(MATCH(AK$5,'Oxford Economics'!$A$6:$AZ$6,0),MATCH(AK$5&amp;"",'Oxford Economics'!$A$6:$AZ$6,0))),'Oxford Economics'!$A$7:$A$1000,$C40,'Oxford Economics'!$B$7:$B$1000,Settings!$B$11)-SUMIFS(INDEX('Oxford Economics'!$A$7:$AZ$1000,0,IFERROR(MATCH(AK$5,'Oxford Economics'!$A$6:$AZ$6,0),MATCH(AK$5&amp;"",'Oxford Economics'!$A$6:$AZ$6,0))),'Oxford Economics'!$A$7:$A$1000,$C40,'Oxford Economics'!$B$7:$B$1000,Settings!$B$13),SUMIFS(INDEX('Oxford Economics'!$A$7:$AZ$1000,0,IFERROR(MATCH(AK$5,'Oxford Economics'!$A$6:$AZ$6,0),MATCH(AK$5&amp;"",'Oxford Economics'!$A$6:$AZ$6,0))),'Oxford Economics'!$A$7:$A$1000,$C40,'Oxford Economics'!$B$7:$B$1000,Settings!$B$13)+SUMIFS(INDEX('Oxford Economics'!$A$7:$AZ$1000,0,IFERROR(MATCH(AK$5,'Oxford Economics'!$A$6:$AZ$6,0),MATCH(AK$5&amp;"",'Oxford Economics'!$A$6:$AZ$6,0))),'Oxford Economics'!$A$7:$A$1000,$C40,'Oxford Economics'!$B$7:$B$1000,Settings!$B$15)+IF(Settings!$B$17="",0,SUMIFS(INDEX('Oxford Economics'!$A$7:$AZ$1000,0,IFERROR(MATCH(AK$5,'Oxford Economics'!$A$6:$AZ$6,0),MATCH(AK$5&amp;"",'Oxford Economics'!$A$6:$AZ$6,0))),'Oxford Economics'!$A$7:$A$1000,$C40,'Oxford Economics'!$B$7:$B$1000,Settings!$B$17)))),""))</f>
        <v/>
      </c>
      <c r="AL40" s="37" t="str">
        <f aca="false">IF($A40="","",IFERROR(1/(1/IF($B40="Residential",SUMIFS(INDEX('Oxford Economics'!$A$7:$AZ$1000,0,IFERROR(MATCH(AL$5,'Oxford Economics'!$A$6:$AZ$6,0),MATCH(AL$5&amp;"",'Oxford Economics'!$A$6:$AZ$6,0))),'Oxford Economics'!$A$7:$A$1000,$C40,'Oxford Economics'!$B$7:$B$1000,Settings!$B$11)-SUMIFS(INDEX('Oxford Economics'!$A$7:$AZ$1000,0,IFERROR(MATCH(AL$5,'Oxford Economics'!$A$6:$AZ$6,0),MATCH(AL$5&amp;"",'Oxford Economics'!$A$6:$AZ$6,0))),'Oxford Economics'!$A$7:$A$1000,$C40,'Oxford Economics'!$B$7:$B$1000,Settings!$B$13),SUMIFS(INDEX('Oxford Economics'!$A$7:$AZ$1000,0,IFERROR(MATCH(AL$5,'Oxford Economics'!$A$6:$AZ$6,0),MATCH(AL$5&amp;"",'Oxford Economics'!$A$6:$AZ$6,0))),'Oxford Economics'!$A$7:$A$1000,$C40,'Oxford Economics'!$B$7:$B$1000,Settings!$B$13)+SUMIFS(INDEX('Oxford Economics'!$A$7:$AZ$1000,0,IFERROR(MATCH(AL$5,'Oxford Economics'!$A$6:$AZ$6,0),MATCH(AL$5&amp;"",'Oxford Economics'!$A$6:$AZ$6,0))),'Oxford Economics'!$A$7:$A$1000,$C40,'Oxford Economics'!$B$7:$B$1000,Settings!$B$15)+IF(Settings!$B$17="",0,SUMIFS(INDEX('Oxford Economics'!$A$7:$AZ$1000,0,IFERROR(MATCH(AL$5,'Oxford Economics'!$A$6:$AZ$6,0),MATCH(AL$5&amp;"",'Oxford Economics'!$A$6:$AZ$6,0))),'Oxford Economics'!$A$7:$A$1000,$C40,'Oxford Economics'!$B$7:$B$1000,Settings!$B$17)))),""))</f>
        <v/>
      </c>
      <c r="AM40" s="37" t="str">
        <f aca="false">IF($A40="","",IFERROR(1/(1/IF($B40="Residential",SUMIFS(INDEX('Oxford Economics'!$A$7:$AZ$1000,0,IFERROR(MATCH(AM$5,'Oxford Economics'!$A$6:$AZ$6,0),MATCH(AM$5&amp;"",'Oxford Economics'!$A$6:$AZ$6,0))),'Oxford Economics'!$A$7:$A$1000,$C40,'Oxford Economics'!$B$7:$B$1000,Settings!$B$11)-SUMIFS(INDEX('Oxford Economics'!$A$7:$AZ$1000,0,IFERROR(MATCH(AM$5,'Oxford Economics'!$A$6:$AZ$6,0),MATCH(AM$5&amp;"",'Oxford Economics'!$A$6:$AZ$6,0))),'Oxford Economics'!$A$7:$A$1000,$C40,'Oxford Economics'!$B$7:$B$1000,Settings!$B$13),SUMIFS(INDEX('Oxford Economics'!$A$7:$AZ$1000,0,IFERROR(MATCH(AM$5,'Oxford Economics'!$A$6:$AZ$6,0),MATCH(AM$5&amp;"",'Oxford Economics'!$A$6:$AZ$6,0))),'Oxford Economics'!$A$7:$A$1000,$C40,'Oxford Economics'!$B$7:$B$1000,Settings!$B$13)+SUMIFS(INDEX('Oxford Economics'!$A$7:$AZ$1000,0,IFERROR(MATCH(AM$5,'Oxford Economics'!$A$6:$AZ$6,0),MATCH(AM$5&amp;"",'Oxford Economics'!$A$6:$AZ$6,0))),'Oxford Economics'!$A$7:$A$1000,$C40,'Oxford Economics'!$B$7:$B$1000,Settings!$B$15)+IF(Settings!$B$17="",0,SUMIFS(INDEX('Oxford Economics'!$A$7:$AZ$1000,0,IFERROR(MATCH(AM$5,'Oxford Economics'!$A$6:$AZ$6,0),MATCH(AM$5&amp;"",'Oxford Economics'!$A$6:$AZ$6,0))),'Oxford Economics'!$A$7:$A$1000,$C40,'Oxford Economics'!$B$7:$B$1000,Settings!$B$17)))),""))</f>
        <v/>
      </c>
    </row>
    <row r="41" customFormat="false" ht="15" hidden="false" customHeight="false" outlineLevel="0" collapsed="false">
      <c r="A41" s="36" t="str">
        <f aca="false">IF('Raw data'!$A41="","",'Raw data'!$A41)</f>
        <v/>
      </c>
      <c r="B41" s="36" t="str">
        <f aca="false">IF($A41="","",'Raw data'!$C41)</f>
        <v/>
      </c>
      <c r="C41" s="36" t="str">
        <f aca="false">IF($A41="","",IF('Raw data'!$D41="",$A41,'Raw data'!$D41))</f>
        <v/>
      </c>
      <c r="D41" s="37" t="str">
        <f aca="false">IF($A41="","",IF(AND(ISNUMBER(P41),ISNUMBER(AB41)),P41+AB41,""))</f>
        <v/>
      </c>
      <c r="E41" s="37" t="str">
        <f aca="false">IF($A41="","",IF(AND(ISNUMBER(Q41),ISNUMBER(AC41)),Q41+AC41,""))</f>
        <v/>
      </c>
      <c r="F41" s="37" t="str">
        <f aca="false">IF($A41="","",IF(AND(ISNUMBER(R41),ISNUMBER(AD41)),R41+AD41,""))</f>
        <v/>
      </c>
      <c r="G41" s="37" t="str">
        <f aca="false">IF($A41="","",IF(AND(ISNUMBER(S41),ISNUMBER(AE41)),S41+AE41,""))</f>
        <v/>
      </c>
      <c r="H41" s="37" t="str">
        <f aca="false">IF($A41="","",IF(AND(ISNUMBER(T41),ISNUMBER(AF41)),T41+AF41,""))</f>
        <v/>
      </c>
      <c r="I41" s="37" t="str">
        <f aca="false">IF($A41="","",IF(AND(ISNUMBER(U41),ISNUMBER(AG41)),U41+AG41,""))</f>
        <v/>
      </c>
      <c r="J41" s="37" t="str">
        <f aca="false">IF($A41="","",IF(AND(ISNUMBER(V41),ISNUMBER(AH41)),V41+AH41,""))</f>
        <v/>
      </c>
      <c r="K41" s="37" t="str">
        <f aca="false">IF($A41="","",IF(AND(ISNUMBER(W41),ISNUMBER(AI41)),W41+AI41,""))</f>
        <v/>
      </c>
      <c r="L41" s="37" t="str">
        <f aca="false">IF($A41="","",IF(AND(ISNUMBER(X41),ISNUMBER(AJ41)),X41+AJ41,""))</f>
        <v/>
      </c>
      <c r="M41" s="37" t="str">
        <f aca="false">IF($A41="","",IF(AND(ISNUMBER(Y41),ISNUMBER(AK41)),Y41+AK41,""))</f>
        <v/>
      </c>
      <c r="N41" s="37" t="str">
        <f aca="false">IF($A41="","",IF(AND(ISNUMBER(Z41),ISNUMBER(AL41)),Z41+AL41,""))</f>
        <v/>
      </c>
      <c r="O41" s="37" t="str">
        <f aca="false">IF($A41="","",IF(AND(ISNUMBER(AA41),ISNUMBER(AM41)),AA41+AM41,""))</f>
        <v/>
      </c>
      <c r="P41" s="37" t="str">
        <f aca="false">IF($A41="","",IFERROR(1/(1/IF($B41="Residential",SUMIFS(INDEX('Oxford Economics'!$A$7:$AZ$1000,0,IFERROR(MATCH(P$5,'Oxford Economics'!$A$6:$AZ$6,0),MATCH(P$5&amp;"",'Oxford Economics'!$A$6:$AZ$6,0))),'Oxford Economics'!$A$7:$A$1000,$C41,'Oxford Economics'!$B$7:$B$1000,Settings!$B$12)-SUMIFS(INDEX('Oxford Economics'!$A$7:$AZ$1000,0,IFERROR(MATCH(P$5,'Oxford Economics'!$A$6:$AZ$6,0),MATCH(P$5&amp;"",'Oxford Economics'!$A$6:$AZ$6,0))),'Oxford Economics'!$A$7:$A$1000,$C41,'Oxford Economics'!$B$7:$B$1000,Settings!$B$14),SUMIFS(INDEX('Oxford Economics'!$A$7:$AZ$1000,0,IFERROR(MATCH(P$5,'Oxford Economics'!$A$6:$AZ$6,0),MATCH(P$5&amp;"",'Oxford Economics'!$A$6:$AZ$6,0))),'Oxford Economics'!$A$7:$A$1000,$C41,'Oxford Economics'!$B$7:$B$1000,Settings!$B$14)+SUMIFS(INDEX('Oxford Economics'!$A$7:$AZ$1000,0,IFERROR(MATCH(P$5,'Oxford Economics'!$A$6:$AZ$6,0),MATCH(P$5&amp;"",'Oxford Economics'!$A$6:$AZ$6,0))),'Oxford Economics'!$A$7:$A$1000,$C41,'Oxford Economics'!$B$7:$B$1000,Settings!$B$16)+IF(Settings!$B$18="",0,SUMIFS(INDEX('Oxford Economics'!$A$7:$AZ$1000,0,IFERROR(MATCH(P$5,'Oxford Economics'!$A$6:$AZ$6,0),MATCH(P$5&amp;"",'Oxford Economics'!$A$6:$AZ$6,0))),'Oxford Economics'!$A$7:$A$1000,$C41,'Oxford Economics'!$B$7:$B$1000,Settings!$B$18)))),""))</f>
        <v/>
      </c>
      <c r="Q41" s="37" t="str">
        <f aca="false">IF($A41="","",IFERROR(1/(1/IF($B41="Residential",SUMIFS(INDEX('Oxford Economics'!$A$7:$AZ$1000,0,IFERROR(MATCH(Q$5,'Oxford Economics'!$A$6:$AZ$6,0),MATCH(Q$5&amp;"",'Oxford Economics'!$A$6:$AZ$6,0))),'Oxford Economics'!$A$7:$A$1000,$C41,'Oxford Economics'!$B$7:$B$1000,Settings!$B$12)-SUMIFS(INDEX('Oxford Economics'!$A$7:$AZ$1000,0,IFERROR(MATCH(Q$5,'Oxford Economics'!$A$6:$AZ$6,0),MATCH(Q$5&amp;"",'Oxford Economics'!$A$6:$AZ$6,0))),'Oxford Economics'!$A$7:$A$1000,$C41,'Oxford Economics'!$B$7:$B$1000,Settings!$B$14),SUMIFS(INDEX('Oxford Economics'!$A$7:$AZ$1000,0,IFERROR(MATCH(Q$5,'Oxford Economics'!$A$6:$AZ$6,0),MATCH(Q$5&amp;"",'Oxford Economics'!$A$6:$AZ$6,0))),'Oxford Economics'!$A$7:$A$1000,$C41,'Oxford Economics'!$B$7:$B$1000,Settings!$B$14)+SUMIFS(INDEX('Oxford Economics'!$A$7:$AZ$1000,0,IFERROR(MATCH(Q$5,'Oxford Economics'!$A$6:$AZ$6,0),MATCH(Q$5&amp;"",'Oxford Economics'!$A$6:$AZ$6,0))),'Oxford Economics'!$A$7:$A$1000,$C41,'Oxford Economics'!$B$7:$B$1000,Settings!$B$16)+IF(Settings!$B$18="",0,SUMIFS(INDEX('Oxford Economics'!$A$7:$AZ$1000,0,IFERROR(MATCH(Q$5,'Oxford Economics'!$A$6:$AZ$6,0),MATCH(Q$5&amp;"",'Oxford Economics'!$A$6:$AZ$6,0))),'Oxford Economics'!$A$7:$A$1000,$C41,'Oxford Economics'!$B$7:$B$1000,Settings!$B$18)))),""))</f>
        <v/>
      </c>
      <c r="R41" s="37" t="str">
        <f aca="false">IF($A41="","",IFERROR(1/(1/IF($B41="Residential",SUMIFS(INDEX('Oxford Economics'!$A$7:$AZ$1000,0,IFERROR(MATCH(R$5,'Oxford Economics'!$A$6:$AZ$6,0),MATCH(R$5&amp;"",'Oxford Economics'!$A$6:$AZ$6,0))),'Oxford Economics'!$A$7:$A$1000,$C41,'Oxford Economics'!$B$7:$B$1000,Settings!$B$12)-SUMIFS(INDEX('Oxford Economics'!$A$7:$AZ$1000,0,IFERROR(MATCH(R$5,'Oxford Economics'!$A$6:$AZ$6,0),MATCH(R$5&amp;"",'Oxford Economics'!$A$6:$AZ$6,0))),'Oxford Economics'!$A$7:$A$1000,$C41,'Oxford Economics'!$B$7:$B$1000,Settings!$B$14),SUMIFS(INDEX('Oxford Economics'!$A$7:$AZ$1000,0,IFERROR(MATCH(R$5,'Oxford Economics'!$A$6:$AZ$6,0),MATCH(R$5&amp;"",'Oxford Economics'!$A$6:$AZ$6,0))),'Oxford Economics'!$A$7:$A$1000,$C41,'Oxford Economics'!$B$7:$B$1000,Settings!$B$14)+SUMIFS(INDEX('Oxford Economics'!$A$7:$AZ$1000,0,IFERROR(MATCH(R$5,'Oxford Economics'!$A$6:$AZ$6,0),MATCH(R$5&amp;"",'Oxford Economics'!$A$6:$AZ$6,0))),'Oxford Economics'!$A$7:$A$1000,$C41,'Oxford Economics'!$B$7:$B$1000,Settings!$B$16)+IF(Settings!$B$18="",0,SUMIFS(INDEX('Oxford Economics'!$A$7:$AZ$1000,0,IFERROR(MATCH(R$5,'Oxford Economics'!$A$6:$AZ$6,0),MATCH(R$5&amp;"",'Oxford Economics'!$A$6:$AZ$6,0))),'Oxford Economics'!$A$7:$A$1000,$C41,'Oxford Economics'!$B$7:$B$1000,Settings!$B$18)))),""))</f>
        <v/>
      </c>
      <c r="S41" s="37" t="str">
        <f aca="false">IF($A41="","",IFERROR(1/(1/IF($B41="Residential",SUMIFS(INDEX('Oxford Economics'!$A$7:$AZ$1000,0,IFERROR(MATCH(S$5,'Oxford Economics'!$A$6:$AZ$6,0),MATCH(S$5&amp;"",'Oxford Economics'!$A$6:$AZ$6,0))),'Oxford Economics'!$A$7:$A$1000,$C41,'Oxford Economics'!$B$7:$B$1000,Settings!$B$12)-SUMIFS(INDEX('Oxford Economics'!$A$7:$AZ$1000,0,IFERROR(MATCH(S$5,'Oxford Economics'!$A$6:$AZ$6,0),MATCH(S$5&amp;"",'Oxford Economics'!$A$6:$AZ$6,0))),'Oxford Economics'!$A$7:$A$1000,$C41,'Oxford Economics'!$B$7:$B$1000,Settings!$B$14),SUMIFS(INDEX('Oxford Economics'!$A$7:$AZ$1000,0,IFERROR(MATCH(S$5,'Oxford Economics'!$A$6:$AZ$6,0),MATCH(S$5&amp;"",'Oxford Economics'!$A$6:$AZ$6,0))),'Oxford Economics'!$A$7:$A$1000,$C41,'Oxford Economics'!$B$7:$B$1000,Settings!$B$14)+SUMIFS(INDEX('Oxford Economics'!$A$7:$AZ$1000,0,IFERROR(MATCH(S$5,'Oxford Economics'!$A$6:$AZ$6,0),MATCH(S$5&amp;"",'Oxford Economics'!$A$6:$AZ$6,0))),'Oxford Economics'!$A$7:$A$1000,$C41,'Oxford Economics'!$B$7:$B$1000,Settings!$B$16)+IF(Settings!$B$18="",0,SUMIFS(INDEX('Oxford Economics'!$A$7:$AZ$1000,0,IFERROR(MATCH(S$5,'Oxford Economics'!$A$6:$AZ$6,0),MATCH(S$5&amp;"",'Oxford Economics'!$A$6:$AZ$6,0))),'Oxford Economics'!$A$7:$A$1000,$C41,'Oxford Economics'!$B$7:$B$1000,Settings!$B$18)))),""))</f>
        <v/>
      </c>
      <c r="T41" s="37" t="str">
        <f aca="false">IF($A41="","",IFERROR(1/(1/IF($B41="Residential",SUMIFS(INDEX('Oxford Economics'!$A$7:$AZ$1000,0,IFERROR(MATCH(T$5,'Oxford Economics'!$A$6:$AZ$6,0),MATCH(T$5&amp;"",'Oxford Economics'!$A$6:$AZ$6,0))),'Oxford Economics'!$A$7:$A$1000,$C41,'Oxford Economics'!$B$7:$B$1000,Settings!$B$12)-SUMIFS(INDEX('Oxford Economics'!$A$7:$AZ$1000,0,IFERROR(MATCH(T$5,'Oxford Economics'!$A$6:$AZ$6,0),MATCH(T$5&amp;"",'Oxford Economics'!$A$6:$AZ$6,0))),'Oxford Economics'!$A$7:$A$1000,$C41,'Oxford Economics'!$B$7:$B$1000,Settings!$B$14),SUMIFS(INDEX('Oxford Economics'!$A$7:$AZ$1000,0,IFERROR(MATCH(T$5,'Oxford Economics'!$A$6:$AZ$6,0),MATCH(T$5&amp;"",'Oxford Economics'!$A$6:$AZ$6,0))),'Oxford Economics'!$A$7:$A$1000,$C41,'Oxford Economics'!$B$7:$B$1000,Settings!$B$14)+SUMIFS(INDEX('Oxford Economics'!$A$7:$AZ$1000,0,IFERROR(MATCH(T$5,'Oxford Economics'!$A$6:$AZ$6,0),MATCH(T$5&amp;"",'Oxford Economics'!$A$6:$AZ$6,0))),'Oxford Economics'!$A$7:$A$1000,$C41,'Oxford Economics'!$B$7:$B$1000,Settings!$B$16)+IF(Settings!$B$18="",0,SUMIFS(INDEX('Oxford Economics'!$A$7:$AZ$1000,0,IFERROR(MATCH(T$5,'Oxford Economics'!$A$6:$AZ$6,0),MATCH(T$5&amp;"",'Oxford Economics'!$A$6:$AZ$6,0))),'Oxford Economics'!$A$7:$A$1000,$C41,'Oxford Economics'!$B$7:$B$1000,Settings!$B$18)))),""))</f>
        <v/>
      </c>
      <c r="U41" s="37" t="str">
        <f aca="false">IF($A41="","",IFERROR(1/(1/IF($B41="Residential",SUMIFS(INDEX('Oxford Economics'!$A$7:$AZ$1000,0,IFERROR(MATCH(U$5,'Oxford Economics'!$A$6:$AZ$6,0),MATCH(U$5&amp;"",'Oxford Economics'!$A$6:$AZ$6,0))),'Oxford Economics'!$A$7:$A$1000,$C41,'Oxford Economics'!$B$7:$B$1000,Settings!$B$12)-SUMIFS(INDEX('Oxford Economics'!$A$7:$AZ$1000,0,IFERROR(MATCH(U$5,'Oxford Economics'!$A$6:$AZ$6,0),MATCH(U$5&amp;"",'Oxford Economics'!$A$6:$AZ$6,0))),'Oxford Economics'!$A$7:$A$1000,$C41,'Oxford Economics'!$B$7:$B$1000,Settings!$B$14),SUMIFS(INDEX('Oxford Economics'!$A$7:$AZ$1000,0,IFERROR(MATCH(U$5,'Oxford Economics'!$A$6:$AZ$6,0),MATCH(U$5&amp;"",'Oxford Economics'!$A$6:$AZ$6,0))),'Oxford Economics'!$A$7:$A$1000,$C41,'Oxford Economics'!$B$7:$B$1000,Settings!$B$14)+SUMIFS(INDEX('Oxford Economics'!$A$7:$AZ$1000,0,IFERROR(MATCH(U$5,'Oxford Economics'!$A$6:$AZ$6,0),MATCH(U$5&amp;"",'Oxford Economics'!$A$6:$AZ$6,0))),'Oxford Economics'!$A$7:$A$1000,$C41,'Oxford Economics'!$B$7:$B$1000,Settings!$B$16)+IF(Settings!$B$18="",0,SUMIFS(INDEX('Oxford Economics'!$A$7:$AZ$1000,0,IFERROR(MATCH(U$5,'Oxford Economics'!$A$6:$AZ$6,0),MATCH(U$5&amp;"",'Oxford Economics'!$A$6:$AZ$6,0))),'Oxford Economics'!$A$7:$A$1000,$C41,'Oxford Economics'!$B$7:$B$1000,Settings!$B$18)))),""))</f>
        <v/>
      </c>
      <c r="V41" s="37" t="str">
        <f aca="false">IF($A41="","",IFERROR(1/(1/IF($B41="Residential",SUMIFS(INDEX('Oxford Economics'!$A$7:$AZ$1000,0,IFERROR(MATCH(V$5,'Oxford Economics'!$A$6:$AZ$6,0),MATCH(V$5&amp;"",'Oxford Economics'!$A$6:$AZ$6,0))),'Oxford Economics'!$A$7:$A$1000,$C41,'Oxford Economics'!$B$7:$B$1000,Settings!$B$12)-SUMIFS(INDEX('Oxford Economics'!$A$7:$AZ$1000,0,IFERROR(MATCH(V$5,'Oxford Economics'!$A$6:$AZ$6,0),MATCH(V$5&amp;"",'Oxford Economics'!$A$6:$AZ$6,0))),'Oxford Economics'!$A$7:$A$1000,$C41,'Oxford Economics'!$B$7:$B$1000,Settings!$B$14),SUMIFS(INDEX('Oxford Economics'!$A$7:$AZ$1000,0,IFERROR(MATCH(V$5,'Oxford Economics'!$A$6:$AZ$6,0),MATCH(V$5&amp;"",'Oxford Economics'!$A$6:$AZ$6,0))),'Oxford Economics'!$A$7:$A$1000,$C41,'Oxford Economics'!$B$7:$B$1000,Settings!$B$14)+SUMIFS(INDEX('Oxford Economics'!$A$7:$AZ$1000,0,IFERROR(MATCH(V$5,'Oxford Economics'!$A$6:$AZ$6,0),MATCH(V$5&amp;"",'Oxford Economics'!$A$6:$AZ$6,0))),'Oxford Economics'!$A$7:$A$1000,$C41,'Oxford Economics'!$B$7:$B$1000,Settings!$B$16)+IF(Settings!$B$18="",0,SUMIFS(INDEX('Oxford Economics'!$A$7:$AZ$1000,0,IFERROR(MATCH(V$5,'Oxford Economics'!$A$6:$AZ$6,0),MATCH(V$5&amp;"",'Oxford Economics'!$A$6:$AZ$6,0))),'Oxford Economics'!$A$7:$A$1000,$C41,'Oxford Economics'!$B$7:$B$1000,Settings!$B$18)))),""))</f>
        <v/>
      </c>
      <c r="W41" s="37" t="str">
        <f aca="false">IF($A41="","",IFERROR(1/(1/IF($B41="Residential",SUMIFS(INDEX('Oxford Economics'!$A$7:$AZ$1000,0,IFERROR(MATCH(W$5,'Oxford Economics'!$A$6:$AZ$6,0),MATCH(W$5&amp;"",'Oxford Economics'!$A$6:$AZ$6,0))),'Oxford Economics'!$A$7:$A$1000,$C41,'Oxford Economics'!$B$7:$B$1000,Settings!$B$12)-SUMIFS(INDEX('Oxford Economics'!$A$7:$AZ$1000,0,IFERROR(MATCH(W$5,'Oxford Economics'!$A$6:$AZ$6,0),MATCH(W$5&amp;"",'Oxford Economics'!$A$6:$AZ$6,0))),'Oxford Economics'!$A$7:$A$1000,$C41,'Oxford Economics'!$B$7:$B$1000,Settings!$B$14),SUMIFS(INDEX('Oxford Economics'!$A$7:$AZ$1000,0,IFERROR(MATCH(W$5,'Oxford Economics'!$A$6:$AZ$6,0),MATCH(W$5&amp;"",'Oxford Economics'!$A$6:$AZ$6,0))),'Oxford Economics'!$A$7:$A$1000,$C41,'Oxford Economics'!$B$7:$B$1000,Settings!$B$14)+SUMIFS(INDEX('Oxford Economics'!$A$7:$AZ$1000,0,IFERROR(MATCH(W$5,'Oxford Economics'!$A$6:$AZ$6,0),MATCH(W$5&amp;"",'Oxford Economics'!$A$6:$AZ$6,0))),'Oxford Economics'!$A$7:$A$1000,$C41,'Oxford Economics'!$B$7:$B$1000,Settings!$B$16)+IF(Settings!$B$18="",0,SUMIFS(INDEX('Oxford Economics'!$A$7:$AZ$1000,0,IFERROR(MATCH(W$5,'Oxford Economics'!$A$6:$AZ$6,0),MATCH(W$5&amp;"",'Oxford Economics'!$A$6:$AZ$6,0))),'Oxford Economics'!$A$7:$A$1000,$C41,'Oxford Economics'!$B$7:$B$1000,Settings!$B$18)))),""))</f>
        <v/>
      </c>
      <c r="X41" s="37" t="str">
        <f aca="false">IF($A41="","",IFERROR(1/(1/IF($B41="Residential",SUMIFS(INDEX('Oxford Economics'!$A$7:$AZ$1000,0,IFERROR(MATCH(X$5,'Oxford Economics'!$A$6:$AZ$6,0),MATCH(X$5&amp;"",'Oxford Economics'!$A$6:$AZ$6,0))),'Oxford Economics'!$A$7:$A$1000,$C41,'Oxford Economics'!$B$7:$B$1000,Settings!$B$12)-SUMIFS(INDEX('Oxford Economics'!$A$7:$AZ$1000,0,IFERROR(MATCH(X$5,'Oxford Economics'!$A$6:$AZ$6,0),MATCH(X$5&amp;"",'Oxford Economics'!$A$6:$AZ$6,0))),'Oxford Economics'!$A$7:$A$1000,$C41,'Oxford Economics'!$B$7:$B$1000,Settings!$B$14),SUMIFS(INDEX('Oxford Economics'!$A$7:$AZ$1000,0,IFERROR(MATCH(X$5,'Oxford Economics'!$A$6:$AZ$6,0),MATCH(X$5&amp;"",'Oxford Economics'!$A$6:$AZ$6,0))),'Oxford Economics'!$A$7:$A$1000,$C41,'Oxford Economics'!$B$7:$B$1000,Settings!$B$14)+SUMIFS(INDEX('Oxford Economics'!$A$7:$AZ$1000,0,IFERROR(MATCH(X$5,'Oxford Economics'!$A$6:$AZ$6,0),MATCH(X$5&amp;"",'Oxford Economics'!$A$6:$AZ$6,0))),'Oxford Economics'!$A$7:$A$1000,$C41,'Oxford Economics'!$B$7:$B$1000,Settings!$B$16)+IF(Settings!$B$18="",0,SUMIFS(INDEX('Oxford Economics'!$A$7:$AZ$1000,0,IFERROR(MATCH(X$5,'Oxford Economics'!$A$6:$AZ$6,0),MATCH(X$5&amp;"",'Oxford Economics'!$A$6:$AZ$6,0))),'Oxford Economics'!$A$7:$A$1000,$C41,'Oxford Economics'!$B$7:$B$1000,Settings!$B$18)))),""))</f>
        <v/>
      </c>
      <c r="Y41" s="37" t="str">
        <f aca="false">IF($A41="","",IFERROR(1/(1/IF($B41="Residential",SUMIFS(INDEX('Oxford Economics'!$A$7:$AZ$1000,0,IFERROR(MATCH(Y$5,'Oxford Economics'!$A$6:$AZ$6,0),MATCH(Y$5&amp;"",'Oxford Economics'!$A$6:$AZ$6,0))),'Oxford Economics'!$A$7:$A$1000,$C41,'Oxford Economics'!$B$7:$B$1000,Settings!$B$12)-SUMIFS(INDEX('Oxford Economics'!$A$7:$AZ$1000,0,IFERROR(MATCH(Y$5,'Oxford Economics'!$A$6:$AZ$6,0),MATCH(Y$5&amp;"",'Oxford Economics'!$A$6:$AZ$6,0))),'Oxford Economics'!$A$7:$A$1000,$C41,'Oxford Economics'!$B$7:$B$1000,Settings!$B$14),SUMIFS(INDEX('Oxford Economics'!$A$7:$AZ$1000,0,IFERROR(MATCH(Y$5,'Oxford Economics'!$A$6:$AZ$6,0),MATCH(Y$5&amp;"",'Oxford Economics'!$A$6:$AZ$6,0))),'Oxford Economics'!$A$7:$A$1000,$C41,'Oxford Economics'!$B$7:$B$1000,Settings!$B$14)+SUMIFS(INDEX('Oxford Economics'!$A$7:$AZ$1000,0,IFERROR(MATCH(Y$5,'Oxford Economics'!$A$6:$AZ$6,0),MATCH(Y$5&amp;"",'Oxford Economics'!$A$6:$AZ$6,0))),'Oxford Economics'!$A$7:$A$1000,$C41,'Oxford Economics'!$B$7:$B$1000,Settings!$B$16)+IF(Settings!$B$18="",0,SUMIFS(INDEX('Oxford Economics'!$A$7:$AZ$1000,0,IFERROR(MATCH(Y$5,'Oxford Economics'!$A$6:$AZ$6,0),MATCH(Y$5&amp;"",'Oxford Economics'!$A$6:$AZ$6,0))),'Oxford Economics'!$A$7:$A$1000,$C41,'Oxford Economics'!$B$7:$B$1000,Settings!$B$18)))),""))</f>
        <v/>
      </c>
      <c r="Z41" s="37" t="str">
        <f aca="false">IF($A41="","",IFERROR(1/(1/IF($B41="Residential",SUMIFS(INDEX('Oxford Economics'!$A$7:$AZ$1000,0,IFERROR(MATCH(Z$5,'Oxford Economics'!$A$6:$AZ$6,0),MATCH(Z$5&amp;"",'Oxford Economics'!$A$6:$AZ$6,0))),'Oxford Economics'!$A$7:$A$1000,$C41,'Oxford Economics'!$B$7:$B$1000,Settings!$B$12)-SUMIFS(INDEX('Oxford Economics'!$A$7:$AZ$1000,0,IFERROR(MATCH(Z$5,'Oxford Economics'!$A$6:$AZ$6,0),MATCH(Z$5&amp;"",'Oxford Economics'!$A$6:$AZ$6,0))),'Oxford Economics'!$A$7:$A$1000,$C41,'Oxford Economics'!$B$7:$B$1000,Settings!$B$14),SUMIFS(INDEX('Oxford Economics'!$A$7:$AZ$1000,0,IFERROR(MATCH(Z$5,'Oxford Economics'!$A$6:$AZ$6,0),MATCH(Z$5&amp;"",'Oxford Economics'!$A$6:$AZ$6,0))),'Oxford Economics'!$A$7:$A$1000,$C41,'Oxford Economics'!$B$7:$B$1000,Settings!$B$14)+SUMIFS(INDEX('Oxford Economics'!$A$7:$AZ$1000,0,IFERROR(MATCH(Z$5,'Oxford Economics'!$A$6:$AZ$6,0),MATCH(Z$5&amp;"",'Oxford Economics'!$A$6:$AZ$6,0))),'Oxford Economics'!$A$7:$A$1000,$C41,'Oxford Economics'!$B$7:$B$1000,Settings!$B$16)+IF(Settings!$B$18="",0,SUMIFS(INDEX('Oxford Economics'!$A$7:$AZ$1000,0,IFERROR(MATCH(Z$5,'Oxford Economics'!$A$6:$AZ$6,0),MATCH(Z$5&amp;"",'Oxford Economics'!$A$6:$AZ$6,0))),'Oxford Economics'!$A$7:$A$1000,$C41,'Oxford Economics'!$B$7:$B$1000,Settings!$B$18)))),""))</f>
        <v/>
      </c>
      <c r="AA41" s="37" t="str">
        <f aca="false">IF($A41="","",IFERROR(1/(1/IF($B41="Residential",SUMIFS(INDEX('Oxford Economics'!$A$7:$AZ$1000,0,IFERROR(MATCH(AA$5,'Oxford Economics'!$A$6:$AZ$6,0),MATCH(AA$5&amp;"",'Oxford Economics'!$A$6:$AZ$6,0))),'Oxford Economics'!$A$7:$A$1000,$C41,'Oxford Economics'!$B$7:$B$1000,Settings!$B$12)-SUMIFS(INDEX('Oxford Economics'!$A$7:$AZ$1000,0,IFERROR(MATCH(AA$5,'Oxford Economics'!$A$6:$AZ$6,0),MATCH(AA$5&amp;"",'Oxford Economics'!$A$6:$AZ$6,0))),'Oxford Economics'!$A$7:$A$1000,$C41,'Oxford Economics'!$B$7:$B$1000,Settings!$B$14),SUMIFS(INDEX('Oxford Economics'!$A$7:$AZ$1000,0,IFERROR(MATCH(AA$5,'Oxford Economics'!$A$6:$AZ$6,0),MATCH(AA$5&amp;"",'Oxford Economics'!$A$6:$AZ$6,0))),'Oxford Economics'!$A$7:$A$1000,$C41,'Oxford Economics'!$B$7:$B$1000,Settings!$B$14)+SUMIFS(INDEX('Oxford Economics'!$A$7:$AZ$1000,0,IFERROR(MATCH(AA$5,'Oxford Economics'!$A$6:$AZ$6,0),MATCH(AA$5&amp;"",'Oxford Economics'!$A$6:$AZ$6,0))),'Oxford Economics'!$A$7:$A$1000,$C41,'Oxford Economics'!$B$7:$B$1000,Settings!$B$16)+IF(Settings!$B$18="",0,SUMIFS(INDEX('Oxford Economics'!$A$7:$AZ$1000,0,IFERROR(MATCH(AA$5,'Oxford Economics'!$A$6:$AZ$6,0),MATCH(AA$5&amp;"",'Oxford Economics'!$A$6:$AZ$6,0))),'Oxford Economics'!$A$7:$A$1000,$C41,'Oxford Economics'!$B$7:$B$1000,Settings!$B$18)))),""))</f>
        <v/>
      </c>
      <c r="AB41" s="37" t="str">
        <f aca="false">IF($A41="","",IFERROR(1/(1/IF($B41="Residential",SUMIFS(INDEX('Oxford Economics'!$A$7:$AZ$1000,0,IFERROR(MATCH(AB$5,'Oxford Economics'!$A$6:$AZ$6,0),MATCH(AB$5&amp;"",'Oxford Economics'!$A$6:$AZ$6,0))),'Oxford Economics'!$A$7:$A$1000,$C41,'Oxford Economics'!$B$7:$B$1000,Settings!$B$11)-SUMIFS(INDEX('Oxford Economics'!$A$7:$AZ$1000,0,IFERROR(MATCH(AB$5,'Oxford Economics'!$A$6:$AZ$6,0),MATCH(AB$5&amp;"",'Oxford Economics'!$A$6:$AZ$6,0))),'Oxford Economics'!$A$7:$A$1000,$C41,'Oxford Economics'!$B$7:$B$1000,Settings!$B$13),SUMIFS(INDEX('Oxford Economics'!$A$7:$AZ$1000,0,IFERROR(MATCH(AB$5,'Oxford Economics'!$A$6:$AZ$6,0),MATCH(AB$5&amp;"",'Oxford Economics'!$A$6:$AZ$6,0))),'Oxford Economics'!$A$7:$A$1000,$C41,'Oxford Economics'!$B$7:$B$1000,Settings!$B$13)+SUMIFS(INDEX('Oxford Economics'!$A$7:$AZ$1000,0,IFERROR(MATCH(AB$5,'Oxford Economics'!$A$6:$AZ$6,0),MATCH(AB$5&amp;"",'Oxford Economics'!$A$6:$AZ$6,0))),'Oxford Economics'!$A$7:$A$1000,$C41,'Oxford Economics'!$B$7:$B$1000,Settings!$B$15)+IF(Settings!$B$17="",0,SUMIFS(INDEX('Oxford Economics'!$A$7:$AZ$1000,0,IFERROR(MATCH(AB$5,'Oxford Economics'!$A$6:$AZ$6,0),MATCH(AB$5&amp;"",'Oxford Economics'!$A$6:$AZ$6,0))),'Oxford Economics'!$A$7:$A$1000,$C41,'Oxford Economics'!$B$7:$B$1000,Settings!$B$17)))),""))</f>
        <v/>
      </c>
      <c r="AC41" s="37" t="str">
        <f aca="false">IF($A41="","",IFERROR(1/(1/IF($B41="Residential",SUMIFS(INDEX('Oxford Economics'!$A$7:$AZ$1000,0,IFERROR(MATCH(AC$5,'Oxford Economics'!$A$6:$AZ$6,0),MATCH(AC$5&amp;"",'Oxford Economics'!$A$6:$AZ$6,0))),'Oxford Economics'!$A$7:$A$1000,$C41,'Oxford Economics'!$B$7:$B$1000,Settings!$B$11)-SUMIFS(INDEX('Oxford Economics'!$A$7:$AZ$1000,0,IFERROR(MATCH(AC$5,'Oxford Economics'!$A$6:$AZ$6,0),MATCH(AC$5&amp;"",'Oxford Economics'!$A$6:$AZ$6,0))),'Oxford Economics'!$A$7:$A$1000,$C41,'Oxford Economics'!$B$7:$B$1000,Settings!$B$13),SUMIFS(INDEX('Oxford Economics'!$A$7:$AZ$1000,0,IFERROR(MATCH(AC$5,'Oxford Economics'!$A$6:$AZ$6,0),MATCH(AC$5&amp;"",'Oxford Economics'!$A$6:$AZ$6,0))),'Oxford Economics'!$A$7:$A$1000,$C41,'Oxford Economics'!$B$7:$B$1000,Settings!$B$13)+SUMIFS(INDEX('Oxford Economics'!$A$7:$AZ$1000,0,IFERROR(MATCH(AC$5,'Oxford Economics'!$A$6:$AZ$6,0),MATCH(AC$5&amp;"",'Oxford Economics'!$A$6:$AZ$6,0))),'Oxford Economics'!$A$7:$A$1000,$C41,'Oxford Economics'!$B$7:$B$1000,Settings!$B$15)+IF(Settings!$B$17="",0,SUMIFS(INDEX('Oxford Economics'!$A$7:$AZ$1000,0,IFERROR(MATCH(AC$5,'Oxford Economics'!$A$6:$AZ$6,0),MATCH(AC$5&amp;"",'Oxford Economics'!$A$6:$AZ$6,0))),'Oxford Economics'!$A$7:$A$1000,$C41,'Oxford Economics'!$B$7:$B$1000,Settings!$B$17)))),""))</f>
        <v/>
      </c>
      <c r="AD41" s="37" t="str">
        <f aca="false">IF($A41="","",IFERROR(1/(1/IF($B41="Residential",SUMIFS(INDEX('Oxford Economics'!$A$7:$AZ$1000,0,IFERROR(MATCH(AD$5,'Oxford Economics'!$A$6:$AZ$6,0),MATCH(AD$5&amp;"",'Oxford Economics'!$A$6:$AZ$6,0))),'Oxford Economics'!$A$7:$A$1000,$C41,'Oxford Economics'!$B$7:$B$1000,Settings!$B$11)-SUMIFS(INDEX('Oxford Economics'!$A$7:$AZ$1000,0,IFERROR(MATCH(AD$5,'Oxford Economics'!$A$6:$AZ$6,0),MATCH(AD$5&amp;"",'Oxford Economics'!$A$6:$AZ$6,0))),'Oxford Economics'!$A$7:$A$1000,$C41,'Oxford Economics'!$B$7:$B$1000,Settings!$B$13),SUMIFS(INDEX('Oxford Economics'!$A$7:$AZ$1000,0,IFERROR(MATCH(AD$5,'Oxford Economics'!$A$6:$AZ$6,0),MATCH(AD$5&amp;"",'Oxford Economics'!$A$6:$AZ$6,0))),'Oxford Economics'!$A$7:$A$1000,$C41,'Oxford Economics'!$B$7:$B$1000,Settings!$B$13)+SUMIFS(INDEX('Oxford Economics'!$A$7:$AZ$1000,0,IFERROR(MATCH(AD$5,'Oxford Economics'!$A$6:$AZ$6,0),MATCH(AD$5&amp;"",'Oxford Economics'!$A$6:$AZ$6,0))),'Oxford Economics'!$A$7:$A$1000,$C41,'Oxford Economics'!$B$7:$B$1000,Settings!$B$15)+IF(Settings!$B$17="",0,SUMIFS(INDEX('Oxford Economics'!$A$7:$AZ$1000,0,IFERROR(MATCH(AD$5,'Oxford Economics'!$A$6:$AZ$6,0),MATCH(AD$5&amp;"",'Oxford Economics'!$A$6:$AZ$6,0))),'Oxford Economics'!$A$7:$A$1000,$C41,'Oxford Economics'!$B$7:$B$1000,Settings!$B$17)))),""))</f>
        <v/>
      </c>
      <c r="AE41" s="37" t="str">
        <f aca="false">IF($A41="","",IFERROR(1/(1/IF($B41="Residential",SUMIFS(INDEX('Oxford Economics'!$A$7:$AZ$1000,0,IFERROR(MATCH(AE$5,'Oxford Economics'!$A$6:$AZ$6,0),MATCH(AE$5&amp;"",'Oxford Economics'!$A$6:$AZ$6,0))),'Oxford Economics'!$A$7:$A$1000,$C41,'Oxford Economics'!$B$7:$B$1000,Settings!$B$11)-SUMIFS(INDEX('Oxford Economics'!$A$7:$AZ$1000,0,IFERROR(MATCH(AE$5,'Oxford Economics'!$A$6:$AZ$6,0),MATCH(AE$5&amp;"",'Oxford Economics'!$A$6:$AZ$6,0))),'Oxford Economics'!$A$7:$A$1000,$C41,'Oxford Economics'!$B$7:$B$1000,Settings!$B$13),SUMIFS(INDEX('Oxford Economics'!$A$7:$AZ$1000,0,IFERROR(MATCH(AE$5,'Oxford Economics'!$A$6:$AZ$6,0),MATCH(AE$5&amp;"",'Oxford Economics'!$A$6:$AZ$6,0))),'Oxford Economics'!$A$7:$A$1000,$C41,'Oxford Economics'!$B$7:$B$1000,Settings!$B$13)+SUMIFS(INDEX('Oxford Economics'!$A$7:$AZ$1000,0,IFERROR(MATCH(AE$5,'Oxford Economics'!$A$6:$AZ$6,0),MATCH(AE$5&amp;"",'Oxford Economics'!$A$6:$AZ$6,0))),'Oxford Economics'!$A$7:$A$1000,$C41,'Oxford Economics'!$B$7:$B$1000,Settings!$B$15)+IF(Settings!$B$17="",0,SUMIFS(INDEX('Oxford Economics'!$A$7:$AZ$1000,0,IFERROR(MATCH(AE$5,'Oxford Economics'!$A$6:$AZ$6,0),MATCH(AE$5&amp;"",'Oxford Economics'!$A$6:$AZ$6,0))),'Oxford Economics'!$A$7:$A$1000,$C41,'Oxford Economics'!$B$7:$B$1000,Settings!$B$17)))),""))</f>
        <v/>
      </c>
      <c r="AF41" s="37" t="str">
        <f aca="false">IF($A41="","",IFERROR(1/(1/IF($B41="Residential",SUMIFS(INDEX('Oxford Economics'!$A$7:$AZ$1000,0,IFERROR(MATCH(AF$5,'Oxford Economics'!$A$6:$AZ$6,0),MATCH(AF$5&amp;"",'Oxford Economics'!$A$6:$AZ$6,0))),'Oxford Economics'!$A$7:$A$1000,$C41,'Oxford Economics'!$B$7:$B$1000,Settings!$B$11)-SUMIFS(INDEX('Oxford Economics'!$A$7:$AZ$1000,0,IFERROR(MATCH(AF$5,'Oxford Economics'!$A$6:$AZ$6,0),MATCH(AF$5&amp;"",'Oxford Economics'!$A$6:$AZ$6,0))),'Oxford Economics'!$A$7:$A$1000,$C41,'Oxford Economics'!$B$7:$B$1000,Settings!$B$13),SUMIFS(INDEX('Oxford Economics'!$A$7:$AZ$1000,0,IFERROR(MATCH(AF$5,'Oxford Economics'!$A$6:$AZ$6,0),MATCH(AF$5&amp;"",'Oxford Economics'!$A$6:$AZ$6,0))),'Oxford Economics'!$A$7:$A$1000,$C41,'Oxford Economics'!$B$7:$B$1000,Settings!$B$13)+SUMIFS(INDEX('Oxford Economics'!$A$7:$AZ$1000,0,IFERROR(MATCH(AF$5,'Oxford Economics'!$A$6:$AZ$6,0),MATCH(AF$5&amp;"",'Oxford Economics'!$A$6:$AZ$6,0))),'Oxford Economics'!$A$7:$A$1000,$C41,'Oxford Economics'!$B$7:$B$1000,Settings!$B$15)+IF(Settings!$B$17="",0,SUMIFS(INDEX('Oxford Economics'!$A$7:$AZ$1000,0,IFERROR(MATCH(AF$5,'Oxford Economics'!$A$6:$AZ$6,0),MATCH(AF$5&amp;"",'Oxford Economics'!$A$6:$AZ$6,0))),'Oxford Economics'!$A$7:$A$1000,$C41,'Oxford Economics'!$B$7:$B$1000,Settings!$B$17)))),""))</f>
        <v/>
      </c>
      <c r="AG41" s="37" t="str">
        <f aca="false">IF($A41="","",IFERROR(1/(1/IF($B41="Residential",SUMIFS(INDEX('Oxford Economics'!$A$7:$AZ$1000,0,IFERROR(MATCH(AG$5,'Oxford Economics'!$A$6:$AZ$6,0),MATCH(AG$5&amp;"",'Oxford Economics'!$A$6:$AZ$6,0))),'Oxford Economics'!$A$7:$A$1000,$C41,'Oxford Economics'!$B$7:$B$1000,Settings!$B$11)-SUMIFS(INDEX('Oxford Economics'!$A$7:$AZ$1000,0,IFERROR(MATCH(AG$5,'Oxford Economics'!$A$6:$AZ$6,0),MATCH(AG$5&amp;"",'Oxford Economics'!$A$6:$AZ$6,0))),'Oxford Economics'!$A$7:$A$1000,$C41,'Oxford Economics'!$B$7:$B$1000,Settings!$B$13),SUMIFS(INDEX('Oxford Economics'!$A$7:$AZ$1000,0,IFERROR(MATCH(AG$5,'Oxford Economics'!$A$6:$AZ$6,0),MATCH(AG$5&amp;"",'Oxford Economics'!$A$6:$AZ$6,0))),'Oxford Economics'!$A$7:$A$1000,$C41,'Oxford Economics'!$B$7:$B$1000,Settings!$B$13)+SUMIFS(INDEX('Oxford Economics'!$A$7:$AZ$1000,0,IFERROR(MATCH(AG$5,'Oxford Economics'!$A$6:$AZ$6,0),MATCH(AG$5&amp;"",'Oxford Economics'!$A$6:$AZ$6,0))),'Oxford Economics'!$A$7:$A$1000,$C41,'Oxford Economics'!$B$7:$B$1000,Settings!$B$15)+IF(Settings!$B$17="",0,SUMIFS(INDEX('Oxford Economics'!$A$7:$AZ$1000,0,IFERROR(MATCH(AG$5,'Oxford Economics'!$A$6:$AZ$6,0),MATCH(AG$5&amp;"",'Oxford Economics'!$A$6:$AZ$6,0))),'Oxford Economics'!$A$7:$A$1000,$C41,'Oxford Economics'!$B$7:$B$1000,Settings!$B$17)))),""))</f>
        <v/>
      </c>
      <c r="AH41" s="37" t="str">
        <f aca="false">IF($A41="","",IFERROR(1/(1/IF($B41="Residential",SUMIFS(INDEX('Oxford Economics'!$A$7:$AZ$1000,0,IFERROR(MATCH(AH$5,'Oxford Economics'!$A$6:$AZ$6,0),MATCH(AH$5&amp;"",'Oxford Economics'!$A$6:$AZ$6,0))),'Oxford Economics'!$A$7:$A$1000,$C41,'Oxford Economics'!$B$7:$B$1000,Settings!$B$11)-SUMIFS(INDEX('Oxford Economics'!$A$7:$AZ$1000,0,IFERROR(MATCH(AH$5,'Oxford Economics'!$A$6:$AZ$6,0),MATCH(AH$5&amp;"",'Oxford Economics'!$A$6:$AZ$6,0))),'Oxford Economics'!$A$7:$A$1000,$C41,'Oxford Economics'!$B$7:$B$1000,Settings!$B$13),SUMIFS(INDEX('Oxford Economics'!$A$7:$AZ$1000,0,IFERROR(MATCH(AH$5,'Oxford Economics'!$A$6:$AZ$6,0),MATCH(AH$5&amp;"",'Oxford Economics'!$A$6:$AZ$6,0))),'Oxford Economics'!$A$7:$A$1000,$C41,'Oxford Economics'!$B$7:$B$1000,Settings!$B$13)+SUMIFS(INDEX('Oxford Economics'!$A$7:$AZ$1000,0,IFERROR(MATCH(AH$5,'Oxford Economics'!$A$6:$AZ$6,0),MATCH(AH$5&amp;"",'Oxford Economics'!$A$6:$AZ$6,0))),'Oxford Economics'!$A$7:$A$1000,$C41,'Oxford Economics'!$B$7:$B$1000,Settings!$B$15)+IF(Settings!$B$17="",0,SUMIFS(INDEX('Oxford Economics'!$A$7:$AZ$1000,0,IFERROR(MATCH(AH$5,'Oxford Economics'!$A$6:$AZ$6,0),MATCH(AH$5&amp;"",'Oxford Economics'!$A$6:$AZ$6,0))),'Oxford Economics'!$A$7:$A$1000,$C41,'Oxford Economics'!$B$7:$B$1000,Settings!$B$17)))),""))</f>
        <v/>
      </c>
      <c r="AI41" s="37" t="str">
        <f aca="false">IF($A41="","",IFERROR(1/(1/IF($B41="Residential",SUMIFS(INDEX('Oxford Economics'!$A$7:$AZ$1000,0,IFERROR(MATCH(AI$5,'Oxford Economics'!$A$6:$AZ$6,0),MATCH(AI$5&amp;"",'Oxford Economics'!$A$6:$AZ$6,0))),'Oxford Economics'!$A$7:$A$1000,$C41,'Oxford Economics'!$B$7:$B$1000,Settings!$B$11)-SUMIFS(INDEX('Oxford Economics'!$A$7:$AZ$1000,0,IFERROR(MATCH(AI$5,'Oxford Economics'!$A$6:$AZ$6,0),MATCH(AI$5&amp;"",'Oxford Economics'!$A$6:$AZ$6,0))),'Oxford Economics'!$A$7:$A$1000,$C41,'Oxford Economics'!$B$7:$B$1000,Settings!$B$13),SUMIFS(INDEX('Oxford Economics'!$A$7:$AZ$1000,0,IFERROR(MATCH(AI$5,'Oxford Economics'!$A$6:$AZ$6,0),MATCH(AI$5&amp;"",'Oxford Economics'!$A$6:$AZ$6,0))),'Oxford Economics'!$A$7:$A$1000,$C41,'Oxford Economics'!$B$7:$B$1000,Settings!$B$13)+SUMIFS(INDEX('Oxford Economics'!$A$7:$AZ$1000,0,IFERROR(MATCH(AI$5,'Oxford Economics'!$A$6:$AZ$6,0),MATCH(AI$5&amp;"",'Oxford Economics'!$A$6:$AZ$6,0))),'Oxford Economics'!$A$7:$A$1000,$C41,'Oxford Economics'!$B$7:$B$1000,Settings!$B$15)+IF(Settings!$B$17="",0,SUMIFS(INDEX('Oxford Economics'!$A$7:$AZ$1000,0,IFERROR(MATCH(AI$5,'Oxford Economics'!$A$6:$AZ$6,0),MATCH(AI$5&amp;"",'Oxford Economics'!$A$6:$AZ$6,0))),'Oxford Economics'!$A$7:$A$1000,$C41,'Oxford Economics'!$B$7:$B$1000,Settings!$B$17)))),""))</f>
        <v/>
      </c>
      <c r="AJ41" s="37" t="str">
        <f aca="false">IF($A41="","",IFERROR(1/(1/IF($B41="Residential",SUMIFS(INDEX('Oxford Economics'!$A$7:$AZ$1000,0,IFERROR(MATCH(AJ$5,'Oxford Economics'!$A$6:$AZ$6,0),MATCH(AJ$5&amp;"",'Oxford Economics'!$A$6:$AZ$6,0))),'Oxford Economics'!$A$7:$A$1000,$C41,'Oxford Economics'!$B$7:$B$1000,Settings!$B$11)-SUMIFS(INDEX('Oxford Economics'!$A$7:$AZ$1000,0,IFERROR(MATCH(AJ$5,'Oxford Economics'!$A$6:$AZ$6,0),MATCH(AJ$5&amp;"",'Oxford Economics'!$A$6:$AZ$6,0))),'Oxford Economics'!$A$7:$A$1000,$C41,'Oxford Economics'!$B$7:$B$1000,Settings!$B$13),SUMIFS(INDEX('Oxford Economics'!$A$7:$AZ$1000,0,IFERROR(MATCH(AJ$5,'Oxford Economics'!$A$6:$AZ$6,0),MATCH(AJ$5&amp;"",'Oxford Economics'!$A$6:$AZ$6,0))),'Oxford Economics'!$A$7:$A$1000,$C41,'Oxford Economics'!$B$7:$B$1000,Settings!$B$13)+SUMIFS(INDEX('Oxford Economics'!$A$7:$AZ$1000,0,IFERROR(MATCH(AJ$5,'Oxford Economics'!$A$6:$AZ$6,0),MATCH(AJ$5&amp;"",'Oxford Economics'!$A$6:$AZ$6,0))),'Oxford Economics'!$A$7:$A$1000,$C41,'Oxford Economics'!$B$7:$B$1000,Settings!$B$15)+IF(Settings!$B$17="",0,SUMIFS(INDEX('Oxford Economics'!$A$7:$AZ$1000,0,IFERROR(MATCH(AJ$5,'Oxford Economics'!$A$6:$AZ$6,0),MATCH(AJ$5&amp;"",'Oxford Economics'!$A$6:$AZ$6,0))),'Oxford Economics'!$A$7:$A$1000,$C41,'Oxford Economics'!$B$7:$B$1000,Settings!$B$17)))),""))</f>
        <v/>
      </c>
      <c r="AK41" s="37" t="str">
        <f aca="false">IF($A41="","",IFERROR(1/(1/IF($B41="Residential",SUMIFS(INDEX('Oxford Economics'!$A$7:$AZ$1000,0,IFERROR(MATCH(AK$5,'Oxford Economics'!$A$6:$AZ$6,0),MATCH(AK$5&amp;"",'Oxford Economics'!$A$6:$AZ$6,0))),'Oxford Economics'!$A$7:$A$1000,$C41,'Oxford Economics'!$B$7:$B$1000,Settings!$B$11)-SUMIFS(INDEX('Oxford Economics'!$A$7:$AZ$1000,0,IFERROR(MATCH(AK$5,'Oxford Economics'!$A$6:$AZ$6,0),MATCH(AK$5&amp;"",'Oxford Economics'!$A$6:$AZ$6,0))),'Oxford Economics'!$A$7:$A$1000,$C41,'Oxford Economics'!$B$7:$B$1000,Settings!$B$13),SUMIFS(INDEX('Oxford Economics'!$A$7:$AZ$1000,0,IFERROR(MATCH(AK$5,'Oxford Economics'!$A$6:$AZ$6,0),MATCH(AK$5&amp;"",'Oxford Economics'!$A$6:$AZ$6,0))),'Oxford Economics'!$A$7:$A$1000,$C41,'Oxford Economics'!$B$7:$B$1000,Settings!$B$13)+SUMIFS(INDEX('Oxford Economics'!$A$7:$AZ$1000,0,IFERROR(MATCH(AK$5,'Oxford Economics'!$A$6:$AZ$6,0),MATCH(AK$5&amp;"",'Oxford Economics'!$A$6:$AZ$6,0))),'Oxford Economics'!$A$7:$A$1000,$C41,'Oxford Economics'!$B$7:$B$1000,Settings!$B$15)+IF(Settings!$B$17="",0,SUMIFS(INDEX('Oxford Economics'!$A$7:$AZ$1000,0,IFERROR(MATCH(AK$5,'Oxford Economics'!$A$6:$AZ$6,0),MATCH(AK$5&amp;"",'Oxford Economics'!$A$6:$AZ$6,0))),'Oxford Economics'!$A$7:$A$1000,$C41,'Oxford Economics'!$B$7:$B$1000,Settings!$B$17)))),""))</f>
        <v/>
      </c>
      <c r="AL41" s="37" t="str">
        <f aca="false">IF($A41="","",IFERROR(1/(1/IF($B41="Residential",SUMIFS(INDEX('Oxford Economics'!$A$7:$AZ$1000,0,IFERROR(MATCH(AL$5,'Oxford Economics'!$A$6:$AZ$6,0),MATCH(AL$5&amp;"",'Oxford Economics'!$A$6:$AZ$6,0))),'Oxford Economics'!$A$7:$A$1000,$C41,'Oxford Economics'!$B$7:$B$1000,Settings!$B$11)-SUMIFS(INDEX('Oxford Economics'!$A$7:$AZ$1000,0,IFERROR(MATCH(AL$5,'Oxford Economics'!$A$6:$AZ$6,0),MATCH(AL$5&amp;"",'Oxford Economics'!$A$6:$AZ$6,0))),'Oxford Economics'!$A$7:$A$1000,$C41,'Oxford Economics'!$B$7:$B$1000,Settings!$B$13),SUMIFS(INDEX('Oxford Economics'!$A$7:$AZ$1000,0,IFERROR(MATCH(AL$5,'Oxford Economics'!$A$6:$AZ$6,0),MATCH(AL$5&amp;"",'Oxford Economics'!$A$6:$AZ$6,0))),'Oxford Economics'!$A$7:$A$1000,$C41,'Oxford Economics'!$B$7:$B$1000,Settings!$B$13)+SUMIFS(INDEX('Oxford Economics'!$A$7:$AZ$1000,0,IFERROR(MATCH(AL$5,'Oxford Economics'!$A$6:$AZ$6,0),MATCH(AL$5&amp;"",'Oxford Economics'!$A$6:$AZ$6,0))),'Oxford Economics'!$A$7:$A$1000,$C41,'Oxford Economics'!$B$7:$B$1000,Settings!$B$15)+IF(Settings!$B$17="",0,SUMIFS(INDEX('Oxford Economics'!$A$7:$AZ$1000,0,IFERROR(MATCH(AL$5,'Oxford Economics'!$A$6:$AZ$6,0),MATCH(AL$5&amp;"",'Oxford Economics'!$A$6:$AZ$6,0))),'Oxford Economics'!$A$7:$A$1000,$C41,'Oxford Economics'!$B$7:$B$1000,Settings!$B$17)))),""))</f>
        <v/>
      </c>
      <c r="AM41" s="37" t="str">
        <f aca="false">IF($A41="","",IFERROR(1/(1/IF($B41="Residential",SUMIFS(INDEX('Oxford Economics'!$A$7:$AZ$1000,0,IFERROR(MATCH(AM$5,'Oxford Economics'!$A$6:$AZ$6,0),MATCH(AM$5&amp;"",'Oxford Economics'!$A$6:$AZ$6,0))),'Oxford Economics'!$A$7:$A$1000,$C41,'Oxford Economics'!$B$7:$B$1000,Settings!$B$11)-SUMIFS(INDEX('Oxford Economics'!$A$7:$AZ$1000,0,IFERROR(MATCH(AM$5,'Oxford Economics'!$A$6:$AZ$6,0),MATCH(AM$5&amp;"",'Oxford Economics'!$A$6:$AZ$6,0))),'Oxford Economics'!$A$7:$A$1000,$C41,'Oxford Economics'!$B$7:$B$1000,Settings!$B$13),SUMIFS(INDEX('Oxford Economics'!$A$7:$AZ$1000,0,IFERROR(MATCH(AM$5,'Oxford Economics'!$A$6:$AZ$6,0),MATCH(AM$5&amp;"",'Oxford Economics'!$A$6:$AZ$6,0))),'Oxford Economics'!$A$7:$A$1000,$C41,'Oxford Economics'!$B$7:$B$1000,Settings!$B$13)+SUMIFS(INDEX('Oxford Economics'!$A$7:$AZ$1000,0,IFERROR(MATCH(AM$5,'Oxford Economics'!$A$6:$AZ$6,0),MATCH(AM$5&amp;"",'Oxford Economics'!$A$6:$AZ$6,0))),'Oxford Economics'!$A$7:$A$1000,$C41,'Oxford Economics'!$B$7:$B$1000,Settings!$B$15)+IF(Settings!$B$17="",0,SUMIFS(INDEX('Oxford Economics'!$A$7:$AZ$1000,0,IFERROR(MATCH(AM$5,'Oxford Economics'!$A$6:$AZ$6,0),MATCH(AM$5&amp;"",'Oxford Economics'!$A$6:$AZ$6,0))),'Oxford Economics'!$A$7:$A$1000,$C41,'Oxford Economics'!$B$7:$B$1000,Settings!$B$17)))),""))</f>
        <v/>
      </c>
    </row>
    <row r="42" customFormat="false" ht="15" hidden="false" customHeight="false" outlineLevel="0" collapsed="false">
      <c r="A42" s="36" t="str">
        <f aca="false">IF('Raw data'!$A42="","",'Raw data'!$A42)</f>
        <v/>
      </c>
      <c r="B42" s="36" t="str">
        <f aca="false">IF($A42="","",'Raw data'!$C42)</f>
        <v/>
      </c>
      <c r="C42" s="36" t="str">
        <f aca="false">IF($A42="","",IF('Raw data'!$D42="",$A42,'Raw data'!$D42))</f>
        <v/>
      </c>
      <c r="D42" s="37" t="str">
        <f aca="false">IF($A42="","",IF(AND(ISNUMBER(P42),ISNUMBER(AB42)),P42+AB42,""))</f>
        <v/>
      </c>
      <c r="E42" s="37" t="str">
        <f aca="false">IF($A42="","",IF(AND(ISNUMBER(Q42),ISNUMBER(AC42)),Q42+AC42,""))</f>
        <v/>
      </c>
      <c r="F42" s="37" t="str">
        <f aca="false">IF($A42="","",IF(AND(ISNUMBER(R42),ISNUMBER(AD42)),R42+AD42,""))</f>
        <v/>
      </c>
      <c r="G42" s="37" t="str">
        <f aca="false">IF($A42="","",IF(AND(ISNUMBER(S42),ISNUMBER(AE42)),S42+AE42,""))</f>
        <v/>
      </c>
      <c r="H42" s="37" t="str">
        <f aca="false">IF($A42="","",IF(AND(ISNUMBER(T42),ISNUMBER(AF42)),T42+AF42,""))</f>
        <v/>
      </c>
      <c r="I42" s="37" t="str">
        <f aca="false">IF($A42="","",IF(AND(ISNUMBER(U42),ISNUMBER(AG42)),U42+AG42,""))</f>
        <v/>
      </c>
      <c r="J42" s="37" t="str">
        <f aca="false">IF($A42="","",IF(AND(ISNUMBER(V42),ISNUMBER(AH42)),V42+AH42,""))</f>
        <v/>
      </c>
      <c r="K42" s="37" t="str">
        <f aca="false">IF($A42="","",IF(AND(ISNUMBER(W42),ISNUMBER(AI42)),W42+AI42,""))</f>
        <v/>
      </c>
      <c r="L42" s="37" t="str">
        <f aca="false">IF($A42="","",IF(AND(ISNUMBER(X42),ISNUMBER(AJ42)),X42+AJ42,""))</f>
        <v/>
      </c>
      <c r="M42" s="37" t="str">
        <f aca="false">IF($A42="","",IF(AND(ISNUMBER(Y42),ISNUMBER(AK42)),Y42+AK42,""))</f>
        <v/>
      </c>
      <c r="N42" s="37" t="str">
        <f aca="false">IF($A42="","",IF(AND(ISNUMBER(Z42),ISNUMBER(AL42)),Z42+AL42,""))</f>
        <v/>
      </c>
      <c r="O42" s="37" t="str">
        <f aca="false">IF($A42="","",IF(AND(ISNUMBER(AA42),ISNUMBER(AM42)),AA42+AM42,""))</f>
        <v/>
      </c>
      <c r="P42" s="37" t="str">
        <f aca="false">IF($A42="","",IFERROR(1/(1/IF($B42="Residential",SUMIFS(INDEX('Oxford Economics'!$A$7:$AZ$1000,0,IFERROR(MATCH(P$5,'Oxford Economics'!$A$6:$AZ$6,0),MATCH(P$5&amp;"",'Oxford Economics'!$A$6:$AZ$6,0))),'Oxford Economics'!$A$7:$A$1000,$C42,'Oxford Economics'!$B$7:$B$1000,Settings!$B$12)-SUMIFS(INDEX('Oxford Economics'!$A$7:$AZ$1000,0,IFERROR(MATCH(P$5,'Oxford Economics'!$A$6:$AZ$6,0),MATCH(P$5&amp;"",'Oxford Economics'!$A$6:$AZ$6,0))),'Oxford Economics'!$A$7:$A$1000,$C42,'Oxford Economics'!$B$7:$B$1000,Settings!$B$14),SUMIFS(INDEX('Oxford Economics'!$A$7:$AZ$1000,0,IFERROR(MATCH(P$5,'Oxford Economics'!$A$6:$AZ$6,0),MATCH(P$5&amp;"",'Oxford Economics'!$A$6:$AZ$6,0))),'Oxford Economics'!$A$7:$A$1000,$C42,'Oxford Economics'!$B$7:$B$1000,Settings!$B$14)+SUMIFS(INDEX('Oxford Economics'!$A$7:$AZ$1000,0,IFERROR(MATCH(P$5,'Oxford Economics'!$A$6:$AZ$6,0),MATCH(P$5&amp;"",'Oxford Economics'!$A$6:$AZ$6,0))),'Oxford Economics'!$A$7:$A$1000,$C42,'Oxford Economics'!$B$7:$B$1000,Settings!$B$16)+IF(Settings!$B$18="",0,SUMIFS(INDEX('Oxford Economics'!$A$7:$AZ$1000,0,IFERROR(MATCH(P$5,'Oxford Economics'!$A$6:$AZ$6,0),MATCH(P$5&amp;"",'Oxford Economics'!$A$6:$AZ$6,0))),'Oxford Economics'!$A$7:$A$1000,$C42,'Oxford Economics'!$B$7:$B$1000,Settings!$B$18)))),""))</f>
        <v/>
      </c>
      <c r="Q42" s="37" t="str">
        <f aca="false">IF($A42="","",IFERROR(1/(1/IF($B42="Residential",SUMIFS(INDEX('Oxford Economics'!$A$7:$AZ$1000,0,IFERROR(MATCH(Q$5,'Oxford Economics'!$A$6:$AZ$6,0),MATCH(Q$5&amp;"",'Oxford Economics'!$A$6:$AZ$6,0))),'Oxford Economics'!$A$7:$A$1000,$C42,'Oxford Economics'!$B$7:$B$1000,Settings!$B$12)-SUMIFS(INDEX('Oxford Economics'!$A$7:$AZ$1000,0,IFERROR(MATCH(Q$5,'Oxford Economics'!$A$6:$AZ$6,0),MATCH(Q$5&amp;"",'Oxford Economics'!$A$6:$AZ$6,0))),'Oxford Economics'!$A$7:$A$1000,$C42,'Oxford Economics'!$B$7:$B$1000,Settings!$B$14),SUMIFS(INDEX('Oxford Economics'!$A$7:$AZ$1000,0,IFERROR(MATCH(Q$5,'Oxford Economics'!$A$6:$AZ$6,0),MATCH(Q$5&amp;"",'Oxford Economics'!$A$6:$AZ$6,0))),'Oxford Economics'!$A$7:$A$1000,$C42,'Oxford Economics'!$B$7:$B$1000,Settings!$B$14)+SUMIFS(INDEX('Oxford Economics'!$A$7:$AZ$1000,0,IFERROR(MATCH(Q$5,'Oxford Economics'!$A$6:$AZ$6,0),MATCH(Q$5&amp;"",'Oxford Economics'!$A$6:$AZ$6,0))),'Oxford Economics'!$A$7:$A$1000,$C42,'Oxford Economics'!$B$7:$B$1000,Settings!$B$16)+IF(Settings!$B$18="",0,SUMIFS(INDEX('Oxford Economics'!$A$7:$AZ$1000,0,IFERROR(MATCH(Q$5,'Oxford Economics'!$A$6:$AZ$6,0),MATCH(Q$5&amp;"",'Oxford Economics'!$A$6:$AZ$6,0))),'Oxford Economics'!$A$7:$A$1000,$C42,'Oxford Economics'!$B$7:$B$1000,Settings!$B$18)))),""))</f>
        <v/>
      </c>
      <c r="R42" s="37" t="str">
        <f aca="false">IF($A42="","",IFERROR(1/(1/IF($B42="Residential",SUMIFS(INDEX('Oxford Economics'!$A$7:$AZ$1000,0,IFERROR(MATCH(R$5,'Oxford Economics'!$A$6:$AZ$6,0),MATCH(R$5&amp;"",'Oxford Economics'!$A$6:$AZ$6,0))),'Oxford Economics'!$A$7:$A$1000,$C42,'Oxford Economics'!$B$7:$B$1000,Settings!$B$12)-SUMIFS(INDEX('Oxford Economics'!$A$7:$AZ$1000,0,IFERROR(MATCH(R$5,'Oxford Economics'!$A$6:$AZ$6,0),MATCH(R$5&amp;"",'Oxford Economics'!$A$6:$AZ$6,0))),'Oxford Economics'!$A$7:$A$1000,$C42,'Oxford Economics'!$B$7:$B$1000,Settings!$B$14),SUMIFS(INDEX('Oxford Economics'!$A$7:$AZ$1000,0,IFERROR(MATCH(R$5,'Oxford Economics'!$A$6:$AZ$6,0),MATCH(R$5&amp;"",'Oxford Economics'!$A$6:$AZ$6,0))),'Oxford Economics'!$A$7:$A$1000,$C42,'Oxford Economics'!$B$7:$B$1000,Settings!$B$14)+SUMIFS(INDEX('Oxford Economics'!$A$7:$AZ$1000,0,IFERROR(MATCH(R$5,'Oxford Economics'!$A$6:$AZ$6,0),MATCH(R$5&amp;"",'Oxford Economics'!$A$6:$AZ$6,0))),'Oxford Economics'!$A$7:$A$1000,$C42,'Oxford Economics'!$B$7:$B$1000,Settings!$B$16)+IF(Settings!$B$18="",0,SUMIFS(INDEX('Oxford Economics'!$A$7:$AZ$1000,0,IFERROR(MATCH(R$5,'Oxford Economics'!$A$6:$AZ$6,0),MATCH(R$5&amp;"",'Oxford Economics'!$A$6:$AZ$6,0))),'Oxford Economics'!$A$7:$A$1000,$C42,'Oxford Economics'!$B$7:$B$1000,Settings!$B$18)))),""))</f>
        <v/>
      </c>
      <c r="S42" s="37" t="str">
        <f aca="false">IF($A42="","",IFERROR(1/(1/IF($B42="Residential",SUMIFS(INDEX('Oxford Economics'!$A$7:$AZ$1000,0,IFERROR(MATCH(S$5,'Oxford Economics'!$A$6:$AZ$6,0),MATCH(S$5&amp;"",'Oxford Economics'!$A$6:$AZ$6,0))),'Oxford Economics'!$A$7:$A$1000,$C42,'Oxford Economics'!$B$7:$B$1000,Settings!$B$12)-SUMIFS(INDEX('Oxford Economics'!$A$7:$AZ$1000,0,IFERROR(MATCH(S$5,'Oxford Economics'!$A$6:$AZ$6,0),MATCH(S$5&amp;"",'Oxford Economics'!$A$6:$AZ$6,0))),'Oxford Economics'!$A$7:$A$1000,$C42,'Oxford Economics'!$B$7:$B$1000,Settings!$B$14),SUMIFS(INDEX('Oxford Economics'!$A$7:$AZ$1000,0,IFERROR(MATCH(S$5,'Oxford Economics'!$A$6:$AZ$6,0),MATCH(S$5&amp;"",'Oxford Economics'!$A$6:$AZ$6,0))),'Oxford Economics'!$A$7:$A$1000,$C42,'Oxford Economics'!$B$7:$B$1000,Settings!$B$14)+SUMIFS(INDEX('Oxford Economics'!$A$7:$AZ$1000,0,IFERROR(MATCH(S$5,'Oxford Economics'!$A$6:$AZ$6,0),MATCH(S$5&amp;"",'Oxford Economics'!$A$6:$AZ$6,0))),'Oxford Economics'!$A$7:$A$1000,$C42,'Oxford Economics'!$B$7:$B$1000,Settings!$B$16)+IF(Settings!$B$18="",0,SUMIFS(INDEX('Oxford Economics'!$A$7:$AZ$1000,0,IFERROR(MATCH(S$5,'Oxford Economics'!$A$6:$AZ$6,0),MATCH(S$5&amp;"",'Oxford Economics'!$A$6:$AZ$6,0))),'Oxford Economics'!$A$7:$A$1000,$C42,'Oxford Economics'!$B$7:$B$1000,Settings!$B$18)))),""))</f>
        <v/>
      </c>
      <c r="T42" s="37" t="str">
        <f aca="false">IF($A42="","",IFERROR(1/(1/IF($B42="Residential",SUMIFS(INDEX('Oxford Economics'!$A$7:$AZ$1000,0,IFERROR(MATCH(T$5,'Oxford Economics'!$A$6:$AZ$6,0),MATCH(T$5&amp;"",'Oxford Economics'!$A$6:$AZ$6,0))),'Oxford Economics'!$A$7:$A$1000,$C42,'Oxford Economics'!$B$7:$B$1000,Settings!$B$12)-SUMIFS(INDEX('Oxford Economics'!$A$7:$AZ$1000,0,IFERROR(MATCH(T$5,'Oxford Economics'!$A$6:$AZ$6,0),MATCH(T$5&amp;"",'Oxford Economics'!$A$6:$AZ$6,0))),'Oxford Economics'!$A$7:$A$1000,$C42,'Oxford Economics'!$B$7:$B$1000,Settings!$B$14),SUMIFS(INDEX('Oxford Economics'!$A$7:$AZ$1000,0,IFERROR(MATCH(T$5,'Oxford Economics'!$A$6:$AZ$6,0),MATCH(T$5&amp;"",'Oxford Economics'!$A$6:$AZ$6,0))),'Oxford Economics'!$A$7:$A$1000,$C42,'Oxford Economics'!$B$7:$B$1000,Settings!$B$14)+SUMIFS(INDEX('Oxford Economics'!$A$7:$AZ$1000,0,IFERROR(MATCH(T$5,'Oxford Economics'!$A$6:$AZ$6,0),MATCH(T$5&amp;"",'Oxford Economics'!$A$6:$AZ$6,0))),'Oxford Economics'!$A$7:$A$1000,$C42,'Oxford Economics'!$B$7:$B$1000,Settings!$B$16)+IF(Settings!$B$18="",0,SUMIFS(INDEX('Oxford Economics'!$A$7:$AZ$1000,0,IFERROR(MATCH(T$5,'Oxford Economics'!$A$6:$AZ$6,0),MATCH(T$5&amp;"",'Oxford Economics'!$A$6:$AZ$6,0))),'Oxford Economics'!$A$7:$A$1000,$C42,'Oxford Economics'!$B$7:$B$1000,Settings!$B$18)))),""))</f>
        <v/>
      </c>
      <c r="U42" s="37" t="str">
        <f aca="false">IF($A42="","",IFERROR(1/(1/IF($B42="Residential",SUMIFS(INDEX('Oxford Economics'!$A$7:$AZ$1000,0,IFERROR(MATCH(U$5,'Oxford Economics'!$A$6:$AZ$6,0),MATCH(U$5&amp;"",'Oxford Economics'!$A$6:$AZ$6,0))),'Oxford Economics'!$A$7:$A$1000,$C42,'Oxford Economics'!$B$7:$B$1000,Settings!$B$12)-SUMIFS(INDEX('Oxford Economics'!$A$7:$AZ$1000,0,IFERROR(MATCH(U$5,'Oxford Economics'!$A$6:$AZ$6,0),MATCH(U$5&amp;"",'Oxford Economics'!$A$6:$AZ$6,0))),'Oxford Economics'!$A$7:$A$1000,$C42,'Oxford Economics'!$B$7:$B$1000,Settings!$B$14),SUMIFS(INDEX('Oxford Economics'!$A$7:$AZ$1000,0,IFERROR(MATCH(U$5,'Oxford Economics'!$A$6:$AZ$6,0),MATCH(U$5&amp;"",'Oxford Economics'!$A$6:$AZ$6,0))),'Oxford Economics'!$A$7:$A$1000,$C42,'Oxford Economics'!$B$7:$B$1000,Settings!$B$14)+SUMIFS(INDEX('Oxford Economics'!$A$7:$AZ$1000,0,IFERROR(MATCH(U$5,'Oxford Economics'!$A$6:$AZ$6,0),MATCH(U$5&amp;"",'Oxford Economics'!$A$6:$AZ$6,0))),'Oxford Economics'!$A$7:$A$1000,$C42,'Oxford Economics'!$B$7:$B$1000,Settings!$B$16)+IF(Settings!$B$18="",0,SUMIFS(INDEX('Oxford Economics'!$A$7:$AZ$1000,0,IFERROR(MATCH(U$5,'Oxford Economics'!$A$6:$AZ$6,0),MATCH(U$5&amp;"",'Oxford Economics'!$A$6:$AZ$6,0))),'Oxford Economics'!$A$7:$A$1000,$C42,'Oxford Economics'!$B$7:$B$1000,Settings!$B$18)))),""))</f>
        <v/>
      </c>
      <c r="V42" s="37" t="str">
        <f aca="false">IF($A42="","",IFERROR(1/(1/IF($B42="Residential",SUMIFS(INDEX('Oxford Economics'!$A$7:$AZ$1000,0,IFERROR(MATCH(V$5,'Oxford Economics'!$A$6:$AZ$6,0),MATCH(V$5&amp;"",'Oxford Economics'!$A$6:$AZ$6,0))),'Oxford Economics'!$A$7:$A$1000,$C42,'Oxford Economics'!$B$7:$B$1000,Settings!$B$12)-SUMIFS(INDEX('Oxford Economics'!$A$7:$AZ$1000,0,IFERROR(MATCH(V$5,'Oxford Economics'!$A$6:$AZ$6,0),MATCH(V$5&amp;"",'Oxford Economics'!$A$6:$AZ$6,0))),'Oxford Economics'!$A$7:$A$1000,$C42,'Oxford Economics'!$B$7:$B$1000,Settings!$B$14),SUMIFS(INDEX('Oxford Economics'!$A$7:$AZ$1000,0,IFERROR(MATCH(V$5,'Oxford Economics'!$A$6:$AZ$6,0),MATCH(V$5&amp;"",'Oxford Economics'!$A$6:$AZ$6,0))),'Oxford Economics'!$A$7:$A$1000,$C42,'Oxford Economics'!$B$7:$B$1000,Settings!$B$14)+SUMIFS(INDEX('Oxford Economics'!$A$7:$AZ$1000,0,IFERROR(MATCH(V$5,'Oxford Economics'!$A$6:$AZ$6,0),MATCH(V$5&amp;"",'Oxford Economics'!$A$6:$AZ$6,0))),'Oxford Economics'!$A$7:$A$1000,$C42,'Oxford Economics'!$B$7:$B$1000,Settings!$B$16)+IF(Settings!$B$18="",0,SUMIFS(INDEX('Oxford Economics'!$A$7:$AZ$1000,0,IFERROR(MATCH(V$5,'Oxford Economics'!$A$6:$AZ$6,0),MATCH(V$5&amp;"",'Oxford Economics'!$A$6:$AZ$6,0))),'Oxford Economics'!$A$7:$A$1000,$C42,'Oxford Economics'!$B$7:$B$1000,Settings!$B$18)))),""))</f>
        <v/>
      </c>
      <c r="W42" s="37" t="str">
        <f aca="false">IF($A42="","",IFERROR(1/(1/IF($B42="Residential",SUMIFS(INDEX('Oxford Economics'!$A$7:$AZ$1000,0,IFERROR(MATCH(W$5,'Oxford Economics'!$A$6:$AZ$6,0),MATCH(W$5&amp;"",'Oxford Economics'!$A$6:$AZ$6,0))),'Oxford Economics'!$A$7:$A$1000,$C42,'Oxford Economics'!$B$7:$B$1000,Settings!$B$12)-SUMIFS(INDEX('Oxford Economics'!$A$7:$AZ$1000,0,IFERROR(MATCH(W$5,'Oxford Economics'!$A$6:$AZ$6,0),MATCH(W$5&amp;"",'Oxford Economics'!$A$6:$AZ$6,0))),'Oxford Economics'!$A$7:$A$1000,$C42,'Oxford Economics'!$B$7:$B$1000,Settings!$B$14),SUMIFS(INDEX('Oxford Economics'!$A$7:$AZ$1000,0,IFERROR(MATCH(W$5,'Oxford Economics'!$A$6:$AZ$6,0),MATCH(W$5&amp;"",'Oxford Economics'!$A$6:$AZ$6,0))),'Oxford Economics'!$A$7:$A$1000,$C42,'Oxford Economics'!$B$7:$B$1000,Settings!$B$14)+SUMIFS(INDEX('Oxford Economics'!$A$7:$AZ$1000,0,IFERROR(MATCH(W$5,'Oxford Economics'!$A$6:$AZ$6,0),MATCH(W$5&amp;"",'Oxford Economics'!$A$6:$AZ$6,0))),'Oxford Economics'!$A$7:$A$1000,$C42,'Oxford Economics'!$B$7:$B$1000,Settings!$B$16)+IF(Settings!$B$18="",0,SUMIFS(INDEX('Oxford Economics'!$A$7:$AZ$1000,0,IFERROR(MATCH(W$5,'Oxford Economics'!$A$6:$AZ$6,0),MATCH(W$5&amp;"",'Oxford Economics'!$A$6:$AZ$6,0))),'Oxford Economics'!$A$7:$A$1000,$C42,'Oxford Economics'!$B$7:$B$1000,Settings!$B$18)))),""))</f>
        <v/>
      </c>
      <c r="X42" s="37" t="str">
        <f aca="false">IF($A42="","",IFERROR(1/(1/IF($B42="Residential",SUMIFS(INDEX('Oxford Economics'!$A$7:$AZ$1000,0,IFERROR(MATCH(X$5,'Oxford Economics'!$A$6:$AZ$6,0),MATCH(X$5&amp;"",'Oxford Economics'!$A$6:$AZ$6,0))),'Oxford Economics'!$A$7:$A$1000,$C42,'Oxford Economics'!$B$7:$B$1000,Settings!$B$12)-SUMIFS(INDEX('Oxford Economics'!$A$7:$AZ$1000,0,IFERROR(MATCH(X$5,'Oxford Economics'!$A$6:$AZ$6,0),MATCH(X$5&amp;"",'Oxford Economics'!$A$6:$AZ$6,0))),'Oxford Economics'!$A$7:$A$1000,$C42,'Oxford Economics'!$B$7:$B$1000,Settings!$B$14),SUMIFS(INDEX('Oxford Economics'!$A$7:$AZ$1000,0,IFERROR(MATCH(X$5,'Oxford Economics'!$A$6:$AZ$6,0),MATCH(X$5&amp;"",'Oxford Economics'!$A$6:$AZ$6,0))),'Oxford Economics'!$A$7:$A$1000,$C42,'Oxford Economics'!$B$7:$B$1000,Settings!$B$14)+SUMIFS(INDEX('Oxford Economics'!$A$7:$AZ$1000,0,IFERROR(MATCH(X$5,'Oxford Economics'!$A$6:$AZ$6,0),MATCH(X$5&amp;"",'Oxford Economics'!$A$6:$AZ$6,0))),'Oxford Economics'!$A$7:$A$1000,$C42,'Oxford Economics'!$B$7:$B$1000,Settings!$B$16)+IF(Settings!$B$18="",0,SUMIFS(INDEX('Oxford Economics'!$A$7:$AZ$1000,0,IFERROR(MATCH(X$5,'Oxford Economics'!$A$6:$AZ$6,0),MATCH(X$5&amp;"",'Oxford Economics'!$A$6:$AZ$6,0))),'Oxford Economics'!$A$7:$A$1000,$C42,'Oxford Economics'!$B$7:$B$1000,Settings!$B$18)))),""))</f>
        <v/>
      </c>
      <c r="Y42" s="37" t="str">
        <f aca="false">IF($A42="","",IFERROR(1/(1/IF($B42="Residential",SUMIFS(INDEX('Oxford Economics'!$A$7:$AZ$1000,0,IFERROR(MATCH(Y$5,'Oxford Economics'!$A$6:$AZ$6,0),MATCH(Y$5&amp;"",'Oxford Economics'!$A$6:$AZ$6,0))),'Oxford Economics'!$A$7:$A$1000,$C42,'Oxford Economics'!$B$7:$B$1000,Settings!$B$12)-SUMIFS(INDEX('Oxford Economics'!$A$7:$AZ$1000,0,IFERROR(MATCH(Y$5,'Oxford Economics'!$A$6:$AZ$6,0),MATCH(Y$5&amp;"",'Oxford Economics'!$A$6:$AZ$6,0))),'Oxford Economics'!$A$7:$A$1000,$C42,'Oxford Economics'!$B$7:$B$1000,Settings!$B$14),SUMIFS(INDEX('Oxford Economics'!$A$7:$AZ$1000,0,IFERROR(MATCH(Y$5,'Oxford Economics'!$A$6:$AZ$6,0),MATCH(Y$5&amp;"",'Oxford Economics'!$A$6:$AZ$6,0))),'Oxford Economics'!$A$7:$A$1000,$C42,'Oxford Economics'!$B$7:$B$1000,Settings!$B$14)+SUMIFS(INDEX('Oxford Economics'!$A$7:$AZ$1000,0,IFERROR(MATCH(Y$5,'Oxford Economics'!$A$6:$AZ$6,0),MATCH(Y$5&amp;"",'Oxford Economics'!$A$6:$AZ$6,0))),'Oxford Economics'!$A$7:$A$1000,$C42,'Oxford Economics'!$B$7:$B$1000,Settings!$B$16)+IF(Settings!$B$18="",0,SUMIFS(INDEX('Oxford Economics'!$A$7:$AZ$1000,0,IFERROR(MATCH(Y$5,'Oxford Economics'!$A$6:$AZ$6,0),MATCH(Y$5&amp;"",'Oxford Economics'!$A$6:$AZ$6,0))),'Oxford Economics'!$A$7:$A$1000,$C42,'Oxford Economics'!$B$7:$B$1000,Settings!$B$18)))),""))</f>
        <v/>
      </c>
      <c r="Z42" s="37" t="str">
        <f aca="false">IF($A42="","",IFERROR(1/(1/IF($B42="Residential",SUMIFS(INDEX('Oxford Economics'!$A$7:$AZ$1000,0,IFERROR(MATCH(Z$5,'Oxford Economics'!$A$6:$AZ$6,0),MATCH(Z$5&amp;"",'Oxford Economics'!$A$6:$AZ$6,0))),'Oxford Economics'!$A$7:$A$1000,$C42,'Oxford Economics'!$B$7:$B$1000,Settings!$B$12)-SUMIFS(INDEX('Oxford Economics'!$A$7:$AZ$1000,0,IFERROR(MATCH(Z$5,'Oxford Economics'!$A$6:$AZ$6,0),MATCH(Z$5&amp;"",'Oxford Economics'!$A$6:$AZ$6,0))),'Oxford Economics'!$A$7:$A$1000,$C42,'Oxford Economics'!$B$7:$B$1000,Settings!$B$14),SUMIFS(INDEX('Oxford Economics'!$A$7:$AZ$1000,0,IFERROR(MATCH(Z$5,'Oxford Economics'!$A$6:$AZ$6,0),MATCH(Z$5&amp;"",'Oxford Economics'!$A$6:$AZ$6,0))),'Oxford Economics'!$A$7:$A$1000,$C42,'Oxford Economics'!$B$7:$B$1000,Settings!$B$14)+SUMIFS(INDEX('Oxford Economics'!$A$7:$AZ$1000,0,IFERROR(MATCH(Z$5,'Oxford Economics'!$A$6:$AZ$6,0),MATCH(Z$5&amp;"",'Oxford Economics'!$A$6:$AZ$6,0))),'Oxford Economics'!$A$7:$A$1000,$C42,'Oxford Economics'!$B$7:$B$1000,Settings!$B$16)+IF(Settings!$B$18="",0,SUMIFS(INDEX('Oxford Economics'!$A$7:$AZ$1000,0,IFERROR(MATCH(Z$5,'Oxford Economics'!$A$6:$AZ$6,0),MATCH(Z$5&amp;"",'Oxford Economics'!$A$6:$AZ$6,0))),'Oxford Economics'!$A$7:$A$1000,$C42,'Oxford Economics'!$B$7:$B$1000,Settings!$B$18)))),""))</f>
        <v/>
      </c>
      <c r="AA42" s="37" t="str">
        <f aca="false">IF($A42="","",IFERROR(1/(1/IF($B42="Residential",SUMIFS(INDEX('Oxford Economics'!$A$7:$AZ$1000,0,IFERROR(MATCH(AA$5,'Oxford Economics'!$A$6:$AZ$6,0),MATCH(AA$5&amp;"",'Oxford Economics'!$A$6:$AZ$6,0))),'Oxford Economics'!$A$7:$A$1000,$C42,'Oxford Economics'!$B$7:$B$1000,Settings!$B$12)-SUMIFS(INDEX('Oxford Economics'!$A$7:$AZ$1000,0,IFERROR(MATCH(AA$5,'Oxford Economics'!$A$6:$AZ$6,0),MATCH(AA$5&amp;"",'Oxford Economics'!$A$6:$AZ$6,0))),'Oxford Economics'!$A$7:$A$1000,$C42,'Oxford Economics'!$B$7:$B$1000,Settings!$B$14),SUMIFS(INDEX('Oxford Economics'!$A$7:$AZ$1000,0,IFERROR(MATCH(AA$5,'Oxford Economics'!$A$6:$AZ$6,0),MATCH(AA$5&amp;"",'Oxford Economics'!$A$6:$AZ$6,0))),'Oxford Economics'!$A$7:$A$1000,$C42,'Oxford Economics'!$B$7:$B$1000,Settings!$B$14)+SUMIFS(INDEX('Oxford Economics'!$A$7:$AZ$1000,0,IFERROR(MATCH(AA$5,'Oxford Economics'!$A$6:$AZ$6,0),MATCH(AA$5&amp;"",'Oxford Economics'!$A$6:$AZ$6,0))),'Oxford Economics'!$A$7:$A$1000,$C42,'Oxford Economics'!$B$7:$B$1000,Settings!$B$16)+IF(Settings!$B$18="",0,SUMIFS(INDEX('Oxford Economics'!$A$7:$AZ$1000,0,IFERROR(MATCH(AA$5,'Oxford Economics'!$A$6:$AZ$6,0),MATCH(AA$5&amp;"",'Oxford Economics'!$A$6:$AZ$6,0))),'Oxford Economics'!$A$7:$A$1000,$C42,'Oxford Economics'!$B$7:$B$1000,Settings!$B$18)))),""))</f>
        <v/>
      </c>
      <c r="AB42" s="37" t="str">
        <f aca="false">IF($A42="","",IFERROR(1/(1/IF($B42="Residential",SUMIFS(INDEX('Oxford Economics'!$A$7:$AZ$1000,0,IFERROR(MATCH(AB$5,'Oxford Economics'!$A$6:$AZ$6,0),MATCH(AB$5&amp;"",'Oxford Economics'!$A$6:$AZ$6,0))),'Oxford Economics'!$A$7:$A$1000,$C42,'Oxford Economics'!$B$7:$B$1000,Settings!$B$11)-SUMIFS(INDEX('Oxford Economics'!$A$7:$AZ$1000,0,IFERROR(MATCH(AB$5,'Oxford Economics'!$A$6:$AZ$6,0),MATCH(AB$5&amp;"",'Oxford Economics'!$A$6:$AZ$6,0))),'Oxford Economics'!$A$7:$A$1000,$C42,'Oxford Economics'!$B$7:$B$1000,Settings!$B$13),SUMIFS(INDEX('Oxford Economics'!$A$7:$AZ$1000,0,IFERROR(MATCH(AB$5,'Oxford Economics'!$A$6:$AZ$6,0),MATCH(AB$5&amp;"",'Oxford Economics'!$A$6:$AZ$6,0))),'Oxford Economics'!$A$7:$A$1000,$C42,'Oxford Economics'!$B$7:$B$1000,Settings!$B$13)+SUMIFS(INDEX('Oxford Economics'!$A$7:$AZ$1000,0,IFERROR(MATCH(AB$5,'Oxford Economics'!$A$6:$AZ$6,0),MATCH(AB$5&amp;"",'Oxford Economics'!$A$6:$AZ$6,0))),'Oxford Economics'!$A$7:$A$1000,$C42,'Oxford Economics'!$B$7:$B$1000,Settings!$B$15)+IF(Settings!$B$17="",0,SUMIFS(INDEX('Oxford Economics'!$A$7:$AZ$1000,0,IFERROR(MATCH(AB$5,'Oxford Economics'!$A$6:$AZ$6,0),MATCH(AB$5&amp;"",'Oxford Economics'!$A$6:$AZ$6,0))),'Oxford Economics'!$A$7:$A$1000,$C42,'Oxford Economics'!$B$7:$B$1000,Settings!$B$17)))),""))</f>
        <v/>
      </c>
      <c r="AC42" s="37" t="str">
        <f aca="false">IF($A42="","",IFERROR(1/(1/IF($B42="Residential",SUMIFS(INDEX('Oxford Economics'!$A$7:$AZ$1000,0,IFERROR(MATCH(AC$5,'Oxford Economics'!$A$6:$AZ$6,0),MATCH(AC$5&amp;"",'Oxford Economics'!$A$6:$AZ$6,0))),'Oxford Economics'!$A$7:$A$1000,$C42,'Oxford Economics'!$B$7:$B$1000,Settings!$B$11)-SUMIFS(INDEX('Oxford Economics'!$A$7:$AZ$1000,0,IFERROR(MATCH(AC$5,'Oxford Economics'!$A$6:$AZ$6,0),MATCH(AC$5&amp;"",'Oxford Economics'!$A$6:$AZ$6,0))),'Oxford Economics'!$A$7:$A$1000,$C42,'Oxford Economics'!$B$7:$B$1000,Settings!$B$13),SUMIFS(INDEX('Oxford Economics'!$A$7:$AZ$1000,0,IFERROR(MATCH(AC$5,'Oxford Economics'!$A$6:$AZ$6,0),MATCH(AC$5&amp;"",'Oxford Economics'!$A$6:$AZ$6,0))),'Oxford Economics'!$A$7:$A$1000,$C42,'Oxford Economics'!$B$7:$B$1000,Settings!$B$13)+SUMIFS(INDEX('Oxford Economics'!$A$7:$AZ$1000,0,IFERROR(MATCH(AC$5,'Oxford Economics'!$A$6:$AZ$6,0),MATCH(AC$5&amp;"",'Oxford Economics'!$A$6:$AZ$6,0))),'Oxford Economics'!$A$7:$A$1000,$C42,'Oxford Economics'!$B$7:$B$1000,Settings!$B$15)+IF(Settings!$B$17="",0,SUMIFS(INDEX('Oxford Economics'!$A$7:$AZ$1000,0,IFERROR(MATCH(AC$5,'Oxford Economics'!$A$6:$AZ$6,0),MATCH(AC$5&amp;"",'Oxford Economics'!$A$6:$AZ$6,0))),'Oxford Economics'!$A$7:$A$1000,$C42,'Oxford Economics'!$B$7:$B$1000,Settings!$B$17)))),""))</f>
        <v/>
      </c>
      <c r="AD42" s="37" t="str">
        <f aca="false">IF($A42="","",IFERROR(1/(1/IF($B42="Residential",SUMIFS(INDEX('Oxford Economics'!$A$7:$AZ$1000,0,IFERROR(MATCH(AD$5,'Oxford Economics'!$A$6:$AZ$6,0),MATCH(AD$5&amp;"",'Oxford Economics'!$A$6:$AZ$6,0))),'Oxford Economics'!$A$7:$A$1000,$C42,'Oxford Economics'!$B$7:$B$1000,Settings!$B$11)-SUMIFS(INDEX('Oxford Economics'!$A$7:$AZ$1000,0,IFERROR(MATCH(AD$5,'Oxford Economics'!$A$6:$AZ$6,0),MATCH(AD$5&amp;"",'Oxford Economics'!$A$6:$AZ$6,0))),'Oxford Economics'!$A$7:$A$1000,$C42,'Oxford Economics'!$B$7:$B$1000,Settings!$B$13),SUMIFS(INDEX('Oxford Economics'!$A$7:$AZ$1000,0,IFERROR(MATCH(AD$5,'Oxford Economics'!$A$6:$AZ$6,0),MATCH(AD$5&amp;"",'Oxford Economics'!$A$6:$AZ$6,0))),'Oxford Economics'!$A$7:$A$1000,$C42,'Oxford Economics'!$B$7:$B$1000,Settings!$B$13)+SUMIFS(INDEX('Oxford Economics'!$A$7:$AZ$1000,0,IFERROR(MATCH(AD$5,'Oxford Economics'!$A$6:$AZ$6,0),MATCH(AD$5&amp;"",'Oxford Economics'!$A$6:$AZ$6,0))),'Oxford Economics'!$A$7:$A$1000,$C42,'Oxford Economics'!$B$7:$B$1000,Settings!$B$15)+IF(Settings!$B$17="",0,SUMIFS(INDEX('Oxford Economics'!$A$7:$AZ$1000,0,IFERROR(MATCH(AD$5,'Oxford Economics'!$A$6:$AZ$6,0),MATCH(AD$5&amp;"",'Oxford Economics'!$A$6:$AZ$6,0))),'Oxford Economics'!$A$7:$A$1000,$C42,'Oxford Economics'!$B$7:$B$1000,Settings!$B$17)))),""))</f>
        <v/>
      </c>
      <c r="AE42" s="37" t="str">
        <f aca="false">IF($A42="","",IFERROR(1/(1/IF($B42="Residential",SUMIFS(INDEX('Oxford Economics'!$A$7:$AZ$1000,0,IFERROR(MATCH(AE$5,'Oxford Economics'!$A$6:$AZ$6,0),MATCH(AE$5&amp;"",'Oxford Economics'!$A$6:$AZ$6,0))),'Oxford Economics'!$A$7:$A$1000,$C42,'Oxford Economics'!$B$7:$B$1000,Settings!$B$11)-SUMIFS(INDEX('Oxford Economics'!$A$7:$AZ$1000,0,IFERROR(MATCH(AE$5,'Oxford Economics'!$A$6:$AZ$6,0),MATCH(AE$5&amp;"",'Oxford Economics'!$A$6:$AZ$6,0))),'Oxford Economics'!$A$7:$A$1000,$C42,'Oxford Economics'!$B$7:$B$1000,Settings!$B$13),SUMIFS(INDEX('Oxford Economics'!$A$7:$AZ$1000,0,IFERROR(MATCH(AE$5,'Oxford Economics'!$A$6:$AZ$6,0),MATCH(AE$5&amp;"",'Oxford Economics'!$A$6:$AZ$6,0))),'Oxford Economics'!$A$7:$A$1000,$C42,'Oxford Economics'!$B$7:$B$1000,Settings!$B$13)+SUMIFS(INDEX('Oxford Economics'!$A$7:$AZ$1000,0,IFERROR(MATCH(AE$5,'Oxford Economics'!$A$6:$AZ$6,0),MATCH(AE$5&amp;"",'Oxford Economics'!$A$6:$AZ$6,0))),'Oxford Economics'!$A$7:$A$1000,$C42,'Oxford Economics'!$B$7:$B$1000,Settings!$B$15)+IF(Settings!$B$17="",0,SUMIFS(INDEX('Oxford Economics'!$A$7:$AZ$1000,0,IFERROR(MATCH(AE$5,'Oxford Economics'!$A$6:$AZ$6,0),MATCH(AE$5&amp;"",'Oxford Economics'!$A$6:$AZ$6,0))),'Oxford Economics'!$A$7:$A$1000,$C42,'Oxford Economics'!$B$7:$B$1000,Settings!$B$17)))),""))</f>
        <v/>
      </c>
      <c r="AF42" s="37" t="str">
        <f aca="false">IF($A42="","",IFERROR(1/(1/IF($B42="Residential",SUMIFS(INDEX('Oxford Economics'!$A$7:$AZ$1000,0,IFERROR(MATCH(AF$5,'Oxford Economics'!$A$6:$AZ$6,0),MATCH(AF$5&amp;"",'Oxford Economics'!$A$6:$AZ$6,0))),'Oxford Economics'!$A$7:$A$1000,$C42,'Oxford Economics'!$B$7:$B$1000,Settings!$B$11)-SUMIFS(INDEX('Oxford Economics'!$A$7:$AZ$1000,0,IFERROR(MATCH(AF$5,'Oxford Economics'!$A$6:$AZ$6,0),MATCH(AF$5&amp;"",'Oxford Economics'!$A$6:$AZ$6,0))),'Oxford Economics'!$A$7:$A$1000,$C42,'Oxford Economics'!$B$7:$B$1000,Settings!$B$13),SUMIFS(INDEX('Oxford Economics'!$A$7:$AZ$1000,0,IFERROR(MATCH(AF$5,'Oxford Economics'!$A$6:$AZ$6,0),MATCH(AF$5&amp;"",'Oxford Economics'!$A$6:$AZ$6,0))),'Oxford Economics'!$A$7:$A$1000,$C42,'Oxford Economics'!$B$7:$B$1000,Settings!$B$13)+SUMIFS(INDEX('Oxford Economics'!$A$7:$AZ$1000,0,IFERROR(MATCH(AF$5,'Oxford Economics'!$A$6:$AZ$6,0),MATCH(AF$5&amp;"",'Oxford Economics'!$A$6:$AZ$6,0))),'Oxford Economics'!$A$7:$A$1000,$C42,'Oxford Economics'!$B$7:$B$1000,Settings!$B$15)+IF(Settings!$B$17="",0,SUMIFS(INDEX('Oxford Economics'!$A$7:$AZ$1000,0,IFERROR(MATCH(AF$5,'Oxford Economics'!$A$6:$AZ$6,0),MATCH(AF$5&amp;"",'Oxford Economics'!$A$6:$AZ$6,0))),'Oxford Economics'!$A$7:$A$1000,$C42,'Oxford Economics'!$B$7:$B$1000,Settings!$B$17)))),""))</f>
        <v/>
      </c>
      <c r="AG42" s="37" t="str">
        <f aca="false">IF($A42="","",IFERROR(1/(1/IF($B42="Residential",SUMIFS(INDEX('Oxford Economics'!$A$7:$AZ$1000,0,IFERROR(MATCH(AG$5,'Oxford Economics'!$A$6:$AZ$6,0),MATCH(AG$5&amp;"",'Oxford Economics'!$A$6:$AZ$6,0))),'Oxford Economics'!$A$7:$A$1000,$C42,'Oxford Economics'!$B$7:$B$1000,Settings!$B$11)-SUMIFS(INDEX('Oxford Economics'!$A$7:$AZ$1000,0,IFERROR(MATCH(AG$5,'Oxford Economics'!$A$6:$AZ$6,0),MATCH(AG$5&amp;"",'Oxford Economics'!$A$6:$AZ$6,0))),'Oxford Economics'!$A$7:$A$1000,$C42,'Oxford Economics'!$B$7:$B$1000,Settings!$B$13),SUMIFS(INDEX('Oxford Economics'!$A$7:$AZ$1000,0,IFERROR(MATCH(AG$5,'Oxford Economics'!$A$6:$AZ$6,0),MATCH(AG$5&amp;"",'Oxford Economics'!$A$6:$AZ$6,0))),'Oxford Economics'!$A$7:$A$1000,$C42,'Oxford Economics'!$B$7:$B$1000,Settings!$B$13)+SUMIFS(INDEX('Oxford Economics'!$A$7:$AZ$1000,0,IFERROR(MATCH(AG$5,'Oxford Economics'!$A$6:$AZ$6,0),MATCH(AG$5&amp;"",'Oxford Economics'!$A$6:$AZ$6,0))),'Oxford Economics'!$A$7:$A$1000,$C42,'Oxford Economics'!$B$7:$B$1000,Settings!$B$15)+IF(Settings!$B$17="",0,SUMIFS(INDEX('Oxford Economics'!$A$7:$AZ$1000,0,IFERROR(MATCH(AG$5,'Oxford Economics'!$A$6:$AZ$6,0),MATCH(AG$5&amp;"",'Oxford Economics'!$A$6:$AZ$6,0))),'Oxford Economics'!$A$7:$A$1000,$C42,'Oxford Economics'!$B$7:$B$1000,Settings!$B$17)))),""))</f>
        <v/>
      </c>
      <c r="AH42" s="37" t="str">
        <f aca="false">IF($A42="","",IFERROR(1/(1/IF($B42="Residential",SUMIFS(INDEX('Oxford Economics'!$A$7:$AZ$1000,0,IFERROR(MATCH(AH$5,'Oxford Economics'!$A$6:$AZ$6,0),MATCH(AH$5&amp;"",'Oxford Economics'!$A$6:$AZ$6,0))),'Oxford Economics'!$A$7:$A$1000,$C42,'Oxford Economics'!$B$7:$B$1000,Settings!$B$11)-SUMIFS(INDEX('Oxford Economics'!$A$7:$AZ$1000,0,IFERROR(MATCH(AH$5,'Oxford Economics'!$A$6:$AZ$6,0),MATCH(AH$5&amp;"",'Oxford Economics'!$A$6:$AZ$6,0))),'Oxford Economics'!$A$7:$A$1000,$C42,'Oxford Economics'!$B$7:$B$1000,Settings!$B$13),SUMIFS(INDEX('Oxford Economics'!$A$7:$AZ$1000,0,IFERROR(MATCH(AH$5,'Oxford Economics'!$A$6:$AZ$6,0),MATCH(AH$5&amp;"",'Oxford Economics'!$A$6:$AZ$6,0))),'Oxford Economics'!$A$7:$A$1000,$C42,'Oxford Economics'!$B$7:$B$1000,Settings!$B$13)+SUMIFS(INDEX('Oxford Economics'!$A$7:$AZ$1000,0,IFERROR(MATCH(AH$5,'Oxford Economics'!$A$6:$AZ$6,0),MATCH(AH$5&amp;"",'Oxford Economics'!$A$6:$AZ$6,0))),'Oxford Economics'!$A$7:$A$1000,$C42,'Oxford Economics'!$B$7:$B$1000,Settings!$B$15)+IF(Settings!$B$17="",0,SUMIFS(INDEX('Oxford Economics'!$A$7:$AZ$1000,0,IFERROR(MATCH(AH$5,'Oxford Economics'!$A$6:$AZ$6,0),MATCH(AH$5&amp;"",'Oxford Economics'!$A$6:$AZ$6,0))),'Oxford Economics'!$A$7:$A$1000,$C42,'Oxford Economics'!$B$7:$B$1000,Settings!$B$17)))),""))</f>
        <v/>
      </c>
      <c r="AI42" s="37" t="str">
        <f aca="false">IF($A42="","",IFERROR(1/(1/IF($B42="Residential",SUMIFS(INDEX('Oxford Economics'!$A$7:$AZ$1000,0,IFERROR(MATCH(AI$5,'Oxford Economics'!$A$6:$AZ$6,0),MATCH(AI$5&amp;"",'Oxford Economics'!$A$6:$AZ$6,0))),'Oxford Economics'!$A$7:$A$1000,$C42,'Oxford Economics'!$B$7:$B$1000,Settings!$B$11)-SUMIFS(INDEX('Oxford Economics'!$A$7:$AZ$1000,0,IFERROR(MATCH(AI$5,'Oxford Economics'!$A$6:$AZ$6,0),MATCH(AI$5&amp;"",'Oxford Economics'!$A$6:$AZ$6,0))),'Oxford Economics'!$A$7:$A$1000,$C42,'Oxford Economics'!$B$7:$B$1000,Settings!$B$13),SUMIFS(INDEX('Oxford Economics'!$A$7:$AZ$1000,0,IFERROR(MATCH(AI$5,'Oxford Economics'!$A$6:$AZ$6,0),MATCH(AI$5&amp;"",'Oxford Economics'!$A$6:$AZ$6,0))),'Oxford Economics'!$A$7:$A$1000,$C42,'Oxford Economics'!$B$7:$B$1000,Settings!$B$13)+SUMIFS(INDEX('Oxford Economics'!$A$7:$AZ$1000,0,IFERROR(MATCH(AI$5,'Oxford Economics'!$A$6:$AZ$6,0),MATCH(AI$5&amp;"",'Oxford Economics'!$A$6:$AZ$6,0))),'Oxford Economics'!$A$7:$A$1000,$C42,'Oxford Economics'!$B$7:$B$1000,Settings!$B$15)+IF(Settings!$B$17="",0,SUMIFS(INDEX('Oxford Economics'!$A$7:$AZ$1000,0,IFERROR(MATCH(AI$5,'Oxford Economics'!$A$6:$AZ$6,0),MATCH(AI$5&amp;"",'Oxford Economics'!$A$6:$AZ$6,0))),'Oxford Economics'!$A$7:$A$1000,$C42,'Oxford Economics'!$B$7:$B$1000,Settings!$B$17)))),""))</f>
        <v/>
      </c>
      <c r="AJ42" s="37" t="str">
        <f aca="false">IF($A42="","",IFERROR(1/(1/IF($B42="Residential",SUMIFS(INDEX('Oxford Economics'!$A$7:$AZ$1000,0,IFERROR(MATCH(AJ$5,'Oxford Economics'!$A$6:$AZ$6,0),MATCH(AJ$5&amp;"",'Oxford Economics'!$A$6:$AZ$6,0))),'Oxford Economics'!$A$7:$A$1000,$C42,'Oxford Economics'!$B$7:$B$1000,Settings!$B$11)-SUMIFS(INDEX('Oxford Economics'!$A$7:$AZ$1000,0,IFERROR(MATCH(AJ$5,'Oxford Economics'!$A$6:$AZ$6,0),MATCH(AJ$5&amp;"",'Oxford Economics'!$A$6:$AZ$6,0))),'Oxford Economics'!$A$7:$A$1000,$C42,'Oxford Economics'!$B$7:$B$1000,Settings!$B$13),SUMIFS(INDEX('Oxford Economics'!$A$7:$AZ$1000,0,IFERROR(MATCH(AJ$5,'Oxford Economics'!$A$6:$AZ$6,0),MATCH(AJ$5&amp;"",'Oxford Economics'!$A$6:$AZ$6,0))),'Oxford Economics'!$A$7:$A$1000,$C42,'Oxford Economics'!$B$7:$B$1000,Settings!$B$13)+SUMIFS(INDEX('Oxford Economics'!$A$7:$AZ$1000,0,IFERROR(MATCH(AJ$5,'Oxford Economics'!$A$6:$AZ$6,0),MATCH(AJ$5&amp;"",'Oxford Economics'!$A$6:$AZ$6,0))),'Oxford Economics'!$A$7:$A$1000,$C42,'Oxford Economics'!$B$7:$B$1000,Settings!$B$15)+IF(Settings!$B$17="",0,SUMIFS(INDEX('Oxford Economics'!$A$7:$AZ$1000,0,IFERROR(MATCH(AJ$5,'Oxford Economics'!$A$6:$AZ$6,0),MATCH(AJ$5&amp;"",'Oxford Economics'!$A$6:$AZ$6,0))),'Oxford Economics'!$A$7:$A$1000,$C42,'Oxford Economics'!$B$7:$B$1000,Settings!$B$17)))),""))</f>
        <v/>
      </c>
      <c r="AK42" s="37" t="str">
        <f aca="false">IF($A42="","",IFERROR(1/(1/IF($B42="Residential",SUMIFS(INDEX('Oxford Economics'!$A$7:$AZ$1000,0,IFERROR(MATCH(AK$5,'Oxford Economics'!$A$6:$AZ$6,0),MATCH(AK$5&amp;"",'Oxford Economics'!$A$6:$AZ$6,0))),'Oxford Economics'!$A$7:$A$1000,$C42,'Oxford Economics'!$B$7:$B$1000,Settings!$B$11)-SUMIFS(INDEX('Oxford Economics'!$A$7:$AZ$1000,0,IFERROR(MATCH(AK$5,'Oxford Economics'!$A$6:$AZ$6,0),MATCH(AK$5&amp;"",'Oxford Economics'!$A$6:$AZ$6,0))),'Oxford Economics'!$A$7:$A$1000,$C42,'Oxford Economics'!$B$7:$B$1000,Settings!$B$13),SUMIFS(INDEX('Oxford Economics'!$A$7:$AZ$1000,0,IFERROR(MATCH(AK$5,'Oxford Economics'!$A$6:$AZ$6,0),MATCH(AK$5&amp;"",'Oxford Economics'!$A$6:$AZ$6,0))),'Oxford Economics'!$A$7:$A$1000,$C42,'Oxford Economics'!$B$7:$B$1000,Settings!$B$13)+SUMIFS(INDEX('Oxford Economics'!$A$7:$AZ$1000,0,IFERROR(MATCH(AK$5,'Oxford Economics'!$A$6:$AZ$6,0),MATCH(AK$5&amp;"",'Oxford Economics'!$A$6:$AZ$6,0))),'Oxford Economics'!$A$7:$A$1000,$C42,'Oxford Economics'!$B$7:$B$1000,Settings!$B$15)+IF(Settings!$B$17="",0,SUMIFS(INDEX('Oxford Economics'!$A$7:$AZ$1000,0,IFERROR(MATCH(AK$5,'Oxford Economics'!$A$6:$AZ$6,0),MATCH(AK$5&amp;"",'Oxford Economics'!$A$6:$AZ$6,0))),'Oxford Economics'!$A$7:$A$1000,$C42,'Oxford Economics'!$B$7:$B$1000,Settings!$B$17)))),""))</f>
        <v/>
      </c>
      <c r="AL42" s="37" t="str">
        <f aca="false">IF($A42="","",IFERROR(1/(1/IF($B42="Residential",SUMIFS(INDEX('Oxford Economics'!$A$7:$AZ$1000,0,IFERROR(MATCH(AL$5,'Oxford Economics'!$A$6:$AZ$6,0),MATCH(AL$5&amp;"",'Oxford Economics'!$A$6:$AZ$6,0))),'Oxford Economics'!$A$7:$A$1000,$C42,'Oxford Economics'!$B$7:$B$1000,Settings!$B$11)-SUMIFS(INDEX('Oxford Economics'!$A$7:$AZ$1000,0,IFERROR(MATCH(AL$5,'Oxford Economics'!$A$6:$AZ$6,0),MATCH(AL$5&amp;"",'Oxford Economics'!$A$6:$AZ$6,0))),'Oxford Economics'!$A$7:$A$1000,$C42,'Oxford Economics'!$B$7:$B$1000,Settings!$B$13),SUMIFS(INDEX('Oxford Economics'!$A$7:$AZ$1000,0,IFERROR(MATCH(AL$5,'Oxford Economics'!$A$6:$AZ$6,0),MATCH(AL$5&amp;"",'Oxford Economics'!$A$6:$AZ$6,0))),'Oxford Economics'!$A$7:$A$1000,$C42,'Oxford Economics'!$B$7:$B$1000,Settings!$B$13)+SUMIFS(INDEX('Oxford Economics'!$A$7:$AZ$1000,0,IFERROR(MATCH(AL$5,'Oxford Economics'!$A$6:$AZ$6,0),MATCH(AL$5&amp;"",'Oxford Economics'!$A$6:$AZ$6,0))),'Oxford Economics'!$A$7:$A$1000,$C42,'Oxford Economics'!$B$7:$B$1000,Settings!$B$15)+IF(Settings!$B$17="",0,SUMIFS(INDEX('Oxford Economics'!$A$7:$AZ$1000,0,IFERROR(MATCH(AL$5,'Oxford Economics'!$A$6:$AZ$6,0),MATCH(AL$5&amp;"",'Oxford Economics'!$A$6:$AZ$6,0))),'Oxford Economics'!$A$7:$A$1000,$C42,'Oxford Economics'!$B$7:$B$1000,Settings!$B$17)))),""))</f>
        <v/>
      </c>
      <c r="AM42" s="37" t="str">
        <f aca="false">IF($A42="","",IFERROR(1/(1/IF($B42="Residential",SUMIFS(INDEX('Oxford Economics'!$A$7:$AZ$1000,0,IFERROR(MATCH(AM$5,'Oxford Economics'!$A$6:$AZ$6,0),MATCH(AM$5&amp;"",'Oxford Economics'!$A$6:$AZ$6,0))),'Oxford Economics'!$A$7:$A$1000,$C42,'Oxford Economics'!$B$7:$B$1000,Settings!$B$11)-SUMIFS(INDEX('Oxford Economics'!$A$7:$AZ$1000,0,IFERROR(MATCH(AM$5,'Oxford Economics'!$A$6:$AZ$6,0),MATCH(AM$5&amp;"",'Oxford Economics'!$A$6:$AZ$6,0))),'Oxford Economics'!$A$7:$A$1000,$C42,'Oxford Economics'!$B$7:$B$1000,Settings!$B$13),SUMIFS(INDEX('Oxford Economics'!$A$7:$AZ$1000,0,IFERROR(MATCH(AM$5,'Oxford Economics'!$A$6:$AZ$6,0),MATCH(AM$5&amp;"",'Oxford Economics'!$A$6:$AZ$6,0))),'Oxford Economics'!$A$7:$A$1000,$C42,'Oxford Economics'!$B$7:$B$1000,Settings!$B$13)+SUMIFS(INDEX('Oxford Economics'!$A$7:$AZ$1000,0,IFERROR(MATCH(AM$5,'Oxford Economics'!$A$6:$AZ$6,0),MATCH(AM$5&amp;"",'Oxford Economics'!$A$6:$AZ$6,0))),'Oxford Economics'!$A$7:$A$1000,$C42,'Oxford Economics'!$B$7:$B$1000,Settings!$B$15)+IF(Settings!$B$17="",0,SUMIFS(INDEX('Oxford Economics'!$A$7:$AZ$1000,0,IFERROR(MATCH(AM$5,'Oxford Economics'!$A$6:$AZ$6,0),MATCH(AM$5&amp;"",'Oxford Economics'!$A$6:$AZ$6,0))),'Oxford Economics'!$A$7:$A$1000,$C42,'Oxford Economics'!$B$7:$B$1000,Settings!$B$17)))),""))</f>
        <v/>
      </c>
    </row>
    <row r="43" customFormat="false" ht="15" hidden="false" customHeight="false" outlineLevel="0" collapsed="false">
      <c r="A43" s="36" t="str">
        <f aca="false">IF('Raw data'!$A43="","",'Raw data'!$A43)</f>
        <v/>
      </c>
      <c r="B43" s="36" t="str">
        <f aca="false">IF($A43="","",'Raw data'!$C43)</f>
        <v/>
      </c>
      <c r="C43" s="36" t="str">
        <f aca="false">IF($A43="","",IF('Raw data'!$D43="",$A43,'Raw data'!$D43))</f>
        <v/>
      </c>
      <c r="D43" s="37" t="str">
        <f aca="false">IF($A43="","",IF(AND(ISNUMBER(P43),ISNUMBER(AB43)),P43+AB43,""))</f>
        <v/>
      </c>
      <c r="E43" s="37" t="str">
        <f aca="false">IF($A43="","",IF(AND(ISNUMBER(Q43),ISNUMBER(AC43)),Q43+AC43,""))</f>
        <v/>
      </c>
      <c r="F43" s="37" t="str">
        <f aca="false">IF($A43="","",IF(AND(ISNUMBER(R43),ISNUMBER(AD43)),R43+AD43,""))</f>
        <v/>
      </c>
      <c r="G43" s="37" t="str">
        <f aca="false">IF($A43="","",IF(AND(ISNUMBER(S43),ISNUMBER(AE43)),S43+AE43,""))</f>
        <v/>
      </c>
      <c r="H43" s="37" t="str">
        <f aca="false">IF($A43="","",IF(AND(ISNUMBER(T43),ISNUMBER(AF43)),T43+AF43,""))</f>
        <v/>
      </c>
      <c r="I43" s="37" t="str">
        <f aca="false">IF($A43="","",IF(AND(ISNUMBER(U43),ISNUMBER(AG43)),U43+AG43,""))</f>
        <v/>
      </c>
      <c r="J43" s="37" t="str">
        <f aca="false">IF($A43="","",IF(AND(ISNUMBER(V43),ISNUMBER(AH43)),V43+AH43,""))</f>
        <v/>
      </c>
      <c r="K43" s="37" t="str">
        <f aca="false">IF($A43="","",IF(AND(ISNUMBER(W43),ISNUMBER(AI43)),W43+AI43,""))</f>
        <v/>
      </c>
      <c r="L43" s="37" t="str">
        <f aca="false">IF($A43="","",IF(AND(ISNUMBER(X43),ISNUMBER(AJ43)),X43+AJ43,""))</f>
        <v/>
      </c>
      <c r="M43" s="37" t="str">
        <f aca="false">IF($A43="","",IF(AND(ISNUMBER(Y43),ISNUMBER(AK43)),Y43+AK43,""))</f>
        <v/>
      </c>
      <c r="N43" s="37" t="str">
        <f aca="false">IF($A43="","",IF(AND(ISNUMBER(Z43),ISNUMBER(AL43)),Z43+AL43,""))</f>
        <v/>
      </c>
      <c r="O43" s="37" t="str">
        <f aca="false">IF($A43="","",IF(AND(ISNUMBER(AA43),ISNUMBER(AM43)),AA43+AM43,""))</f>
        <v/>
      </c>
      <c r="P43" s="37" t="str">
        <f aca="false">IF($A43="","",IFERROR(1/(1/IF($B43="Residential",SUMIFS(INDEX('Oxford Economics'!$A$7:$AZ$1000,0,IFERROR(MATCH(P$5,'Oxford Economics'!$A$6:$AZ$6,0),MATCH(P$5&amp;"",'Oxford Economics'!$A$6:$AZ$6,0))),'Oxford Economics'!$A$7:$A$1000,$C43,'Oxford Economics'!$B$7:$B$1000,Settings!$B$12)-SUMIFS(INDEX('Oxford Economics'!$A$7:$AZ$1000,0,IFERROR(MATCH(P$5,'Oxford Economics'!$A$6:$AZ$6,0),MATCH(P$5&amp;"",'Oxford Economics'!$A$6:$AZ$6,0))),'Oxford Economics'!$A$7:$A$1000,$C43,'Oxford Economics'!$B$7:$B$1000,Settings!$B$14),SUMIFS(INDEX('Oxford Economics'!$A$7:$AZ$1000,0,IFERROR(MATCH(P$5,'Oxford Economics'!$A$6:$AZ$6,0),MATCH(P$5&amp;"",'Oxford Economics'!$A$6:$AZ$6,0))),'Oxford Economics'!$A$7:$A$1000,$C43,'Oxford Economics'!$B$7:$B$1000,Settings!$B$14)+SUMIFS(INDEX('Oxford Economics'!$A$7:$AZ$1000,0,IFERROR(MATCH(P$5,'Oxford Economics'!$A$6:$AZ$6,0),MATCH(P$5&amp;"",'Oxford Economics'!$A$6:$AZ$6,0))),'Oxford Economics'!$A$7:$A$1000,$C43,'Oxford Economics'!$B$7:$B$1000,Settings!$B$16)+IF(Settings!$B$18="",0,SUMIFS(INDEX('Oxford Economics'!$A$7:$AZ$1000,0,IFERROR(MATCH(P$5,'Oxford Economics'!$A$6:$AZ$6,0),MATCH(P$5&amp;"",'Oxford Economics'!$A$6:$AZ$6,0))),'Oxford Economics'!$A$7:$A$1000,$C43,'Oxford Economics'!$B$7:$B$1000,Settings!$B$18)))),""))</f>
        <v/>
      </c>
      <c r="Q43" s="37" t="str">
        <f aca="false">IF($A43="","",IFERROR(1/(1/IF($B43="Residential",SUMIFS(INDEX('Oxford Economics'!$A$7:$AZ$1000,0,IFERROR(MATCH(Q$5,'Oxford Economics'!$A$6:$AZ$6,0),MATCH(Q$5&amp;"",'Oxford Economics'!$A$6:$AZ$6,0))),'Oxford Economics'!$A$7:$A$1000,$C43,'Oxford Economics'!$B$7:$B$1000,Settings!$B$12)-SUMIFS(INDEX('Oxford Economics'!$A$7:$AZ$1000,0,IFERROR(MATCH(Q$5,'Oxford Economics'!$A$6:$AZ$6,0),MATCH(Q$5&amp;"",'Oxford Economics'!$A$6:$AZ$6,0))),'Oxford Economics'!$A$7:$A$1000,$C43,'Oxford Economics'!$B$7:$B$1000,Settings!$B$14),SUMIFS(INDEX('Oxford Economics'!$A$7:$AZ$1000,0,IFERROR(MATCH(Q$5,'Oxford Economics'!$A$6:$AZ$6,0),MATCH(Q$5&amp;"",'Oxford Economics'!$A$6:$AZ$6,0))),'Oxford Economics'!$A$7:$A$1000,$C43,'Oxford Economics'!$B$7:$B$1000,Settings!$B$14)+SUMIFS(INDEX('Oxford Economics'!$A$7:$AZ$1000,0,IFERROR(MATCH(Q$5,'Oxford Economics'!$A$6:$AZ$6,0),MATCH(Q$5&amp;"",'Oxford Economics'!$A$6:$AZ$6,0))),'Oxford Economics'!$A$7:$A$1000,$C43,'Oxford Economics'!$B$7:$B$1000,Settings!$B$16)+IF(Settings!$B$18="",0,SUMIFS(INDEX('Oxford Economics'!$A$7:$AZ$1000,0,IFERROR(MATCH(Q$5,'Oxford Economics'!$A$6:$AZ$6,0),MATCH(Q$5&amp;"",'Oxford Economics'!$A$6:$AZ$6,0))),'Oxford Economics'!$A$7:$A$1000,$C43,'Oxford Economics'!$B$7:$B$1000,Settings!$B$18)))),""))</f>
        <v/>
      </c>
      <c r="R43" s="37" t="str">
        <f aca="false">IF($A43="","",IFERROR(1/(1/IF($B43="Residential",SUMIFS(INDEX('Oxford Economics'!$A$7:$AZ$1000,0,IFERROR(MATCH(R$5,'Oxford Economics'!$A$6:$AZ$6,0),MATCH(R$5&amp;"",'Oxford Economics'!$A$6:$AZ$6,0))),'Oxford Economics'!$A$7:$A$1000,$C43,'Oxford Economics'!$B$7:$B$1000,Settings!$B$12)-SUMIFS(INDEX('Oxford Economics'!$A$7:$AZ$1000,0,IFERROR(MATCH(R$5,'Oxford Economics'!$A$6:$AZ$6,0),MATCH(R$5&amp;"",'Oxford Economics'!$A$6:$AZ$6,0))),'Oxford Economics'!$A$7:$A$1000,$C43,'Oxford Economics'!$B$7:$B$1000,Settings!$B$14),SUMIFS(INDEX('Oxford Economics'!$A$7:$AZ$1000,0,IFERROR(MATCH(R$5,'Oxford Economics'!$A$6:$AZ$6,0),MATCH(R$5&amp;"",'Oxford Economics'!$A$6:$AZ$6,0))),'Oxford Economics'!$A$7:$A$1000,$C43,'Oxford Economics'!$B$7:$B$1000,Settings!$B$14)+SUMIFS(INDEX('Oxford Economics'!$A$7:$AZ$1000,0,IFERROR(MATCH(R$5,'Oxford Economics'!$A$6:$AZ$6,0),MATCH(R$5&amp;"",'Oxford Economics'!$A$6:$AZ$6,0))),'Oxford Economics'!$A$7:$A$1000,$C43,'Oxford Economics'!$B$7:$B$1000,Settings!$B$16)+IF(Settings!$B$18="",0,SUMIFS(INDEX('Oxford Economics'!$A$7:$AZ$1000,0,IFERROR(MATCH(R$5,'Oxford Economics'!$A$6:$AZ$6,0),MATCH(R$5&amp;"",'Oxford Economics'!$A$6:$AZ$6,0))),'Oxford Economics'!$A$7:$A$1000,$C43,'Oxford Economics'!$B$7:$B$1000,Settings!$B$18)))),""))</f>
        <v/>
      </c>
      <c r="S43" s="37" t="str">
        <f aca="false">IF($A43="","",IFERROR(1/(1/IF($B43="Residential",SUMIFS(INDEX('Oxford Economics'!$A$7:$AZ$1000,0,IFERROR(MATCH(S$5,'Oxford Economics'!$A$6:$AZ$6,0),MATCH(S$5&amp;"",'Oxford Economics'!$A$6:$AZ$6,0))),'Oxford Economics'!$A$7:$A$1000,$C43,'Oxford Economics'!$B$7:$B$1000,Settings!$B$12)-SUMIFS(INDEX('Oxford Economics'!$A$7:$AZ$1000,0,IFERROR(MATCH(S$5,'Oxford Economics'!$A$6:$AZ$6,0),MATCH(S$5&amp;"",'Oxford Economics'!$A$6:$AZ$6,0))),'Oxford Economics'!$A$7:$A$1000,$C43,'Oxford Economics'!$B$7:$B$1000,Settings!$B$14),SUMIFS(INDEX('Oxford Economics'!$A$7:$AZ$1000,0,IFERROR(MATCH(S$5,'Oxford Economics'!$A$6:$AZ$6,0),MATCH(S$5&amp;"",'Oxford Economics'!$A$6:$AZ$6,0))),'Oxford Economics'!$A$7:$A$1000,$C43,'Oxford Economics'!$B$7:$B$1000,Settings!$B$14)+SUMIFS(INDEX('Oxford Economics'!$A$7:$AZ$1000,0,IFERROR(MATCH(S$5,'Oxford Economics'!$A$6:$AZ$6,0),MATCH(S$5&amp;"",'Oxford Economics'!$A$6:$AZ$6,0))),'Oxford Economics'!$A$7:$A$1000,$C43,'Oxford Economics'!$B$7:$B$1000,Settings!$B$16)+IF(Settings!$B$18="",0,SUMIFS(INDEX('Oxford Economics'!$A$7:$AZ$1000,0,IFERROR(MATCH(S$5,'Oxford Economics'!$A$6:$AZ$6,0),MATCH(S$5&amp;"",'Oxford Economics'!$A$6:$AZ$6,0))),'Oxford Economics'!$A$7:$A$1000,$C43,'Oxford Economics'!$B$7:$B$1000,Settings!$B$18)))),""))</f>
        <v/>
      </c>
      <c r="T43" s="37" t="str">
        <f aca="false">IF($A43="","",IFERROR(1/(1/IF($B43="Residential",SUMIFS(INDEX('Oxford Economics'!$A$7:$AZ$1000,0,IFERROR(MATCH(T$5,'Oxford Economics'!$A$6:$AZ$6,0),MATCH(T$5&amp;"",'Oxford Economics'!$A$6:$AZ$6,0))),'Oxford Economics'!$A$7:$A$1000,$C43,'Oxford Economics'!$B$7:$B$1000,Settings!$B$12)-SUMIFS(INDEX('Oxford Economics'!$A$7:$AZ$1000,0,IFERROR(MATCH(T$5,'Oxford Economics'!$A$6:$AZ$6,0),MATCH(T$5&amp;"",'Oxford Economics'!$A$6:$AZ$6,0))),'Oxford Economics'!$A$7:$A$1000,$C43,'Oxford Economics'!$B$7:$B$1000,Settings!$B$14),SUMIFS(INDEX('Oxford Economics'!$A$7:$AZ$1000,0,IFERROR(MATCH(T$5,'Oxford Economics'!$A$6:$AZ$6,0),MATCH(T$5&amp;"",'Oxford Economics'!$A$6:$AZ$6,0))),'Oxford Economics'!$A$7:$A$1000,$C43,'Oxford Economics'!$B$7:$B$1000,Settings!$B$14)+SUMIFS(INDEX('Oxford Economics'!$A$7:$AZ$1000,0,IFERROR(MATCH(T$5,'Oxford Economics'!$A$6:$AZ$6,0),MATCH(T$5&amp;"",'Oxford Economics'!$A$6:$AZ$6,0))),'Oxford Economics'!$A$7:$A$1000,$C43,'Oxford Economics'!$B$7:$B$1000,Settings!$B$16)+IF(Settings!$B$18="",0,SUMIFS(INDEX('Oxford Economics'!$A$7:$AZ$1000,0,IFERROR(MATCH(T$5,'Oxford Economics'!$A$6:$AZ$6,0),MATCH(T$5&amp;"",'Oxford Economics'!$A$6:$AZ$6,0))),'Oxford Economics'!$A$7:$A$1000,$C43,'Oxford Economics'!$B$7:$B$1000,Settings!$B$18)))),""))</f>
        <v/>
      </c>
      <c r="U43" s="37" t="str">
        <f aca="false">IF($A43="","",IFERROR(1/(1/IF($B43="Residential",SUMIFS(INDEX('Oxford Economics'!$A$7:$AZ$1000,0,IFERROR(MATCH(U$5,'Oxford Economics'!$A$6:$AZ$6,0),MATCH(U$5&amp;"",'Oxford Economics'!$A$6:$AZ$6,0))),'Oxford Economics'!$A$7:$A$1000,$C43,'Oxford Economics'!$B$7:$B$1000,Settings!$B$12)-SUMIFS(INDEX('Oxford Economics'!$A$7:$AZ$1000,0,IFERROR(MATCH(U$5,'Oxford Economics'!$A$6:$AZ$6,0),MATCH(U$5&amp;"",'Oxford Economics'!$A$6:$AZ$6,0))),'Oxford Economics'!$A$7:$A$1000,$C43,'Oxford Economics'!$B$7:$B$1000,Settings!$B$14),SUMIFS(INDEX('Oxford Economics'!$A$7:$AZ$1000,0,IFERROR(MATCH(U$5,'Oxford Economics'!$A$6:$AZ$6,0),MATCH(U$5&amp;"",'Oxford Economics'!$A$6:$AZ$6,0))),'Oxford Economics'!$A$7:$A$1000,$C43,'Oxford Economics'!$B$7:$B$1000,Settings!$B$14)+SUMIFS(INDEX('Oxford Economics'!$A$7:$AZ$1000,0,IFERROR(MATCH(U$5,'Oxford Economics'!$A$6:$AZ$6,0),MATCH(U$5&amp;"",'Oxford Economics'!$A$6:$AZ$6,0))),'Oxford Economics'!$A$7:$A$1000,$C43,'Oxford Economics'!$B$7:$B$1000,Settings!$B$16)+IF(Settings!$B$18="",0,SUMIFS(INDEX('Oxford Economics'!$A$7:$AZ$1000,0,IFERROR(MATCH(U$5,'Oxford Economics'!$A$6:$AZ$6,0),MATCH(U$5&amp;"",'Oxford Economics'!$A$6:$AZ$6,0))),'Oxford Economics'!$A$7:$A$1000,$C43,'Oxford Economics'!$B$7:$B$1000,Settings!$B$18)))),""))</f>
        <v/>
      </c>
      <c r="V43" s="37" t="str">
        <f aca="false">IF($A43="","",IFERROR(1/(1/IF($B43="Residential",SUMIFS(INDEX('Oxford Economics'!$A$7:$AZ$1000,0,IFERROR(MATCH(V$5,'Oxford Economics'!$A$6:$AZ$6,0),MATCH(V$5&amp;"",'Oxford Economics'!$A$6:$AZ$6,0))),'Oxford Economics'!$A$7:$A$1000,$C43,'Oxford Economics'!$B$7:$B$1000,Settings!$B$12)-SUMIFS(INDEX('Oxford Economics'!$A$7:$AZ$1000,0,IFERROR(MATCH(V$5,'Oxford Economics'!$A$6:$AZ$6,0),MATCH(V$5&amp;"",'Oxford Economics'!$A$6:$AZ$6,0))),'Oxford Economics'!$A$7:$A$1000,$C43,'Oxford Economics'!$B$7:$B$1000,Settings!$B$14),SUMIFS(INDEX('Oxford Economics'!$A$7:$AZ$1000,0,IFERROR(MATCH(V$5,'Oxford Economics'!$A$6:$AZ$6,0),MATCH(V$5&amp;"",'Oxford Economics'!$A$6:$AZ$6,0))),'Oxford Economics'!$A$7:$A$1000,$C43,'Oxford Economics'!$B$7:$B$1000,Settings!$B$14)+SUMIFS(INDEX('Oxford Economics'!$A$7:$AZ$1000,0,IFERROR(MATCH(V$5,'Oxford Economics'!$A$6:$AZ$6,0),MATCH(V$5&amp;"",'Oxford Economics'!$A$6:$AZ$6,0))),'Oxford Economics'!$A$7:$A$1000,$C43,'Oxford Economics'!$B$7:$B$1000,Settings!$B$16)+IF(Settings!$B$18="",0,SUMIFS(INDEX('Oxford Economics'!$A$7:$AZ$1000,0,IFERROR(MATCH(V$5,'Oxford Economics'!$A$6:$AZ$6,0),MATCH(V$5&amp;"",'Oxford Economics'!$A$6:$AZ$6,0))),'Oxford Economics'!$A$7:$A$1000,$C43,'Oxford Economics'!$B$7:$B$1000,Settings!$B$18)))),""))</f>
        <v/>
      </c>
      <c r="W43" s="37" t="str">
        <f aca="false">IF($A43="","",IFERROR(1/(1/IF($B43="Residential",SUMIFS(INDEX('Oxford Economics'!$A$7:$AZ$1000,0,IFERROR(MATCH(W$5,'Oxford Economics'!$A$6:$AZ$6,0),MATCH(W$5&amp;"",'Oxford Economics'!$A$6:$AZ$6,0))),'Oxford Economics'!$A$7:$A$1000,$C43,'Oxford Economics'!$B$7:$B$1000,Settings!$B$12)-SUMIFS(INDEX('Oxford Economics'!$A$7:$AZ$1000,0,IFERROR(MATCH(W$5,'Oxford Economics'!$A$6:$AZ$6,0),MATCH(W$5&amp;"",'Oxford Economics'!$A$6:$AZ$6,0))),'Oxford Economics'!$A$7:$A$1000,$C43,'Oxford Economics'!$B$7:$B$1000,Settings!$B$14),SUMIFS(INDEX('Oxford Economics'!$A$7:$AZ$1000,0,IFERROR(MATCH(W$5,'Oxford Economics'!$A$6:$AZ$6,0),MATCH(W$5&amp;"",'Oxford Economics'!$A$6:$AZ$6,0))),'Oxford Economics'!$A$7:$A$1000,$C43,'Oxford Economics'!$B$7:$B$1000,Settings!$B$14)+SUMIFS(INDEX('Oxford Economics'!$A$7:$AZ$1000,0,IFERROR(MATCH(W$5,'Oxford Economics'!$A$6:$AZ$6,0),MATCH(W$5&amp;"",'Oxford Economics'!$A$6:$AZ$6,0))),'Oxford Economics'!$A$7:$A$1000,$C43,'Oxford Economics'!$B$7:$B$1000,Settings!$B$16)+IF(Settings!$B$18="",0,SUMIFS(INDEX('Oxford Economics'!$A$7:$AZ$1000,0,IFERROR(MATCH(W$5,'Oxford Economics'!$A$6:$AZ$6,0),MATCH(W$5&amp;"",'Oxford Economics'!$A$6:$AZ$6,0))),'Oxford Economics'!$A$7:$A$1000,$C43,'Oxford Economics'!$B$7:$B$1000,Settings!$B$18)))),""))</f>
        <v/>
      </c>
      <c r="X43" s="37" t="str">
        <f aca="false">IF($A43="","",IFERROR(1/(1/IF($B43="Residential",SUMIFS(INDEX('Oxford Economics'!$A$7:$AZ$1000,0,IFERROR(MATCH(X$5,'Oxford Economics'!$A$6:$AZ$6,0),MATCH(X$5&amp;"",'Oxford Economics'!$A$6:$AZ$6,0))),'Oxford Economics'!$A$7:$A$1000,$C43,'Oxford Economics'!$B$7:$B$1000,Settings!$B$12)-SUMIFS(INDEX('Oxford Economics'!$A$7:$AZ$1000,0,IFERROR(MATCH(X$5,'Oxford Economics'!$A$6:$AZ$6,0),MATCH(X$5&amp;"",'Oxford Economics'!$A$6:$AZ$6,0))),'Oxford Economics'!$A$7:$A$1000,$C43,'Oxford Economics'!$B$7:$B$1000,Settings!$B$14),SUMIFS(INDEX('Oxford Economics'!$A$7:$AZ$1000,0,IFERROR(MATCH(X$5,'Oxford Economics'!$A$6:$AZ$6,0),MATCH(X$5&amp;"",'Oxford Economics'!$A$6:$AZ$6,0))),'Oxford Economics'!$A$7:$A$1000,$C43,'Oxford Economics'!$B$7:$B$1000,Settings!$B$14)+SUMIFS(INDEX('Oxford Economics'!$A$7:$AZ$1000,0,IFERROR(MATCH(X$5,'Oxford Economics'!$A$6:$AZ$6,0),MATCH(X$5&amp;"",'Oxford Economics'!$A$6:$AZ$6,0))),'Oxford Economics'!$A$7:$A$1000,$C43,'Oxford Economics'!$B$7:$B$1000,Settings!$B$16)+IF(Settings!$B$18="",0,SUMIFS(INDEX('Oxford Economics'!$A$7:$AZ$1000,0,IFERROR(MATCH(X$5,'Oxford Economics'!$A$6:$AZ$6,0),MATCH(X$5&amp;"",'Oxford Economics'!$A$6:$AZ$6,0))),'Oxford Economics'!$A$7:$A$1000,$C43,'Oxford Economics'!$B$7:$B$1000,Settings!$B$18)))),""))</f>
        <v/>
      </c>
      <c r="Y43" s="37" t="str">
        <f aca="false">IF($A43="","",IFERROR(1/(1/IF($B43="Residential",SUMIFS(INDEX('Oxford Economics'!$A$7:$AZ$1000,0,IFERROR(MATCH(Y$5,'Oxford Economics'!$A$6:$AZ$6,0),MATCH(Y$5&amp;"",'Oxford Economics'!$A$6:$AZ$6,0))),'Oxford Economics'!$A$7:$A$1000,$C43,'Oxford Economics'!$B$7:$B$1000,Settings!$B$12)-SUMIFS(INDEX('Oxford Economics'!$A$7:$AZ$1000,0,IFERROR(MATCH(Y$5,'Oxford Economics'!$A$6:$AZ$6,0),MATCH(Y$5&amp;"",'Oxford Economics'!$A$6:$AZ$6,0))),'Oxford Economics'!$A$7:$A$1000,$C43,'Oxford Economics'!$B$7:$B$1000,Settings!$B$14),SUMIFS(INDEX('Oxford Economics'!$A$7:$AZ$1000,0,IFERROR(MATCH(Y$5,'Oxford Economics'!$A$6:$AZ$6,0),MATCH(Y$5&amp;"",'Oxford Economics'!$A$6:$AZ$6,0))),'Oxford Economics'!$A$7:$A$1000,$C43,'Oxford Economics'!$B$7:$B$1000,Settings!$B$14)+SUMIFS(INDEX('Oxford Economics'!$A$7:$AZ$1000,0,IFERROR(MATCH(Y$5,'Oxford Economics'!$A$6:$AZ$6,0),MATCH(Y$5&amp;"",'Oxford Economics'!$A$6:$AZ$6,0))),'Oxford Economics'!$A$7:$A$1000,$C43,'Oxford Economics'!$B$7:$B$1000,Settings!$B$16)+IF(Settings!$B$18="",0,SUMIFS(INDEX('Oxford Economics'!$A$7:$AZ$1000,0,IFERROR(MATCH(Y$5,'Oxford Economics'!$A$6:$AZ$6,0),MATCH(Y$5&amp;"",'Oxford Economics'!$A$6:$AZ$6,0))),'Oxford Economics'!$A$7:$A$1000,$C43,'Oxford Economics'!$B$7:$B$1000,Settings!$B$18)))),""))</f>
        <v/>
      </c>
      <c r="Z43" s="37" t="str">
        <f aca="false">IF($A43="","",IFERROR(1/(1/IF($B43="Residential",SUMIFS(INDEX('Oxford Economics'!$A$7:$AZ$1000,0,IFERROR(MATCH(Z$5,'Oxford Economics'!$A$6:$AZ$6,0),MATCH(Z$5&amp;"",'Oxford Economics'!$A$6:$AZ$6,0))),'Oxford Economics'!$A$7:$A$1000,$C43,'Oxford Economics'!$B$7:$B$1000,Settings!$B$12)-SUMIFS(INDEX('Oxford Economics'!$A$7:$AZ$1000,0,IFERROR(MATCH(Z$5,'Oxford Economics'!$A$6:$AZ$6,0),MATCH(Z$5&amp;"",'Oxford Economics'!$A$6:$AZ$6,0))),'Oxford Economics'!$A$7:$A$1000,$C43,'Oxford Economics'!$B$7:$B$1000,Settings!$B$14),SUMIFS(INDEX('Oxford Economics'!$A$7:$AZ$1000,0,IFERROR(MATCH(Z$5,'Oxford Economics'!$A$6:$AZ$6,0),MATCH(Z$5&amp;"",'Oxford Economics'!$A$6:$AZ$6,0))),'Oxford Economics'!$A$7:$A$1000,$C43,'Oxford Economics'!$B$7:$B$1000,Settings!$B$14)+SUMIFS(INDEX('Oxford Economics'!$A$7:$AZ$1000,0,IFERROR(MATCH(Z$5,'Oxford Economics'!$A$6:$AZ$6,0),MATCH(Z$5&amp;"",'Oxford Economics'!$A$6:$AZ$6,0))),'Oxford Economics'!$A$7:$A$1000,$C43,'Oxford Economics'!$B$7:$B$1000,Settings!$B$16)+IF(Settings!$B$18="",0,SUMIFS(INDEX('Oxford Economics'!$A$7:$AZ$1000,0,IFERROR(MATCH(Z$5,'Oxford Economics'!$A$6:$AZ$6,0),MATCH(Z$5&amp;"",'Oxford Economics'!$A$6:$AZ$6,0))),'Oxford Economics'!$A$7:$A$1000,$C43,'Oxford Economics'!$B$7:$B$1000,Settings!$B$18)))),""))</f>
        <v/>
      </c>
      <c r="AA43" s="37" t="str">
        <f aca="false">IF($A43="","",IFERROR(1/(1/IF($B43="Residential",SUMIFS(INDEX('Oxford Economics'!$A$7:$AZ$1000,0,IFERROR(MATCH(AA$5,'Oxford Economics'!$A$6:$AZ$6,0),MATCH(AA$5&amp;"",'Oxford Economics'!$A$6:$AZ$6,0))),'Oxford Economics'!$A$7:$A$1000,$C43,'Oxford Economics'!$B$7:$B$1000,Settings!$B$12)-SUMIFS(INDEX('Oxford Economics'!$A$7:$AZ$1000,0,IFERROR(MATCH(AA$5,'Oxford Economics'!$A$6:$AZ$6,0),MATCH(AA$5&amp;"",'Oxford Economics'!$A$6:$AZ$6,0))),'Oxford Economics'!$A$7:$A$1000,$C43,'Oxford Economics'!$B$7:$B$1000,Settings!$B$14),SUMIFS(INDEX('Oxford Economics'!$A$7:$AZ$1000,0,IFERROR(MATCH(AA$5,'Oxford Economics'!$A$6:$AZ$6,0),MATCH(AA$5&amp;"",'Oxford Economics'!$A$6:$AZ$6,0))),'Oxford Economics'!$A$7:$A$1000,$C43,'Oxford Economics'!$B$7:$B$1000,Settings!$B$14)+SUMIFS(INDEX('Oxford Economics'!$A$7:$AZ$1000,0,IFERROR(MATCH(AA$5,'Oxford Economics'!$A$6:$AZ$6,0),MATCH(AA$5&amp;"",'Oxford Economics'!$A$6:$AZ$6,0))),'Oxford Economics'!$A$7:$A$1000,$C43,'Oxford Economics'!$B$7:$B$1000,Settings!$B$16)+IF(Settings!$B$18="",0,SUMIFS(INDEX('Oxford Economics'!$A$7:$AZ$1000,0,IFERROR(MATCH(AA$5,'Oxford Economics'!$A$6:$AZ$6,0),MATCH(AA$5&amp;"",'Oxford Economics'!$A$6:$AZ$6,0))),'Oxford Economics'!$A$7:$A$1000,$C43,'Oxford Economics'!$B$7:$B$1000,Settings!$B$18)))),""))</f>
        <v/>
      </c>
      <c r="AB43" s="37" t="str">
        <f aca="false">IF($A43="","",IFERROR(1/(1/IF($B43="Residential",SUMIFS(INDEX('Oxford Economics'!$A$7:$AZ$1000,0,IFERROR(MATCH(AB$5,'Oxford Economics'!$A$6:$AZ$6,0),MATCH(AB$5&amp;"",'Oxford Economics'!$A$6:$AZ$6,0))),'Oxford Economics'!$A$7:$A$1000,$C43,'Oxford Economics'!$B$7:$B$1000,Settings!$B$11)-SUMIFS(INDEX('Oxford Economics'!$A$7:$AZ$1000,0,IFERROR(MATCH(AB$5,'Oxford Economics'!$A$6:$AZ$6,0),MATCH(AB$5&amp;"",'Oxford Economics'!$A$6:$AZ$6,0))),'Oxford Economics'!$A$7:$A$1000,$C43,'Oxford Economics'!$B$7:$B$1000,Settings!$B$13),SUMIFS(INDEX('Oxford Economics'!$A$7:$AZ$1000,0,IFERROR(MATCH(AB$5,'Oxford Economics'!$A$6:$AZ$6,0),MATCH(AB$5&amp;"",'Oxford Economics'!$A$6:$AZ$6,0))),'Oxford Economics'!$A$7:$A$1000,$C43,'Oxford Economics'!$B$7:$B$1000,Settings!$B$13)+SUMIFS(INDEX('Oxford Economics'!$A$7:$AZ$1000,0,IFERROR(MATCH(AB$5,'Oxford Economics'!$A$6:$AZ$6,0),MATCH(AB$5&amp;"",'Oxford Economics'!$A$6:$AZ$6,0))),'Oxford Economics'!$A$7:$A$1000,$C43,'Oxford Economics'!$B$7:$B$1000,Settings!$B$15)+IF(Settings!$B$17="",0,SUMIFS(INDEX('Oxford Economics'!$A$7:$AZ$1000,0,IFERROR(MATCH(AB$5,'Oxford Economics'!$A$6:$AZ$6,0),MATCH(AB$5&amp;"",'Oxford Economics'!$A$6:$AZ$6,0))),'Oxford Economics'!$A$7:$A$1000,$C43,'Oxford Economics'!$B$7:$B$1000,Settings!$B$17)))),""))</f>
        <v/>
      </c>
      <c r="AC43" s="37" t="str">
        <f aca="false">IF($A43="","",IFERROR(1/(1/IF($B43="Residential",SUMIFS(INDEX('Oxford Economics'!$A$7:$AZ$1000,0,IFERROR(MATCH(AC$5,'Oxford Economics'!$A$6:$AZ$6,0),MATCH(AC$5&amp;"",'Oxford Economics'!$A$6:$AZ$6,0))),'Oxford Economics'!$A$7:$A$1000,$C43,'Oxford Economics'!$B$7:$B$1000,Settings!$B$11)-SUMIFS(INDEX('Oxford Economics'!$A$7:$AZ$1000,0,IFERROR(MATCH(AC$5,'Oxford Economics'!$A$6:$AZ$6,0),MATCH(AC$5&amp;"",'Oxford Economics'!$A$6:$AZ$6,0))),'Oxford Economics'!$A$7:$A$1000,$C43,'Oxford Economics'!$B$7:$B$1000,Settings!$B$13),SUMIFS(INDEX('Oxford Economics'!$A$7:$AZ$1000,0,IFERROR(MATCH(AC$5,'Oxford Economics'!$A$6:$AZ$6,0),MATCH(AC$5&amp;"",'Oxford Economics'!$A$6:$AZ$6,0))),'Oxford Economics'!$A$7:$A$1000,$C43,'Oxford Economics'!$B$7:$B$1000,Settings!$B$13)+SUMIFS(INDEX('Oxford Economics'!$A$7:$AZ$1000,0,IFERROR(MATCH(AC$5,'Oxford Economics'!$A$6:$AZ$6,0),MATCH(AC$5&amp;"",'Oxford Economics'!$A$6:$AZ$6,0))),'Oxford Economics'!$A$7:$A$1000,$C43,'Oxford Economics'!$B$7:$B$1000,Settings!$B$15)+IF(Settings!$B$17="",0,SUMIFS(INDEX('Oxford Economics'!$A$7:$AZ$1000,0,IFERROR(MATCH(AC$5,'Oxford Economics'!$A$6:$AZ$6,0),MATCH(AC$5&amp;"",'Oxford Economics'!$A$6:$AZ$6,0))),'Oxford Economics'!$A$7:$A$1000,$C43,'Oxford Economics'!$B$7:$B$1000,Settings!$B$17)))),""))</f>
        <v/>
      </c>
      <c r="AD43" s="37" t="str">
        <f aca="false">IF($A43="","",IFERROR(1/(1/IF($B43="Residential",SUMIFS(INDEX('Oxford Economics'!$A$7:$AZ$1000,0,IFERROR(MATCH(AD$5,'Oxford Economics'!$A$6:$AZ$6,0),MATCH(AD$5&amp;"",'Oxford Economics'!$A$6:$AZ$6,0))),'Oxford Economics'!$A$7:$A$1000,$C43,'Oxford Economics'!$B$7:$B$1000,Settings!$B$11)-SUMIFS(INDEX('Oxford Economics'!$A$7:$AZ$1000,0,IFERROR(MATCH(AD$5,'Oxford Economics'!$A$6:$AZ$6,0),MATCH(AD$5&amp;"",'Oxford Economics'!$A$6:$AZ$6,0))),'Oxford Economics'!$A$7:$A$1000,$C43,'Oxford Economics'!$B$7:$B$1000,Settings!$B$13),SUMIFS(INDEX('Oxford Economics'!$A$7:$AZ$1000,0,IFERROR(MATCH(AD$5,'Oxford Economics'!$A$6:$AZ$6,0),MATCH(AD$5&amp;"",'Oxford Economics'!$A$6:$AZ$6,0))),'Oxford Economics'!$A$7:$A$1000,$C43,'Oxford Economics'!$B$7:$B$1000,Settings!$B$13)+SUMIFS(INDEX('Oxford Economics'!$A$7:$AZ$1000,0,IFERROR(MATCH(AD$5,'Oxford Economics'!$A$6:$AZ$6,0),MATCH(AD$5&amp;"",'Oxford Economics'!$A$6:$AZ$6,0))),'Oxford Economics'!$A$7:$A$1000,$C43,'Oxford Economics'!$B$7:$B$1000,Settings!$B$15)+IF(Settings!$B$17="",0,SUMIFS(INDEX('Oxford Economics'!$A$7:$AZ$1000,0,IFERROR(MATCH(AD$5,'Oxford Economics'!$A$6:$AZ$6,0),MATCH(AD$5&amp;"",'Oxford Economics'!$A$6:$AZ$6,0))),'Oxford Economics'!$A$7:$A$1000,$C43,'Oxford Economics'!$B$7:$B$1000,Settings!$B$17)))),""))</f>
        <v/>
      </c>
      <c r="AE43" s="37" t="str">
        <f aca="false">IF($A43="","",IFERROR(1/(1/IF($B43="Residential",SUMIFS(INDEX('Oxford Economics'!$A$7:$AZ$1000,0,IFERROR(MATCH(AE$5,'Oxford Economics'!$A$6:$AZ$6,0),MATCH(AE$5&amp;"",'Oxford Economics'!$A$6:$AZ$6,0))),'Oxford Economics'!$A$7:$A$1000,$C43,'Oxford Economics'!$B$7:$B$1000,Settings!$B$11)-SUMIFS(INDEX('Oxford Economics'!$A$7:$AZ$1000,0,IFERROR(MATCH(AE$5,'Oxford Economics'!$A$6:$AZ$6,0),MATCH(AE$5&amp;"",'Oxford Economics'!$A$6:$AZ$6,0))),'Oxford Economics'!$A$7:$A$1000,$C43,'Oxford Economics'!$B$7:$B$1000,Settings!$B$13),SUMIFS(INDEX('Oxford Economics'!$A$7:$AZ$1000,0,IFERROR(MATCH(AE$5,'Oxford Economics'!$A$6:$AZ$6,0),MATCH(AE$5&amp;"",'Oxford Economics'!$A$6:$AZ$6,0))),'Oxford Economics'!$A$7:$A$1000,$C43,'Oxford Economics'!$B$7:$B$1000,Settings!$B$13)+SUMIFS(INDEX('Oxford Economics'!$A$7:$AZ$1000,0,IFERROR(MATCH(AE$5,'Oxford Economics'!$A$6:$AZ$6,0),MATCH(AE$5&amp;"",'Oxford Economics'!$A$6:$AZ$6,0))),'Oxford Economics'!$A$7:$A$1000,$C43,'Oxford Economics'!$B$7:$B$1000,Settings!$B$15)+IF(Settings!$B$17="",0,SUMIFS(INDEX('Oxford Economics'!$A$7:$AZ$1000,0,IFERROR(MATCH(AE$5,'Oxford Economics'!$A$6:$AZ$6,0),MATCH(AE$5&amp;"",'Oxford Economics'!$A$6:$AZ$6,0))),'Oxford Economics'!$A$7:$A$1000,$C43,'Oxford Economics'!$B$7:$B$1000,Settings!$B$17)))),""))</f>
        <v/>
      </c>
      <c r="AF43" s="37" t="str">
        <f aca="false">IF($A43="","",IFERROR(1/(1/IF($B43="Residential",SUMIFS(INDEX('Oxford Economics'!$A$7:$AZ$1000,0,IFERROR(MATCH(AF$5,'Oxford Economics'!$A$6:$AZ$6,0),MATCH(AF$5&amp;"",'Oxford Economics'!$A$6:$AZ$6,0))),'Oxford Economics'!$A$7:$A$1000,$C43,'Oxford Economics'!$B$7:$B$1000,Settings!$B$11)-SUMIFS(INDEX('Oxford Economics'!$A$7:$AZ$1000,0,IFERROR(MATCH(AF$5,'Oxford Economics'!$A$6:$AZ$6,0),MATCH(AF$5&amp;"",'Oxford Economics'!$A$6:$AZ$6,0))),'Oxford Economics'!$A$7:$A$1000,$C43,'Oxford Economics'!$B$7:$B$1000,Settings!$B$13),SUMIFS(INDEX('Oxford Economics'!$A$7:$AZ$1000,0,IFERROR(MATCH(AF$5,'Oxford Economics'!$A$6:$AZ$6,0),MATCH(AF$5&amp;"",'Oxford Economics'!$A$6:$AZ$6,0))),'Oxford Economics'!$A$7:$A$1000,$C43,'Oxford Economics'!$B$7:$B$1000,Settings!$B$13)+SUMIFS(INDEX('Oxford Economics'!$A$7:$AZ$1000,0,IFERROR(MATCH(AF$5,'Oxford Economics'!$A$6:$AZ$6,0),MATCH(AF$5&amp;"",'Oxford Economics'!$A$6:$AZ$6,0))),'Oxford Economics'!$A$7:$A$1000,$C43,'Oxford Economics'!$B$7:$B$1000,Settings!$B$15)+IF(Settings!$B$17="",0,SUMIFS(INDEX('Oxford Economics'!$A$7:$AZ$1000,0,IFERROR(MATCH(AF$5,'Oxford Economics'!$A$6:$AZ$6,0),MATCH(AF$5&amp;"",'Oxford Economics'!$A$6:$AZ$6,0))),'Oxford Economics'!$A$7:$A$1000,$C43,'Oxford Economics'!$B$7:$B$1000,Settings!$B$17)))),""))</f>
        <v/>
      </c>
      <c r="AG43" s="37" t="str">
        <f aca="false">IF($A43="","",IFERROR(1/(1/IF($B43="Residential",SUMIFS(INDEX('Oxford Economics'!$A$7:$AZ$1000,0,IFERROR(MATCH(AG$5,'Oxford Economics'!$A$6:$AZ$6,0),MATCH(AG$5&amp;"",'Oxford Economics'!$A$6:$AZ$6,0))),'Oxford Economics'!$A$7:$A$1000,$C43,'Oxford Economics'!$B$7:$B$1000,Settings!$B$11)-SUMIFS(INDEX('Oxford Economics'!$A$7:$AZ$1000,0,IFERROR(MATCH(AG$5,'Oxford Economics'!$A$6:$AZ$6,0),MATCH(AG$5&amp;"",'Oxford Economics'!$A$6:$AZ$6,0))),'Oxford Economics'!$A$7:$A$1000,$C43,'Oxford Economics'!$B$7:$B$1000,Settings!$B$13),SUMIFS(INDEX('Oxford Economics'!$A$7:$AZ$1000,0,IFERROR(MATCH(AG$5,'Oxford Economics'!$A$6:$AZ$6,0),MATCH(AG$5&amp;"",'Oxford Economics'!$A$6:$AZ$6,0))),'Oxford Economics'!$A$7:$A$1000,$C43,'Oxford Economics'!$B$7:$B$1000,Settings!$B$13)+SUMIFS(INDEX('Oxford Economics'!$A$7:$AZ$1000,0,IFERROR(MATCH(AG$5,'Oxford Economics'!$A$6:$AZ$6,0),MATCH(AG$5&amp;"",'Oxford Economics'!$A$6:$AZ$6,0))),'Oxford Economics'!$A$7:$A$1000,$C43,'Oxford Economics'!$B$7:$B$1000,Settings!$B$15)+IF(Settings!$B$17="",0,SUMIFS(INDEX('Oxford Economics'!$A$7:$AZ$1000,0,IFERROR(MATCH(AG$5,'Oxford Economics'!$A$6:$AZ$6,0),MATCH(AG$5&amp;"",'Oxford Economics'!$A$6:$AZ$6,0))),'Oxford Economics'!$A$7:$A$1000,$C43,'Oxford Economics'!$B$7:$B$1000,Settings!$B$17)))),""))</f>
        <v/>
      </c>
      <c r="AH43" s="37" t="str">
        <f aca="false">IF($A43="","",IFERROR(1/(1/IF($B43="Residential",SUMIFS(INDEX('Oxford Economics'!$A$7:$AZ$1000,0,IFERROR(MATCH(AH$5,'Oxford Economics'!$A$6:$AZ$6,0),MATCH(AH$5&amp;"",'Oxford Economics'!$A$6:$AZ$6,0))),'Oxford Economics'!$A$7:$A$1000,$C43,'Oxford Economics'!$B$7:$B$1000,Settings!$B$11)-SUMIFS(INDEX('Oxford Economics'!$A$7:$AZ$1000,0,IFERROR(MATCH(AH$5,'Oxford Economics'!$A$6:$AZ$6,0),MATCH(AH$5&amp;"",'Oxford Economics'!$A$6:$AZ$6,0))),'Oxford Economics'!$A$7:$A$1000,$C43,'Oxford Economics'!$B$7:$B$1000,Settings!$B$13),SUMIFS(INDEX('Oxford Economics'!$A$7:$AZ$1000,0,IFERROR(MATCH(AH$5,'Oxford Economics'!$A$6:$AZ$6,0),MATCH(AH$5&amp;"",'Oxford Economics'!$A$6:$AZ$6,0))),'Oxford Economics'!$A$7:$A$1000,$C43,'Oxford Economics'!$B$7:$B$1000,Settings!$B$13)+SUMIFS(INDEX('Oxford Economics'!$A$7:$AZ$1000,0,IFERROR(MATCH(AH$5,'Oxford Economics'!$A$6:$AZ$6,0),MATCH(AH$5&amp;"",'Oxford Economics'!$A$6:$AZ$6,0))),'Oxford Economics'!$A$7:$A$1000,$C43,'Oxford Economics'!$B$7:$B$1000,Settings!$B$15)+IF(Settings!$B$17="",0,SUMIFS(INDEX('Oxford Economics'!$A$7:$AZ$1000,0,IFERROR(MATCH(AH$5,'Oxford Economics'!$A$6:$AZ$6,0),MATCH(AH$5&amp;"",'Oxford Economics'!$A$6:$AZ$6,0))),'Oxford Economics'!$A$7:$A$1000,$C43,'Oxford Economics'!$B$7:$B$1000,Settings!$B$17)))),""))</f>
        <v/>
      </c>
      <c r="AI43" s="37" t="str">
        <f aca="false">IF($A43="","",IFERROR(1/(1/IF($B43="Residential",SUMIFS(INDEX('Oxford Economics'!$A$7:$AZ$1000,0,IFERROR(MATCH(AI$5,'Oxford Economics'!$A$6:$AZ$6,0),MATCH(AI$5&amp;"",'Oxford Economics'!$A$6:$AZ$6,0))),'Oxford Economics'!$A$7:$A$1000,$C43,'Oxford Economics'!$B$7:$B$1000,Settings!$B$11)-SUMIFS(INDEX('Oxford Economics'!$A$7:$AZ$1000,0,IFERROR(MATCH(AI$5,'Oxford Economics'!$A$6:$AZ$6,0),MATCH(AI$5&amp;"",'Oxford Economics'!$A$6:$AZ$6,0))),'Oxford Economics'!$A$7:$A$1000,$C43,'Oxford Economics'!$B$7:$B$1000,Settings!$B$13),SUMIFS(INDEX('Oxford Economics'!$A$7:$AZ$1000,0,IFERROR(MATCH(AI$5,'Oxford Economics'!$A$6:$AZ$6,0),MATCH(AI$5&amp;"",'Oxford Economics'!$A$6:$AZ$6,0))),'Oxford Economics'!$A$7:$A$1000,$C43,'Oxford Economics'!$B$7:$B$1000,Settings!$B$13)+SUMIFS(INDEX('Oxford Economics'!$A$7:$AZ$1000,0,IFERROR(MATCH(AI$5,'Oxford Economics'!$A$6:$AZ$6,0),MATCH(AI$5&amp;"",'Oxford Economics'!$A$6:$AZ$6,0))),'Oxford Economics'!$A$7:$A$1000,$C43,'Oxford Economics'!$B$7:$B$1000,Settings!$B$15)+IF(Settings!$B$17="",0,SUMIFS(INDEX('Oxford Economics'!$A$7:$AZ$1000,0,IFERROR(MATCH(AI$5,'Oxford Economics'!$A$6:$AZ$6,0),MATCH(AI$5&amp;"",'Oxford Economics'!$A$6:$AZ$6,0))),'Oxford Economics'!$A$7:$A$1000,$C43,'Oxford Economics'!$B$7:$B$1000,Settings!$B$17)))),""))</f>
        <v/>
      </c>
      <c r="AJ43" s="37" t="str">
        <f aca="false">IF($A43="","",IFERROR(1/(1/IF($B43="Residential",SUMIFS(INDEX('Oxford Economics'!$A$7:$AZ$1000,0,IFERROR(MATCH(AJ$5,'Oxford Economics'!$A$6:$AZ$6,0),MATCH(AJ$5&amp;"",'Oxford Economics'!$A$6:$AZ$6,0))),'Oxford Economics'!$A$7:$A$1000,$C43,'Oxford Economics'!$B$7:$B$1000,Settings!$B$11)-SUMIFS(INDEX('Oxford Economics'!$A$7:$AZ$1000,0,IFERROR(MATCH(AJ$5,'Oxford Economics'!$A$6:$AZ$6,0),MATCH(AJ$5&amp;"",'Oxford Economics'!$A$6:$AZ$6,0))),'Oxford Economics'!$A$7:$A$1000,$C43,'Oxford Economics'!$B$7:$B$1000,Settings!$B$13),SUMIFS(INDEX('Oxford Economics'!$A$7:$AZ$1000,0,IFERROR(MATCH(AJ$5,'Oxford Economics'!$A$6:$AZ$6,0),MATCH(AJ$5&amp;"",'Oxford Economics'!$A$6:$AZ$6,0))),'Oxford Economics'!$A$7:$A$1000,$C43,'Oxford Economics'!$B$7:$B$1000,Settings!$B$13)+SUMIFS(INDEX('Oxford Economics'!$A$7:$AZ$1000,0,IFERROR(MATCH(AJ$5,'Oxford Economics'!$A$6:$AZ$6,0),MATCH(AJ$5&amp;"",'Oxford Economics'!$A$6:$AZ$6,0))),'Oxford Economics'!$A$7:$A$1000,$C43,'Oxford Economics'!$B$7:$B$1000,Settings!$B$15)+IF(Settings!$B$17="",0,SUMIFS(INDEX('Oxford Economics'!$A$7:$AZ$1000,0,IFERROR(MATCH(AJ$5,'Oxford Economics'!$A$6:$AZ$6,0),MATCH(AJ$5&amp;"",'Oxford Economics'!$A$6:$AZ$6,0))),'Oxford Economics'!$A$7:$A$1000,$C43,'Oxford Economics'!$B$7:$B$1000,Settings!$B$17)))),""))</f>
        <v/>
      </c>
      <c r="AK43" s="37" t="str">
        <f aca="false">IF($A43="","",IFERROR(1/(1/IF($B43="Residential",SUMIFS(INDEX('Oxford Economics'!$A$7:$AZ$1000,0,IFERROR(MATCH(AK$5,'Oxford Economics'!$A$6:$AZ$6,0),MATCH(AK$5&amp;"",'Oxford Economics'!$A$6:$AZ$6,0))),'Oxford Economics'!$A$7:$A$1000,$C43,'Oxford Economics'!$B$7:$B$1000,Settings!$B$11)-SUMIFS(INDEX('Oxford Economics'!$A$7:$AZ$1000,0,IFERROR(MATCH(AK$5,'Oxford Economics'!$A$6:$AZ$6,0),MATCH(AK$5&amp;"",'Oxford Economics'!$A$6:$AZ$6,0))),'Oxford Economics'!$A$7:$A$1000,$C43,'Oxford Economics'!$B$7:$B$1000,Settings!$B$13),SUMIFS(INDEX('Oxford Economics'!$A$7:$AZ$1000,0,IFERROR(MATCH(AK$5,'Oxford Economics'!$A$6:$AZ$6,0),MATCH(AK$5&amp;"",'Oxford Economics'!$A$6:$AZ$6,0))),'Oxford Economics'!$A$7:$A$1000,$C43,'Oxford Economics'!$B$7:$B$1000,Settings!$B$13)+SUMIFS(INDEX('Oxford Economics'!$A$7:$AZ$1000,0,IFERROR(MATCH(AK$5,'Oxford Economics'!$A$6:$AZ$6,0),MATCH(AK$5&amp;"",'Oxford Economics'!$A$6:$AZ$6,0))),'Oxford Economics'!$A$7:$A$1000,$C43,'Oxford Economics'!$B$7:$B$1000,Settings!$B$15)+IF(Settings!$B$17="",0,SUMIFS(INDEX('Oxford Economics'!$A$7:$AZ$1000,0,IFERROR(MATCH(AK$5,'Oxford Economics'!$A$6:$AZ$6,0),MATCH(AK$5&amp;"",'Oxford Economics'!$A$6:$AZ$6,0))),'Oxford Economics'!$A$7:$A$1000,$C43,'Oxford Economics'!$B$7:$B$1000,Settings!$B$17)))),""))</f>
        <v/>
      </c>
      <c r="AL43" s="37" t="str">
        <f aca="false">IF($A43="","",IFERROR(1/(1/IF($B43="Residential",SUMIFS(INDEX('Oxford Economics'!$A$7:$AZ$1000,0,IFERROR(MATCH(AL$5,'Oxford Economics'!$A$6:$AZ$6,0),MATCH(AL$5&amp;"",'Oxford Economics'!$A$6:$AZ$6,0))),'Oxford Economics'!$A$7:$A$1000,$C43,'Oxford Economics'!$B$7:$B$1000,Settings!$B$11)-SUMIFS(INDEX('Oxford Economics'!$A$7:$AZ$1000,0,IFERROR(MATCH(AL$5,'Oxford Economics'!$A$6:$AZ$6,0),MATCH(AL$5&amp;"",'Oxford Economics'!$A$6:$AZ$6,0))),'Oxford Economics'!$A$7:$A$1000,$C43,'Oxford Economics'!$B$7:$B$1000,Settings!$B$13),SUMIFS(INDEX('Oxford Economics'!$A$7:$AZ$1000,0,IFERROR(MATCH(AL$5,'Oxford Economics'!$A$6:$AZ$6,0),MATCH(AL$5&amp;"",'Oxford Economics'!$A$6:$AZ$6,0))),'Oxford Economics'!$A$7:$A$1000,$C43,'Oxford Economics'!$B$7:$B$1000,Settings!$B$13)+SUMIFS(INDEX('Oxford Economics'!$A$7:$AZ$1000,0,IFERROR(MATCH(AL$5,'Oxford Economics'!$A$6:$AZ$6,0),MATCH(AL$5&amp;"",'Oxford Economics'!$A$6:$AZ$6,0))),'Oxford Economics'!$A$7:$A$1000,$C43,'Oxford Economics'!$B$7:$B$1000,Settings!$B$15)+IF(Settings!$B$17="",0,SUMIFS(INDEX('Oxford Economics'!$A$7:$AZ$1000,0,IFERROR(MATCH(AL$5,'Oxford Economics'!$A$6:$AZ$6,0),MATCH(AL$5&amp;"",'Oxford Economics'!$A$6:$AZ$6,0))),'Oxford Economics'!$A$7:$A$1000,$C43,'Oxford Economics'!$B$7:$B$1000,Settings!$B$17)))),""))</f>
        <v/>
      </c>
      <c r="AM43" s="37" t="str">
        <f aca="false">IF($A43="","",IFERROR(1/(1/IF($B43="Residential",SUMIFS(INDEX('Oxford Economics'!$A$7:$AZ$1000,0,IFERROR(MATCH(AM$5,'Oxford Economics'!$A$6:$AZ$6,0),MATCH(AM$5&amp;"",'Oxford Economics'!$A$6:$AZ$6,0))),'Oxford Economics'!$A$7:$A$1000,$C43,'Oxford Economics'!$B$7:$B$1000,Settings!$B$11)-SUMIFS(INDEX('Oxford Economics'!$A$7:$AZ$1000,0,IFERROR(MATCH(AM$5,'Oxford Economics'!$A$6:$AZ$6,0),MATCH(AM$5&amp;"",'Oxford Economics'!$A$6:$AZ$6,0))),'Oxford Economics'!$A$7:$A$1000,$C43,'Oxford Economics'!$B$7:$B$1000,Settings!$B$13),SUMIFS(INDEX('Oxford Economics'!$A$7:$AZ$1000,0,IFERROR(MATCH(AM$5,'Oxford Economics'!$A$6:$AZ$6,0),MATCH(AM$5&amp;"",'Oxford Economics'!$A$6:$AZ$6,0))),'Oxford Economics'!$A$7:$A$1000,$C43,'Oxford Economics'!$B$7:$B$1000,Settings!$B$13)+SUMIFS(INDEX('Oxford Economics'!$A$7:$AZ$1000,0,IFERROR(MATCH(AM$5,'Oxford Economics'!$A$6:$AZ$6,0),MATCH(AM$5&amp;"",'Oxford Economics'!$A$6:$AZ$6,0))),'Oxford Economics'!$A$7:$A$1000,$C43,'Oxford Economics'!$B$7:$B$1000,Settings!$B$15)+IF(Settings!$B$17="",0,SUMIFS(INDEX('Oxford Economics'!$A$7:$AZ$1000,0,IFERROR(MATCH(AM$5,'Oxford Economics'!$A$6:$AZ$6,0),MATCH(AM$5&amp;"",'Oxford Economics'!$A$6:$AZ$6,0))),'Oxford Economics'!$A$7:$A$1000,$C43,'Oxford Economics'!$B$7:$B$1000,Settings!$B$17)))),""))</f>
        <v/>
      </c>
    </row>
    <row r="44" customFormat="false" ht="15" hidden="false" customHeight="false" outlineLevel="0" collapsed="false">
      <c r="A44" s="36" t="str">
        <f aca="false">IF('Raw data'!$A44="","",'Raw data'!$A44)</f>
        <v/>
      </c>
      <c r="B44" s="36" t="str">
        <f aca="false">IF($A44="","",'Raw data'!$C44)</f>
        <v/>
      </c>
      <c r="C44" s="36" t="str">
        <f aca="false">IF($A44="","",IF('Raw data'!$D44="",$A44,'Raw data'!$D44))</f>
        <v/>
      </c>
      <c r="D44" s="37" t="str">
        <f aca="false">IF($A44="","",IF(AND(ISNUMBER(P44),ISNUMBER(AB44)),P44+AB44,""))</f>
        <v/>
      </c>
      <c r="E44" s="37" t="str">
        <f aca="false">IF($A44="","",IF(AND(ISNUMBER(Q44),ISNUMBER(AC44)),Q44+AC44,""))</f>
        <v/>
      </c>
      <c r="F44" s="37" t="str">
        <f aca="false">IF($A44="","",IF(AND(ISNUMBER(R44),ISNUMBER(AD44)),R44+AD44,""))</f>
        <v/>
      </c>
      <c r="G44" s="37" t="str">
        <f aca="false">IF($A44="","",IF(AND(ISNUMBER(S44),ISNUMBER(AE44)),S44+AE44,""))</f>
        <v/>
      </c>
      <c r="H44" s="37" t="str">
        <f aca="false">IF($A44="","",IF(AND(ISNUMBER(T44),ISNUMBER(AF44)),T44+AF44,""))</f>
        <v/>
      </c>
      <c r="I44" s="37" t="str">
        <f aca="false">IF($A44="","",IF(AND(ISNUMBER(U44),ISNUMBER(AG44)),U44+AG44,""))</f>
        <v/>
      </c>
      <c r="J44" s="37" t="str">
        <f aca="false">IF($A44="","",IF(AND(ISNUMBER(V44),ISNUMBER(AH44)),V44+AH44,""))</f>
        <v/>
      </c>
      <c r="K44" s="37" t="str">
        <f aca="false">IF($A44="","",IF(AND(ISNUMBER(W44),ISNUMBER(AI44)),W44+AI44,""))</f>
        <v/>
      </c>
      <c r="L44" s="37" t="str">
        <f aca="false">IF($A44="","",IF(AND(ISNUMBER(X44),ISNUMBER(AJ44)),X44+AJ44,""))</f>
        <v/>
      </c>
      <c r="M44" s="37" t="str">
        <f aca="false">IF($A44="","",IF(AND(ISNUMBER(Y44),ISNUMBER(AK44)),Y44+AK44,""))</f>
        <v/>
      </c>
      <c r="N44" s="37" t="str">
        <f aca="false">IF($A44="","",IF(AND(ISNUMBER(Z44),ISNUMBER(AL44)),Z44+AL44,""))</f>
        <v/>
      </c>
      <c r="O44" s="37" t="str">
        <f aca="false">IF($A44="","",IF(AND(ISNUMBER(AA44),ISNUMBER(AM44)),AA44+AM44,""))</f>
        <v/>
      </c>
      <c r="P44" s="37" t="str">
        <f aca="false">IF($A44="","",IFERROR(1/(1/IF($B44="Residential",SUMIFS(INDEX('Oxford Economics'!$A$7:$AZ$1000,0,IFERROR(MATCH(P$5,'Oxford Economics'!$A$6:$AZ$6,0),MATCH(P$5&amp;"",'Oxford Economics'!$A$6:$AZ$6,0))),'Oxford Economics'!$A$7:$A$1000,$C44,'Oxford Economics'!$B$7:$B$1000,Settings!$B$12)-SUMIFS(INDEX('Oxford Economics'!$A$7:$AZ$1000,0,IFERROR(MATCH(P$5,'Oxford Economics'!$A$6:$AZ$6,0),MATCH(P$5&amp;"",'Oxford Economics'!$A$6:$AZ$6,0))),'Oxford Economics'!$A$7:$A$1000,$C44,'Oxford Economics'!$B$7:$B$1000,Settings!$B$14),SUMIFS(INDEX('Oxford Economics'!$A$7:$AZ$1000,0,IFERROR(MATCH(P$5,'Oxford Economics'!$A$6:$AZ$6,0),MATCH(P$5&amp;"",'Oxford Economics'!$A$6:$AZ$6,0))),'Oxford Economics'!$A$7:$A$1000,$C44,'Oxford Economics'!$B$7:$B$1000,Settings!$B$14)+SUMIFS(INDEX('Oxford Economics'!$A$7:$AZ$1000,0,IFERROR(MATCH(P$5,'Oxford Economics'!$A$6:$AZ$6,0),MATCH(P$5&amp;"",'Oxford Economics'!$A$6:$AZ$6,0))),'Oxford Economics'!$A$7:$A$1000,$C44,'Oxford Economics'!$B$7:$B$1000,Settings!$B$16)+IF(Settings!$B$18="",0,SUMIFS(INDEX('Oxford Economics'!$A$7:$AZ$1000,0,IFERROR(MATCH(P$5,'Oxford Economics'!$A$6:$AZ$6,0),MATCH(P$5&amp;"",'Oxford Economics'!$A$6:$AZ$6,0))),'Oxford Economics'!$A$7:$A$1000,$C44,'Oxford Economics'!$B$7:$B$1000,Settings!$B$18)))),""))</f>
        <v/>
      </c>
      <c r="Q44" s="37" t="str">
        <f aca="false">IF($A44="","",IFERROR(1/(1/IF($B44="Residential",SUMIFS(INDEX('Oxford Economics'!$A$7:$AZ$1000,0,IFERROR(MATCH(Q$5,'Oxford Economics'!$A$6:$AZ$6,0),MATCH(Q$5&amp;"",'Oxford Economics'!$A$6:$AZ$6,0))),'Oxford Economics'!$A$7:$A$1000,$C44,'Oxford Economics'!$B$7:$B$1000,Settings!$B$12)-SUMIFS(INDEX('Oxford Economics'!$A$7:$AZ$1000,0,IFERROR(MATCH(Q$5,'Oxford Economics'!$A$6:$AZ$6,0),MATCH(Q$5&amp;"",'Oxford Economics'!$A$6:$AZ$6,0))),'Oxford Economics'!$A$7:$A$1000,$C44,'Oxford Economics'!$B$7:$B$1000,Settings!$B$14),SUMIFS(INDEX('Oxford Economics'!$A$7:$AZ$1000,0,IFERROR(MATCH(Q$5,'Oxford Economics'!$A$6:$AZ$6,0),MATCH(Q$5&amp;"",'Oxford Economics'!$A$6:$AZ$6,0))),'Oxford Economics'!$A$7:$A$1000,$C44,'Oxford Economics'!$B$7:$B$1000,Settings!$B$14)+SUMIFS(INDEX('Oxford Economics'!$A$7:$AZ$1000,0,IFERROR(MATCH(Q$5,'Oxford Economics'!$A$6:$AZ$6,0),MATCH(Q$5&amp;"",'Oxford Economics'!$A$6:$AZ$6,0))),'Oxford Economics'!$A$7:$A$1000,$C44,'Oxford Economics'!$B$7:$B$1000,Settings!$B$16)+IF(Settings!$B$18="",0,SUMIFS(INDEX('Oxford Economics'!$A$7:$AZ$1000,0,IFERROR(MATCH(Q$5,'Oxford Economics'!$A$6:$AZ$6,0),MATCH(Q$5&amp;"",'Oxford Economics'!$A$6:$AZ$6,0))),'Oxford Economics'!$A$7:$A$1000,$C44,'Oxford Economics'!$B$7:$B$1000,Settings!$B$18)))),""))</f>
        <v/>
      </c>
      <c r="R44" s="37" t="str">
        <f aca="false">IF($A44="","",IFERROR(1/(1/IF($B44="Residential",SUMIFS(INDEX('Oxford Economics'!$A$7:$AZ$1000,0,IFERROR(MATCH(R$5,'Oxford Economics'!$A$6:$AZ$6,0),MATCH(R$5&amp;"",'Oxford Economics'!$A$6:$AZ$6,0))),'Oxford Economics'!$A$7:$A$1000,$C44,'Oxford Economics'!$B$7:$B$1000,Settings!$B$12)-SUMIFS(INDEX('Oxford Economics'!$A$7:$AZ$1000,0,IFERROR(MATCH(R$5,'Oxford Economics'!$A$6:$AZ$6,0),MATCH(R$5&amp;"",'Oxford Economics'!$A$6:$AZ$6,0))),'Oxford Economics'!$A$7:$A$1000,$C44,'Oxford Economics'!$B$7:$B$1000,Settings!$B$14),SUMIFS(INDEX('Oxford Economics'!$A$7:$AZ$1000,0,IFERROR(MATCH(R$5,'Oxford Economics'!$A$6:$AZ$6,0),MATCH(R$5&amp;"",'Oxford Economics'!$A$6:$AZ$6,0))),'Oxford Economics'!$A$7:$A$1000,$C44,'Oxford Economics'!$B$7:$B$1000,Settings!$B$14)+SUMIFS(INDEX('Oxford Economics'!$A$7:$AZ$1000,0,IFERROR(MATCH(R$5,'Oxford Economics'!$A$6:$AZ$6,0),MATCH(R$5&amp;"",'Oxford Economics'!$A$6:$AZ$6,0))),'Oxford Economics'!$A$7:$A$1000,$C44,'Oxford Economics'!$B$7:$B$1000,Settings!$B$16)+IF(Settings!$B$18="",0,SUMIFS(INDEX('Oxford Economics'!$A$7:$AZ$1000,0,IFERROR(MATCH(R$5,'Oxford Economics'!$A$6:$AZ$6,0),MATCH(R$5&amp;"",'Oxford Economics'!$A$6:$AZ$6,0))),'Oxford Economics'!$A$7:$A$1000,$C44,'Oxford Economics'!$B$7:$B$1000,Settings!$B$18)))),""))</f>
        <v/>
      </c>
      <c r="S44" s="37" t="str">
        <f aca="false">IF($A44="","",IFERROR(1/(1/IF($B44="Residential",SUMIFS(INDEX('Oxford Economics'!$A$7:$AZ$1000,0,IFERROR(MATCH(S$5,'Oxford Economics'!$A$6:$AZ$6,0),MATCH(S$5&amp;"",'Oxford Economics'!$A$6:$AZ$6,0))),'Oxford Economics'!$A$7:$A$1000,$C44,'Oxford Economics'!$B$7:$B$1000,Settings!$B$12)-SUMIFS(INDEX('Oxford Economics'!$A$7:$AZ$1000,0,IFERROR(MATCH(S$5,'Oxford Economics'!$A$6:$AZ$6,0),MATCH(S$5&amp;"",'Oxford Economics'!$A$6:$AZ$6,0))),'Oxford Economics'!$A$7:$A$1000,$C44,'Oxford Economics'!$B$7:$B$1000,Settings!$B$14),SUMIFS(INDEX('Oxford Economics'!$A$7:$AZ$1000,0,IFERROR(MATCH(S$5,'Oxford Economics'!$A$6:$AZ$6,0),MATCH(S$5&amp;"",'Oxford Economics'!$A$6:$AZ$6,0))),'Oxford Economics'!$A$7:$A$1000,$C44,'Oxford Economics'!$B$7:$B$1000,Settings!$B$14)+SUMIFS(INDEX('Oxford Economics'!$A$7:$AZ$1000,0,IFERROR(MATCH(S$5,'Oxford Economics'!$A$6:$AZ$6,0),MATCH(S$5&amp;"",'Oxford Economics'!$A$6:$AZ$6,0))),'Oxford Economics'!$A$7:$A$1000,$C44,'Oxford Economics'!$B$7:$B$1000,Settings!$B$16)+IF(Settings!$B$18="",0,SUMIFS(INDEX('Oxford Economics'!$A$7:$AZ$1000,0,IFERROR(MATCH(S$5,'Oxford Economics'!$A$6:$AZ$6,0),MATCH(S$5&amp;"",'Oxford Economics'!$A$6:$AZ$6,0))),'Oxford Economics'!$A$7:$A$1000,$C44,'Oxford Economics'!$B$7:$B$1000,Settings!$B$18)))),""))</f>
        <v/>
      </c>
      <c r="T44" s="37" t="str">
        <f aca="false">IF($A44="","",IFERROR(1/(1/IF($B44="Residential",SUMIFS(INDEX('Oxford Economics'!$A$7:$AZ$1000,0,IFERROR(MATCH(T$5,'Oxford Economics'!$A$6:$AZ$6,0),MATCH(T$5&amp;"",'Oxford Economics'!$A$6:$AZ$6,0))),'Oxford Economics'!$A$7:$A$1000,$C44,'Oxford Economics'!$B$7:$B$1000,Settings!$B$12)-SUMIFS(INDEX('Oxford Economics'!$A$7:$AZ$1000,0,IFERROR(MATCH(T$5,'Oxford Economics'!$A$6:$AZ$6,0),MATCH(T$5&amp;"",'Oxford Economics'!$A$6:$AZ$6,0))),'Oxford Economics'!$A$7:$A$1000,$C44,'Oxford Economics'!$B$7:$B$1000,Settings!$B$14),SUMIFS(INDEX('Oxford Economics'!$A$7:$AZ$1000,0,IFERROR(MATCH(T$5,'Oxford Economics'!$A$6:$AZ$6,0),MATCH(T$5&amp;"",'Oxford Economics'!$A$6:$AZ$6,0))),'Oxford Economics'!$A$7:$A$1000,$C44,'Oxford Economics'!$B$7:$B$1000,Settings!$B$14)+SUMIFS(INDEX('Oxford Economics'!$A$7:$AZ$1000,0,IFERROR(MATCH(T$5,'Oxford Economics'!$A$6:$AZ$6,0),MATCH(T$5&amp;"",'Oxford Economics'!$A$6:$AZ$6,0))),'Oxford Economics'!$A$7:$A$1000,$C44,'Oxford Economics'!$B$7:$B$1000,Settings!$B$16)+IF(Settings!$B$18="",0,SUMIFS(INDEX('Oxford Economics'!$A$7:$AZ$1000,0,IFERROR(MATCH(T$5,'Oxford Economics'!$A$6:$AZ$6,0),MATCH(T$5&amp;"",'Oxford Economics'!$A$6:$AZ$6,0))),'Oxford Economics'!$A$7:$A$1000,$C44,'Oxford Economics'!$B$7:$B$1000,Settings!$B$18)))),""))</f>
        <v/>
      </c>
      <c r="U44" s="37" t="str">
        <f aca="false">IF($A44="","",IFERROR(1/(1/IF($B44="Residential",SUMIFS(INDEX('Oxford Economics'!$A$7:$AZ$1000,0,IFERROR(MATCH(U$5,'Oxford Economics'!$A$6:$AZ$6,0),MATCH(U$5&amp;"",'Oxford Economics'!$A$6:$AZ$6,0))),'Oxford Economics'!$A$7:$A$1000,$C44,'Oxford Economics'!$B$7:$B$1000,Settings!$B$12)-SUMIFS(INDEX('Oxford Economics'!$A$7:$AZ$1000,0,IFERROR(MATCH(U$5,'Oxford Economics'!$A$6:$AZ$6,0),MATCH(U$5&amp;"",'Oxford Economics'!$A$6:$AZ$6,0))),'Oxford Economics'!$A$7:$A$1000,$C44,'Oxford Economics'!$B$7:$B$1000,Settings!$B$14),SUMIFS(INDEX('Oxford Economics'!$A$7:$AZ$1000,0,IFERROR(MATCH(U$5,'Oxford Economics'!$A$6:$AZ$6,0),MATCH(U$5&amp;"",'Oxford Economics'!$A$6:$AZ$6,0))),'Oxford Economics'!$A$7:$A$1000,$C44,'Oxford Economics'!$B$7:$B$1000,Settings!$B$14)+SUMIFS(INDEX('Oxford Economics'!$A$7:$AZ$1000,0,IFERROR(MATCH(U$5,'Oxford Economics'!$A$6:$AZ$6,0),MATCH(U$5&amp;"",'Oxford Economics'!$A$6:$AZ$6,0))),'Oxford Economics'!$A$7:$A$1000,$C44,'Oxford Economics'!$B$7:$B$1000,Settings!$B$16)+IF(Settings!$B$18="",0,SUMIFS(INDEX('Oxford Economics'!$A$7:$AZ$1000,0,IFERROR(MATCH(U$5,'Oxford Economics'!$A$6:$AZ$6,0),MATCH(U$5&amp;"",'Oxford Economics'!$A$6:$AZ$6,0))),'Oxford Economics'!$A$7:$A$1000,$C44,'Oxford Economics'!$B$7:$B$1000,Settings!$B$18)))),""))</f>
        <v/>
      </c>
      <c r="V44" s="37" t="str">
        <f aca="false">IF($A44="","",IFERROR(1/(1/IF($B44="Residential",SUMIFS(INDEX('Oxford Economics'!$A$7:$AZ$1000,0,IFERROR(MATCH(V$5,'Oxford Economics'!$A$6:$AZ$6,0),MATCH(V$5&amp;"",'Oxford Economics'!$A$6:$AZ$6,0))),'Oxford Economics'!$A$7:$A$1000,$C44,'Oxford Economics'!$B$7:$B$1000,Settings!$B$12)-SUMIFS(INDEX('Oxford Economics'!$A$7:$AZ$1000,0,IFERROR(MATCH(V$5,'Oxford Economics'!$A$6:$AZ$6,0),MATCH(V$5&amp;"",'Oxford Economics'!$A$6:$AZ$6,0))),'Oxford Economics'!$A$7:$A$1000,$C44,'Oxford Economics'!$B$7:$B$1000,Settings!$B$14),SUMIFS(INDEX('Oxford Economics'!$A$7:$AZ$1000,0,IFERROR(MATCH(V$5,'Oxford Economics'!$A$6:$AZ$6,0),MATCH(V$5&amp;"",'Oxford Economics'!$A$6:$AZ$6,0))),'Oxford Economics'!$A$7:$A$1000,$C44,'Oxford Economics'!$B$7:$B$1000,Settings!$B$14)+SUMIFS(INDEX('Oxford Economics'!$A$7:$AZ$1000,0,IFERROR(MATCH(V$5,'Oxford Economics'!$A$6:$AZ$6,0),MATCH(V$5&amp;"",'Oxford Economics'!$A$6:$AZ$6,0))),'Oxford Economics'!$A$7:$A$1000,$C44,'Oxford Economics'!$B$7:$B$1000,Settings!$B$16)+IF(Settings!$B$18="",0,SUMIFS(INDEX('Oxford Economics'!$A$7:$AZ$1000,0,IFERROR(MATCH(V$5,'Oxford Economics'!$A$6:$AZ$6,0),MATCH(V$5&amp;"",'Oxford Economics'!$A$6:$AZ$6,0))),'Oxford Economics'!$A$7:$A$1000,$C44,'Oxford Economics'!$B$7:$B$1000,Settings!$B$18)))),""))</f>
        <v/>
      </c>
      <c r="W44" s="37" t="str">
        <f aca="false">IF($A44="","",IFERROR(1/(1/IF($B44="Residential",SUMIFS(INDEX('Oxford Economics'!$A$7:$AZ$1000,0,IFERROR(MATCH(W$5,'Oxford Economics'!$A$6:$AZ$6,0),MATCH(W$5&amp;"",'Oxford Economics'!$A$6:$AZ$6,0))),'Oxford Economics'!$A$7:$A$1000,$C44,'Oxford Economics'!$B$7:$B$1000,Settings!$B$12)-SUMIFS(INDEX('Oxford Economics'!$A$7:$AZ$1000,0,IFERROR(MATCH(W$5,'Oxford Economics'!$A$6:$AZ$6,0),MATCH(W$5&amp;"",'Oxford Economics'!$A$6:$AZ$6,0))),'Oxford Economics'!$A$7:$A$1000,$C44,'Oxford Economics'!$B$7:$B$1000,Settings!$B$14),SUMIFS(INDEX('Oxford Economics'!$A$7:$AZ$1000,0,IFERROR(MATCH(W$5,'Oxford Economics'!$A$6:$AZ$6,0),MATCH(W$5&amp;"",'Oxford Economics'!$A$6:$AZ$6,0))),'Oxford Economics'!$A$7:$A$1000,$C44,'Oxford Economics'!$B$7:$B$1000,Settings!$B$14)+SUMIFS(INDEX('Oxford Economics'!$A$7:$AZ$1000,0,IFERROR(MATCH(W$5,'Oxford Economics'!$A$6:$AZ$6,0),MATCH(W$5&amp;"",'Oxford Economics'!$A$6:$AZ$6,0))),'Oxford Economics'!$A$7:$A$1000,$C44,'Oxford Economics'!$B$7:$B$1000,Settings!$B$16)+IF(Settings!$B$18="",0,SUMIFS(INDEX('Oxford Economics'!$A$7:$AZ$1000,0,IFERROR(MATCH(W$5,'Oxford Economics'!$A$6:$AZ$6,0),MATCH(W$5&amp;"",'Oxford Economics'!$A$6:$AZ$6,0))),'Oxford Economics'!$A$7:$A$1000,$C44,'Oxford Economics'!$B$7:$B$1000,Settings!$B$18)))),""))</f>
        <v/>
      </c>
      <c r="X44" s="37" t="str">
        <f aca="false">IF($A44="","",IFERROR(1/(1/IF($B44="Residential",SUMIFS(INDEX('Oxford Economics'!$A$7:$AZ$1000,0,IFERROR(MATCH(X$5,'Oxford Economics'!$A$6:$AZ$6,0),MATCH(X$5&amp;"",'Oxford Economics'!$A$6:$AZ$6,0))),'Oxford Economics'!$A$7:$A$1000,$C44,'Oxford Economics'!$B$7:$B$1000,Settings!$B$12)-SUMIFS(INDEX('Oxford Economics'!$A$7:$AZ$1000,0,IFERROR(MATCH(X$5,'Oxford Economics'!$A$6:$AZ$6,0),MATCH(X$5&amp;"",'Oxford Economics'!$A$6:$AZ$6,0))),'Oxford Economics'!$A$7:$A$1000,$C44,'Oxford Economics'!$B$7:$B$1000,Settings!$B$14),SUMIFS(INDEX('Oxford Economics'!$A$7:$AZ$1000,0,IFERROR(MATCH(X$5,'Oxford Economics'!$A$6:$AZ$6,0),MATCH(X$5&amp;"",'Oxford Economics'!$A$6:$AZ$6,0))),'Oxford Economics'!$A$7:$A$1000,$C44,'Oxford Economics'!$B$7:$B$1000,Settings!$B$14)+SUMIFS(INDEX('Oxford Economics'!$A$7:$AZ$1000,0,IFERROR(MATCH(X$5,'Oxford Economics'!$A$6:$AZ$6,0),MATCH(X$5&amp;"",'Oxford Economics'!$A$6:$AZ$6,0))),'Oxford Economics'!$A$7:$A$1000,$C44,'Oxford Economics'!$B$7:$B$1000,Settings!$B$16)+IF(Settings!$B$18="",0,SUMIFS(INDEX('Oxford Economics'!$A$7:$AZ$1000,0,IFERROR(MATCH(X$5,'Oxford Economics'!$A$6:$AZ$6,0),MATCH(X$5&amp;"",'Oxford Economics'!$A$6:$AZ$6,0))),'Oxford Economics'!$A$7:$A$1000,$C44,'Oxford Economics'!$B$7:$B$1000,Settings!$B$18)))),""))</f>
        <v/>
      </c>
      <c r="Y44" s="37" t="str">
        <f aca="false">IF($A44="","",IFERROR(1/(1/IF($B44="Residential",SUMIFS(INDEX('Oxford Economics'!$A$7:$AZ$1000,0,IFERROR(MATCH(Y$5,'Oxford Economics'!$A$6:$AZ$6,0),MATCH(Y$5&amp;"",'Oxford Economics'!$A$6:$AZ$6,0))),'Oxford Economics'!$A$7:$A$1000,$C44,'Oxford Economics'!$B$7:$B$1000,Settings!$B$12)-SUMIFS(INDEX('Oxford Economics'!$A$7:$AZ$1000,0,IFERROR(MATCH(Y$5,'Oxford Economics'!$A$6:$AZ$6,0),MATCH(Y$5&amp;"",'Oxford Economics'!$A$6:$AZ$6,0))),'Oxford Economics'!$A$7:$A$1000,$C44,'Oxford Economics'!$B$7:$B$1000,Settings!$B$14),SUMIFS(INDEX('Oxford Economics'!$A$7:$AZ$1000,0,IFERROR(MATCH(Y$5,'Oxford Economics'!$A$6:$AZ$6,0),MATCH(Y$5&amp;"",'Oxford Economics'!$A$6:$AZ$6,0))),'Oxford Economics'!$A$7:$A$1000,$C44,'Oxford Economics'!$B$7:$B$1000,Settings!$B$14)+SUMIFS(INDEX('Oxford Economics'!$A$7:$AZ$1000,0,IFERROR(MATCH(Y$5,'Oxford Economics'!$A$6:$AZ$6,0),MATCH(Y$5&amp;"",'Oxford Economics'!$A$6:$AZ$6,0))),'Oxford Economics'!$A$7:$A$1000,$C44,'Oxford Economics'!$B$7:$B$1000,Settings!$B$16)+IF(Settings!$B$18="",0,SUMIFS(INDEX('Oxford Economics'!$A$7:$AZ$1000,0,IFERROR(MATCH(Y$5,'Oxford Economics'!$A$6:$AZ$6,0),MATCH(Y$5&amp;"",'Oxford Economics'!$A$6:$AZ$6,0))),'Oxford Economics'!$A$7:$A$1000,$C44,'Oxford Economics'!$B$7:$B$1000,Settings!$B$18)))),""))</f>
        <v/>
      </c>
      <c r="Z44" s="37" t="str">
        <f aca="false">IF($A44="","",IFERROR(1/(1/IF($B44="Residential",SUMIFS(INDEX('Oxford Economics'!$A$7:$AZ$1000,0,IFERROR(MATCH(Z$5,'Oxford Economics'!$A$6:$AZ$6,0),MATCH(Z$5&amp;"",'Oxford Economics'!$A$6:$AZ$6,0))),'Oxford Economics'!$A$7:$A$1000,$C44,'Oxford Economics'!$B$7:$B$1000,Settings!$B$12)-SUMIFS(INDEX('Oxford Economics'!$A$7:$AZ$1000,0,IFERROR(MATCH(Z$5,'Oxford Economics'!$A$6:$AZ$6,0),MATCH(Z$5&amp;"",'Oxford Economics'!$A$6:$AZ$6,0))),'Oxford Economics'!$A$7:$A$1000,$C44,'Oxford Economics'!$B$7:$B$1000,Settings!$B$14),SUMIFS(INDEX('Oxford Economics'!$A$7:$AZ$1000,0,IFERROR(MATCH(Z$5,'Oxford Economics'!$A$6:$AZ$6,0),MATCH(Z$5&amp;"",'Oxford Economics'!$A$6:$AZ$6,0))),'Oxford Economics'!$A$7:$A$1000,$C44,'Oxford Economics'!$B$7:$B$1000,Settings!$B$14)+SUMIFS(INDEX('Oxford Economics'!$A$7:$AZ$1000,0,IFERROR(MATCH(Z$5,'Oxford Economics'!$A$6:$AZ$6,0),MATCH(Z$5&amp;"",'Oxford Economics'!$A$6:$AZ$6,0))),'Oxford Economics'!$A$7:$A$1000,$C44,'Oxford Economics'!$B$7:$B$1000,Settings!$B$16)+IF(Settings!$B$18="",0,SUMIFS(INDEX('Oxford Economics'!$A$7:$AZ$1000,0,IFERROR(MATCH(Z$5,'Oxford Economics'!$A$6:$AZ$6,0),MATCH(Z$5&amp;"",'Oxford Economics'!$A$6:$AZ$6,0))),'Oxford Economics'!$A$7:$A$1000,$C44,'Oxford Economics'!$B$7:$B$1000,Settings!$B$18)))),""))</f>
        <v/>
      </c>
      <c r="AA44" s="37" t="str">
        <f aca="false">IF($A44="","",IFERROR(1/(1/IF($B44="Residential",SUMIFS(INDEX('Oxford Economics'!$A$7:$AZ$1000,0,IFERROR(MATCH(AA$5,'Oxford Economics'!$A$6:$AZ$6,0),MATCH(AA$5&amp;"",'Oxford Economics'!$A$6:$AZ$6,0))),'Oxford Economics'!$A$7:$A$1000,$C44,'Oxford Economics'!$B$7:$B$1000,Settings!$B$12)-SUMIFS(INDEX('Oxford Economics'!$A$7:$AZ$1000,0,IFERROR(MATCH(AA$5,'Oxford Economics'!$A$6:$AZ$6,0),MATCH(AA$5&amp;"",'Oxford Economics'!$A$6:$AZ$6,0))),'Oxford Economics'!$A$7:$A$1000,$C44,'Oxford Economics'!$B$7:$B$1000,Settings!$B$14),SUMIFS(INDEX('Oxford Economics'!$A$7:$AZ$1000,0,IFERROR(MATCH(AA$5,'Oxford Economics'!$A$6:$AZ$6,0),MATCH(AA$5&amp;"",'Oxford Economics'!$A$6:$AZ$6,0))),'Oxford Economics'!$A$7:$A$1000,$C44,'Oxford Economics'!$B$7:$B$1000,Settings!$B$14)+SUMIFS(INDEX('Oxford Economics'!$A$7:$AZ$1000,0,IFERROR(MATCH(AA$5,'Oxford Economics'!$A$6:$AZ$6,0),MATCH(AA$5&amp;"",'Oxford Economics'!$A$6:$AZ$6,0))),'Oxford Economics'!$A$7:$A$1000,$C44,'Oxford Economics'!$B$7:$B$1000,Settings!$B$16)+IF(Settings!$B$18="",0,SUMIFS(INDEX('Oxford Economics'!$A$7:$AZ$1000,0,IFERROR(MATCH(AA$5,'Oxford Economics'!$A$6:$AZ$6,0),MATCH(AA$5&amp;"",'Oxford Economics'!$A$6:$AZ$6,0))),'Oxford Economics'!$A$7:$A$1000,$C44,'Oxford Economics'!$B$7:$B$1000,Settings!$B$18)))),""))</f>
        <v/>
      </c>
      <c r="AB44" s="37" t="str">
        <f aca="false">IF($A44="","",IFERROR(1/(1/IF($B44="Residential",SUMIFS(INDEX('Oxford Economics'!$A$7:$AZ$1000,0,IFERROR(MATCH(AB$5,'Oxford Economics'!$A$6:$AZ$6,0),MATCH(AB$5&amp;"",'Oxford Economics'!$A$6:$AZ$6,0))),'Oxford Economics'!$A$7:$A$1000,$C44,'Oxford Economics'!$B$7:$B$1000,Settings!$B$11)-SUMIFS(INDEX('Oxford Economics'!$A$7:$AZ$1000,0,IFERROR(MATCH(AB$5,'Oxford Economics'!$A$6:$AZ$6,0),MATCH(AB$5&amp;"",'Oxford Economics'!$A$6:$AZ$6,0))),'Oxford Economics'!$A$7:$A$1000,$C44,'Oxford Economics'!$B$7:$B$1000,Settings!$B$13),SUMIFS(INDEX('Oxford Economics'!$A$7:$AZ$1000,0,IFERROR(MATCH(AB$5,'Oxford Economics'!$A$6:$AZ$6,0),MATCH(AB$5&amp;"",'Oxford Economics'!$A$6:$AZ$6,0))),'Oxford Economics'!$A$7:$A$1000,$C44,'Oxford Economics'!$B$7:$B$1000,Settings!$B$13)+SUMIFS(INDEX('Oxford Economics'!$A$7:$AZ$1000,0,IFERROR(MATCH(AB$5,'Oxford Economics'!$A$6:$AZ$6,0),MATCH(AB$5&amp;"",'Oxford Economics'!$A$6:$AZ$6,0))),'Oxford Economics'!$A$7:$A$1000,$C44,'Oxford Economics'!$B$7:$B$1000,Settings!$B$15)+IF(Settings!$B$17="",0,SUMIFS(INDEX('Oxford Economics'!$A$7:$AZ$1000,0,IFERROR(MATCH(AB$5,'Oxford Economics'!$A$6:$AZ$6,0),MATCH(AB$5&amp;"",'Oxford Economics'!$A$6:$AZ$6,0))),'Oxford Economics'!$A$7:$A$1000,$C44,'Oxford Economics'!$B$7:$B$1000,Settings!$B$17)))),""))</f>
        <v/>
      </c>
      <c r="AC44" s="37" t="str">
        <f aca="false">IF($A44="","",IFERROR(1/(1/IF($B44="Residential",SUMIFS(INDEX('Oxford Economics'!$A$7:$AZ$1000,0,IFERROR(MATCH(AC$5,'Oxford Economics'!$A$6:$AZ$6,0),MATCH(AC$5&amp;"",'Oxford Economics'!$A$6:$AZ$6,0))),'Oxford Economics'!$A$7:$A$1000,$C44,'Oxford Economics'!$B$7:$B$1000,Settings!$B$11)-SUMIFS(INDEX('Oxford Economics'!$A$7:$AZ$1000,0,IFERROR(MATCH(AC$5,'Oxford Economics'!$A$6:$AZ$6,0),MATCH(AC$5&amp;"",'Oxford Economics'!$A$6:$AZ$6,0))),'Oxford Economics'!$A$7:$A$1000,$C44,'Oxford Economics'!$B$7:$B$1000,Settings!$B$13),SUMIFS(INDEX('Oxford Economics'!$A$7:$AZ$1000,0,IFERROR(MATCH(AC$5,'Oxford Economics'!$A$6:$AZ$6,0),MATCH(AC$5&amp;"",'Oxford Economics'!$A$6:$AZ$6,0))),'Oxford Economics'!$A$7:$A$1000,$C44,'Oxford Economics'!$B$7:$B$1000,Settings!$B$13)+SUMIFS(INDEX('Oxford Economics'!$A$7:$AZ$1000,0,IFERROR(MATCH(AC$5,'Oxford Economics'!$A$6:$AZ$6,0),MATCH(AC$5&amp;"",'Oxford Economics'!$A$6:$AZ$6,0))),'Oxford Economics'!$A$7:$A$1000,$C44,'Oxford Economics'!$B$7:$B$1000,Settings!$B$15)+IF(Settings!$B$17="",0,SUMIFS(INDEX('Oxford Economics'!$A$7:$AZ$1000,0,IFERROR(MATCH(AC$5,'Oxford Economics'!$A$6:$AZ$6,0),MATCH(AC$5&amp;"",'Oxford Economics'!$A$6:$AZ$6,0))),'Oxford Economics'!$A$7:$A$1000,$C44,'Oxford Economics'!$B$7:$B$1000,Settings!$B$17)))),""))</f>
        <v/>
      </c>
      <c r="AD44" s="37" t="str">
        <f aca="false">IF($A44="","",IFERROR(1/(1/IF($B44="Residential",SUMIFS(INDEX('Oxford Economics'!$A$7:$AZ$1000,0,IFERROR(MATCH(AD$5,'Oxford Economics'!$A$6:$AZ$6,0),MATCH(AD$5&amp;"",'Oxford Economics'!$A$6:$AZ$6,0))),'Oxford Economics'!$A$7:$A$1000,$C44,'Oxford Economics'!$B$7:$B$1000,Settings!$B$11)-SUMIFS(INDEX('Oxford Economics'!$A$7:$AZ$1000,0,IFERROR(MATCH(AD$5,'Oxford Economics'!$A$6:$AZ$6,0),MATCH(AD$5&amp;"",'Oxford Economics'!$A$6:$AZ$6,0))),'Oxford Economics'!$A$7:$A$1000,$C44,'Oxford Economics'!$B$7:$B$1000,Settings!$B$13),SUMIFS(INDEX('Oxford Economics'!$A$7:$AZ$1000,0,IFERROR(MATCH(AD$5,'Oxford Economics'!$A$6:$AZ$6,0),MATCH(AD$5&amp;"",'Oxford Economics'!$A$6:$AZ$6,0))),'Oxford Economics'!$A$7:$A$1000,$C44,'Oxford Economics'!$B$7:$B$1000,Settings!$B$13)+SUMIFS(INDEX('Oxford Economics'!$A$7:$AZ$1000,0,IFERROR(MATCH(AD$5,'Oxford Economics'!$A$6:$AZ$6,0),MATCH(AD$5&amp;"",'Oxford Economics'!$A$6:$AZ$6,0))),'Oxford Economics'!$A$7:$A$1000,$C44,'Oxford Economics'!$B$7:$B$1000,Settings!$B$15)+IF(Settings!$B$17="",0,SUMIFS(INDEX('Oxford Economics'!$A$7:$AZ$1000,0,IFERROR(MATCH(AD$5,'Oxford Economics'!$A$6:$AZ$6,0),MATCH(AD$5&amp;"",'Oxford Economics'!$A$6:$AZ$6,0))),'Oxford Economics'!$A$7:$A$1000,$C44,'Oxford Economics'!$B$7:$B$1000,Settings!$B$17)))),""))</f>
        <v/>
      </c>
      <c r="AE44" s="37" t="str">
        <f aca="false">IF($A44="","",IFERROR(1/(1/IF($B44="Residential",SUMIFS(INDEX('Oxford Economics'!$A$7:$AZ$1000,0,IFERROR(MATCH(AE$5,'Oxford Economics'!$A$6:$AZ$6,0),MATCH(AE$5&amp;"",'Oxford Economics'!$A$6:$AZ$6,0))),'Oxford Economics'!$A$7:$A$1000,$C44,'Oxford Economics'!$B$7:$B$1000,Settings!$B$11)-SUMIFS(INDEX('Oxford Economics'!$A$7:$AZ$1000,0,IFERROR(MATCH(AE$5,'Oxford Economics'!$A$6:$AZ$6,0),MATCH(AE$5&amp;"",'Oxford Economics'!$A$6:$AZ$6,0))),'Oxford Economics'!$A$7:$A$1000,$C44,'Oxford Economics'!$B$7:$B$1000,Settings!$B$13),SUMIFS(INDEX('Oxford Economics'!$A$7:$AZ$1000,0,IFERROR(MATCH(AE$5,'Oxford Economics'!$A$6:$AZ$6,0),MATCH(AE$5&amp;"",'Oxford Economics'!$A$6:$AZ$6,0))),'Oxford Economics'!$A$7:$A$1000,$C44,'Oxford Economics'!$B$7:$B$1000,Settings!$B$13)+SUMIFS(INDEX('Oxford Economics'!$A$7:$AZ$1000,0,IFERROR(MATCH(AE$5,'Oxford Economics'!$A$6:$AZ$6,0),MATCH(AE$5&amp;"",'Oxford Economics'!$A$6:$AZ$6,0))),'Oxford Economics'!$A$7:$A$1000,$C44,'Oxford Economics'!$B$7:$B$1000,Settings!$B$15)+IF(Settings!$B$17="",0,SUMIFS(INDEX('Oxford Economics'!$A$7:$AZ$1000,0,IFERROR(MATCH(AE$5,'Oxford Economics'!$A$6:$AZ$6,0),MATCH(AE$5&amp;"",'Oxford Economics'!$A$6:$AZ$6,0))),'Oxford Economics'!$A$7:$A$1000,$C44,'Oxford Economics'!$B$7:$B$1000,Settings!$B$17)))),""))</f>
        <v/>
      </c>
      <c r="AF44" s="37" t="str">
        <f aca="false">IF($A44="","",IFERROR(1/(1/IF($B44="Residential",SUMIFS(INDEX('Oxford Economics'!$A$7:$AZ$1000,0,IFERROR(MATCH(AF$5,'Oxford Economics'!$A$6:$AZ$6,0),MATCH(AF$5&amp;"",'Oxford Economics'!$A$6:$AZ$6,0))),'Oxford Economics'!$A$7:$A$1000,$C44,'Oxford Economics'!$B$7:$B$1000,Settings!$B$11)-SUMIFS(INDEX('Oxford Economics'!$A$7:$AZ$1000,0,IFERROR(MATCH(AF$5,'Oxford Economics'!$A$6:$AZ$6,0),MATCH(AF$5&amp;"",'Oxford Economics'!$A$6:$AZ$6,0))),'Oxford Economics'!$A$7:$A$1000,$C44,'Oxford Economics'!$B$7:$B$1000,Settings!$B$13),SUMIFS(INDEX('Oxford Economics'!$A$7:$AZ$1000,0,IFERROR(MATCH(AF$5,'Oxford Economics'!$A$6:$AZ$6,0),MATCH(AF$5&amp;"",'Oxford Economics'!$A$6:$AZ$6,0))),'Oxford Economics'!$A$7:$A$1000,$C44,'Oxford Economics'!$B$7:$B$1000,Settings!$B$13)+SUMIFS(INDEX('Oxford Economics'!$A$7:$AZ$1000,0,IFERROR(MATCH(AF$5,'Oxford Economics'!$A$6:$AZ$6,0),MATCH(AF$5&amp;"",'Oxford Economics'!$A$6:$AZ$6,0))),'Oxford Economics'!$A$7:$A$1000,$C44,'Oxford Economics'!$B$7:$B$1000,Settings!$B$15)+IF(Settings!$B$17="",0,SUMIFS(INDEX('Oxford Economics'!$A$7:$AZ$1000,0,IFERROR(MATCH(AF$5,'Oxford Economics'!$A$6:$AZ$6,0),MATCH(AF$5&amp;"",'Oxford Economics'!$A$6:$AZ$6,0))),'Oxford Economics'!$A$7:$A$1000,$C44,'Oxford Economics'!$B$7:$B$1000,Settings!$B$17)))),""))</f>
        <v/>
      </c>
      <c r="AG44" s="37" t="str">
        <f aca="false">IF($A44="","",IFERROR(1/(1/IF($B44="Residential",SUMIFS(INDEX('Oxford Economics'!$A$7:$AZ$1000,0,IFERROR(MATCH(AG$5,'Oxford Economics'!$A$6:$AZ$6,0),MATCH(AG$5&amp;"",'Oxford Economics'!$A$6:$AZ$6,0))),'Oxford Economics'!$A$7:$A$1000,$C44,'Oxford Economics'!$B$7:$B$1000,Settings!$B$11)-SUMIFS(INDEX('Oxford Economics'!$A$7:$AZ$1000,0,IFERROR(MATCH(AG$5,'Oxford Economics'!$A$6:$AZ$6,0),MATCH(AG$5&amp;"",'Oxford Economics'!$A$6:$AZ$6,0))),'Oxford Economics'!$A$7:$A$1000,$C44,'Oxford Economics'!$B$7:$B$1000,Settings!$B$13),SUMIFS(INDEX('Oxford Economics'!$A$7:$AZ$1000,0,IFERROR(MATCH(AG$5,'Oxford Economics'!$A$6:$AZ$6,0),MATCH(AG$5&amp;"",'Oxford Economics'!$A$6:$AZ$6,0))),'Oxford Economics'!$A$7:$A$1000,$C44,'Oxford Economics'!$B$7:$B$1000,Settings!$B$13)+SUMIFS(INDEX('Oxford Economics'!$A$7:$AZ$1000,0,IFERROR(MATCH(AG$5,'Oxford Economics'!$A$6:$AZ$6,0),MATCH(AG$5&amp;"",'Oxford Economics'!$A$6:$AZ$6,0))),'Oxford Economics'!$A$7:$A$1000,$C44,'Oxford Economics'!$B$7:$B$1000,Settings!$B$15)+IF(Settings!$B$17="",0,SUMIFS(INDEX('Oxford Economics'!$A$7:$AZ$1000,0,IFERROR(MATCH(AG$5,'Oxford Economics'!$A$6:$AZ$6,0),MATCH(AG$5&amp;"",'Oxford Economics'!$A$6:$AZ$6,0))),'Oxford Economics'!$A$7:$A$1000,$C44,'Oxford Economics'!$B$7:$B$1000,Settings!$B$17)))),""))</f>
        <v/>
      </c>
      <c r="AH44" s="37" t="str">
        <f aca="false">IF($A44="","",IFERROR(1/(1/IF($B44="Residential",SUMIFS(INDEX('Oxford Economics'!$A$7:$AZ$1000,0,IFERROR(MATCH(AH$5,'Oxford Economics'!$A$6:$AZ$6,0),MATCH(AH$5&amp;"",'Oxford Economics'!$A$6:$AZ$6,0))),'Oxford Economics'!$A$7:$A$1000,$C44,'Oxford Economics'!$B$7:$B$1000,Settings!$B$11)-SUMIFS(INDEX('Oxford Economics'!$A$7:$AZ$1000,0,IFERROR(MATCH(AH$5,'Oxford Economics'!$A$6:$AZ$6,0),MATCH(AH$5&amp;"",'Oxford Economics'!$A$6:$AZ$6,0))),'Oxford Economics'!$A$7:$A$1000,$C44,'Oxford Economics'!$B$7:$B$1000,Settings!$B$13),SUMIFS(INDEX('Oxford Economics'!$A$7:$AZ$1000,0,IFERROR(MATCH(AH$5,'Oxford Economics'!$A$6:$AZ$6,0),MATCH(AH$5&amp;"",'Oxford Economics'!$A$6:$AZ$6,0))),'Oxford Economics'!$A$7:$A$1000,$C44,'Oxford Economics'!$B$7:$B$1000,Settings!$B$13)+SUMIFS(INDEX('Oxford Economics'!$A$7:$AZ$1000,0,IFERROR(MATCH(AH$5,'Oxford Economics'!$A$6:$AZ$6,0),MATCH(AH$5&amp;"",'Oxford Economics'!$A$6:$AZ$6,0))),'Oxford Economics'!$A$7:$A$1000,$C44,'Oxford Economics'!$B$7:$B$1000,Settings!$B$15)+IF(Settings!$B$17="",0,SUMIFS(INDEX('Oxford Economics'!$A$7:$AZ$1000,0,IFERROR(MATCH(AH$5,'Oxford Economics'!$A$6:$AZ$6,0),MATCH(AH$5&amp;"",'Oxford Economics'!$A$6:$AZ$6,0))),'Oxford Economics'!$A$7:$A$1000,$C44,'Oxford Economics'!$B$7:$B$1000,Settings!$B$17)))),""))</f>
        <v/>
      </c>
      <c r="AI44" s="37" t="str">
        <f aca="false">IF($A44="","",IFERROR(1/(1/IF($B44="Residential",SUMIFS(INDEX('Oxford Economics'!$A$7:$AZ$1000,0,IFERROR(MATCH(AI$5,'Oxford Economics'!$A$6:$AZ$6,0),MATCH(AI$5&amp;"",'Oxford Economics'!$A$6:$AZ$6,0))),'Oxford Economics'!$A$7:$A$1000,$C44,'Oxford Economics'!$B$7:$B$1000,Settings!$B$11)-SUMIFS(INDEX('Oxford Economics'!$A$7:$AZ$1000,0,IFERROR(MATCH(AI$5,'Oxford Economics'!$A$6:$AZ$6,0),MATCH(AI$5&amp;"",'Oxford Economics'!$A$6:$AZ$6,0))),'Oxford Economics'!$A$7:$A$1000,$C44,'Oxford Economics'!$B$7:$B$1000,Settings!$B$13),SUMIFS(INDEX('Oxford Economics'!$A$7:$AZ$1000,0,IFERROR(MATCH(AI$5,'Oxford Economics'!$A$6:$AZ$6,0),MATCH(AI$5&amp;"",'Oxford Economics'!$A$6:$AZ$6,0))),'Oxford Economics'!$A$7:$A$1000,$C44,'Oxford Economics'!$B$7:$B$1000,Settings!$B$13)+SUMIFS(INDEX('Oxford Economics'!$A$7:$AZ$1000,0,IFERROR(MATCH(AI$5,'Oxford Economics'!$A$6:$AZ$6,0),MATCH(AI$5&amp;"",'Oxford Economics'!$A$6:$AZ$6,0))),'Oxford Economics'!$A$7:$A$1000,$C44,'Oxford Economics'!$B$7:$B$1000,Settings!$B$15)+IF(Settings!$B$17="",0,SUMIFS(INDEX('Oxford Economics'!$A$7:$AZ$1000,0,IFERROR(MATCH(AI$5,'Oxford Economics'!$A$6:$AZ$6,0),MATCH(AI$5&amp;"",'Oxford Economics'!$A$6:$AZ$6,0))),'Oxford Economics'!$A$7:$A$1000,$C44,'Oxford Economics'!$B$7:$B$1000,Settings!$B$17)))),""))</f>
        <v/>
      </c>
      <c r="AJ44" s="37" t="str">
        <f aca="false">IF($A44="","",IFERROR(1/(1/IF($B44="Residential",SUMIFS(INDEX('Oxford Economics'!$A$7:$AZ$1000,0,IFERROR(MATCH(AJ$5,'Oxford Economics'!$A$6:$AZ$6,0),MATCH(AJ$5&amp;"",'Oxford Economics'!$A$6:$AZ$6,0))),'Oxford Economics'!$A$7:$A$1000,$C44,'Oxford Economics'!$B$7:$B$1000,Settings!$B$11)-SUMIFS(INDEX('Oxford Economics'!$A$7:$AZ$1000,0,IFERROR(MATCH(AJ$5,'Oxford Economics'!$A$6:$AZ$6,0),MATCH(AJ$5&amp;"",'Oxford Economics'!$A$6:$AZ$6,0))),'Oxford Economics'!$A$7:$A$1000,$C44,'Oxford Economics'!$B$7:$B$1000,Settings!$B$13),SUMIFS(INDEX('Oxford Economics'!$A$7:$AZ$1000,0,IFERROR(MATCH(AJ$5,'Oxford Economics'!$A$6:$AZ$6,0),MATCH(AJ$5&amp;"",'Oxford Economics'!$A$6:$AZ$6,0))),'Oxford Economics'!$A$7:$A$1000,$C44,'Oxford Economics'!$B$7:$B$1000,Settings!$B$13)+SUMIFS(INDEX('Oxford Economics'!$A$7:$AZ$1000,0,IFERROR(MATCH(AJ$5,'Oxford Economics'!$A$6:$AZ$6,0),MATCH(AJ$5&amp;"",'Oxford Economics'!$A$6:$AZ$6,0))),'Oxford Economics'!$A$7:$A$1000,$C44,'Oxford Economics'!$B$7:$B$1000,Settings!$B$15)+IF(Settings!$B$17="",0,SUMIFS(INDEX('Oxford Economics'!$A$7:$AZ$1000,0,IFERROR(MATCH(AJ$5,'Oxford Economics'!$A$6:$AZ$6,0),MATCH(AJ$5&amp;"",'Oxford Economics'!$A$6:$AZ$6,0))),'Oxford Economics'!$A$7:$A$1000,$C44,'Oxford Economics'!$B$7:$B$1000,Settings!$B$17)))),""))</f>
        <v/>
      </c>
      <c r="AK44" s="37" t="str">
        <f aca="false">IF($A44="","",IFERROR(1/(1/IF($B44="Residential",SUMIFS(INDEX('Oxford Economics'!$A$7:$AZ$1000,0,IFERROR(MATCH(AK$5,'Oxford Economics'!$A$6:$AZ$6,0),MATCH(AK$5&amp;"",'Oxford Economics'!$A$6:$AZ$6,0))),'Oxford Economics'!$A$7:$A$1000,$C44,'Oxford Economics'!$B$7:$B$1000,Settings!$B$11)-SUMIFS(INDEX('Oxford Economics'!$A$7:$AZ$1000,0,IFERROR(MATCH(AK$5,'Oxford Economics'!$A$6:$AZ$6,0),MATCH(AK$5&amp;"",'Oxford Economics'!$A$6:$AZ$6,0))),'Oxford Economics'!$A$7:$A$1000,$C44,'Oxford Economics'!$B$7:$B$1000,Settings!$B$13),SUMIFS(INDEX('Oxford Economics'!$A$7:$AZ$1000,0,IFERROR(MATCH(AK$5,'Oxford Economics'!$A$6:$AZ$6,0),MATCH(AK$5&amp;"",'Oxford Economics'!$A$6:$AZ$6,0))),'Oxford Economics'!$A$7:$A$1000,$C44,'Oxford Economics'!$B$7:$B$1000,Settings!$B$13)+SUMIFS(INDEX('Oxford Economics'!$A$7:$AZ$1000,0,IFERROR(MATCH(AK$5,'Oxford Economics'!$A$6:$AZ$6,0),MATCH(AK$5&amp;"",'Oxford Economics'!$A$6:$AZ$6,0))),'Oxford Economics'!$A$7:$A$1000,$C44,'Oxford Economics'!$B$7:$B$1000,Settings!$B$15)+IF(Settings!$B$17="",0,SUMIFS(INDEX('Oxford Economics'!$A$7:$AZ$1000,0,IFERROR(MATCH(AK$5,'Oxford Economics'!$A$6:$AZ$6,0),MATCH(AK$5&amp;"",'Oxford Economics'!$A$6:$AZ$6,0))),'Oxford Economics'!$A$7:$A$1000,$C44,'Oxford Economics'!$B$7:$B$1000,Settings!$B$17)))),""))</f>
        <v/>
      </c>
      <c r="AL44" s="37" t="str">
        <f aca="false">IF($A44="","",IFERROR(1/(1/IF($B44="Residential",SUMIFS(INDEX('Oxford Economics'!$A$7:$AZ$1000,0,IFERROR(MATCH(AL$5,'Oxford Economics'!$A$6:$AZ$6,0),MATCH(AL$5&amp;"",'Oxford Economics'!$A$6:$AZ$6,0))),'Oxford Economics'!$A$7:$A$1000,$C44,'Oxford Economics'!$B$7:$B$1000,Settings!$B$11)-SUMIFS(INDEX('Oxford Economics'!$A$7:$AZ$1000,0,IFERROR(MATCH(AL$5,'Oxford Economics'!$A$6:$AZ$6,0),MATCH(AL$5&amp;"",'Oxford Economics'!$A$6:$AZ$6,0))),'Oxford Economics'!$A$7:$A$1000,$C44,'Oxford Economics'!$B$7:$B$1000,Settings!$B$13),SUMIFS(INDEX('Oxford Economics'!$A$7:$AZ$1000,0,IFERROR(MATCH(AL$5,'Oxford Economics'!$A$6:$AZ$6,0),MATCH(AL$5&amp;"",'Oxford Economics'!$A$6:$AZ$6,0))),'Oxford Economics'!$A$7:$A$1000,$C44,'Oxford Economics'!$B$7:$B$1000,Settings!$B$13)+SUMIFS(INDEX('Oxford Economics'!$A$7:$AZ$1000,0,IFERROR(MATCH(AL$5,'Oxford Economics'!$A$6:$AZ$6,0),MATCH(AL$5&amp;"",'Oxford Economics'!$A$6:$AZ$6,0))),'Oxford Economics'!$A$7:$A$1000,$C44,'Oxford Economics'!$B$7:$B$1000,Settings!$B$15)+IF(Settings!$B$17="",0,SUMIFS(INDEX('Oxford Economics'!$A$7:$AZ$1000,0,IFERROR(MATCH(AL$5,'Oxford Economics'!$A$6:$AZ$6,0),MATCH(AL$5&amp;"",'Oxford Economics'!$A$6:$AZ$6,0))),'Oxford Economics'!$A$7:$A$1000,$C44,'Oxford Economics'!$B$7:$B$1000,Settings!$B$17)))),""))</f>
        <v/>
      </c>
      <c r="AM44" s="37" t="str">
        <f aca="false">IF($A44="","",IFERROR(1/(1/IF($B44="Residential",SUMIFS(INDEX('Oxford Economics'!$A$7:$AZ$1000,0,IFERROR(MATCH(AM$5,'Oxford Economics'!$A$6:$AZ$6,0),MATCH(AM$5&amp;"",'Oxford Economics'!$A$6:$AZ$6,0))),'Oxford Economics'!$A$7:$A$1000,$C44,'Oxford Economics'!$B$7:$B$1000,Settings!$B$11)-SUMIFS(INDEX('Oxford Economics'!$A$7:$AZ$1000,0,IFERROR(MATCH(AM$5,'Oxford Economics'!$A$6:$AZ$6,0),MATCH(AM$5&amp;"",'Oxford Economics'!$A$6:$AZ$6,0))),'Oxford Economics'!$A$7:$A$1000,$C44,'Oxford Economics'!$B$7:$B$1000,Settings!$B$13),SUMIFS(INDEX('Oxford Economics'!$A$7:$AZ$1000,0,IFERROR(MATCH(AM$5,'Oxford Economics'!$A$6:$AZ$6,0),MATCH(AM$5&amp;"",'Oxford Economics'!$A$6:$AZ$6,0))),'Oxford Economics'!$A$7:$A$1000,$C44,'Oxford Economics'!$B$7:$B$1000,Settings!$B$13)+SUMIFS(INDEX('Oxford Economics'!$A$7:$AZ$1000,0,IFERROR(MATCH(AM$5,'Oxford Economics'!$A$6:$AZ$6,0),MATCH(AM$5&amp;"",'Oxford Economics'!$A$6:$AZ$6,0))),'Oxford Economics'!$A$7:$A$1000,$C44,'Oxford Economics'!$B$7:$B$1000,Settings!$B$15)+IF(Settings!$B$17="",0,SUMIFS(INDEX('Oxford Economics'!$A$7:$AZ$1000,0,IFERROR(MATCH(AM$5,'Oxford Economics'!$A$6:$AZ$6,0),MATCH(AM$5&amp;"",'Oxford Economics'!$A$6:$AZ$6,0))),'Oxford Economics'!$A$7:$A$1000,$C44,'Oxford Economics'!$B$7:$B$1000,Settings!$B$17)))),""))</f>
        <v/>
      </c>
    </row>
    <row r="45" customFormat="false" ht="15" hidden="false" customHeight="false" outlineLevel="0" collapsed="false">
      <c r="A45" s="36" t="str">
        <f aca="false">IF('Raw data'!$A45="","",'Raw data'!$A45)</f>
        <v/>
      </c>
      <c r="B45" s="36" t="str">
        <f aca="false">IF($A45="","",'Raw data'!$C45)</f>
        <v/>
      </c>
      <c r="C45" s="36" t="str">
        <f aca="false">IF($A45="","",IF('Raw data'!$D45="",$A45,'Raw data'!$D45))</f>
        <v/>
      </c>
      <c r="D45" s="37" t="str">
        <f aca="false">IF($A45="","",IF(AND(ISNUMBER(P45),ISNUMBER(AB45)),P45+AB45,""))</f>
        <v/>
      </c>
      <c r="E45" s="37" t="str">
        <f aca="false">IF($A45="","",IF(AND(ISNUMBER(Q45),ISNUMBER(AC45)),Q45+AC45,""))</f>
        <v/>
      </c>
      <c r="F45" s="37" t="str">
        <f aca="false">IF($A45="","",IF(AND(ISNUMBER(R45),ISNUMBER(AD45)),R45+AD45,""))</f>
        <v/>
      </c>
      <c r="G45" s="37" t="str">
        <f aca="false">IF($A45="","",IF(AND(ISNUMBER(S45),ISNUMBER(AE45)),S45+AE45,""))</f>
        <v/>
      </c>
      <c r="H45" s="37" t="str">
        <f aca="false">IF($A45="","",IF(AND(ISNUMBER(T45),ISNUMBER(AF45)),T45+AF45,""))</f>
        <v/>
      </c>
      <c r="I45" s="37" t="str">
        <f aca="false">IF($A45="","",IF(AND(ISNUMBER(U45),ISNUMBER(AG45)),U45+AG45,""))</f>
        <v/>
      </c>
      <c r="J45" s="37" t="str">
        <f aca="false">IF($A45="","",IF(AND(ISNUMBER(V45),ISNUMBER(AH45)),V45+AH45,""))</f>
        <v/>
      </c>
      <c r="K45" s="37" t="str">
        <f aca="false">IF($A45="","",IF(AND(ISNUMBER(W45),ISNUMBER(AI45)),W45+AI45,""))</f>
        <v/>
      </c>
      <c r="L45" s="37" t="str">
        <f aca="false">IF($A45="","",IF(AND(ISNUMBER(X45),ISNUMBER(AJ45)),X45+AJ45,""))</f>
        <v/>
      </c>
      <c r="M45" s="37" t="str">
        <f aca="false">IF($A45="","",IF(AND(ISNUMBER(Y45),ISNUMBER(AK45)),Y45+AK45,""))</f>
        <v/>
      </c>
      <c r="N45" s="37" t="str">
        <f aca="false">IF($A45="","",IF(AND(ISNUMBER(Z45),ISNUMBER(AL45)),Z45+AL45,""))</f>
        <v/>
      </c>
      <c r="O45" s="37" t="str">
        <f aca="false">IF($A45="","",IF(AND(ISNUMBER(AA45),ISNUMBER(AM45)),AA45+AM45,""))</f>
        <v/>
      </c>
      <c r="P45" s="37" t="str">
        <f aca="false">IF($A45="","",IFERROR(1/(1/IF($B45="Residential",SUMIFS(INDEX('Oxford Economics'!$A$7:$AZ$1000,0,IFERROR(MATCH(P$5,'Oxford Economics'!$A$6:$AZ$6,0),MATCH(P$5&amp;"",'Oxford Economics'!$A$6:$AZ$6,0))),'Oxford Economics'!$A$7:$A$1000,$C45,'Oxford Economics'!$B$7:$B$1000,Settings!$B$12)-SUMIFS(INDEX('Oxford Economics'!$A$7:$AZ$1000,0,IFERROR(MATCH(P$5,'Oxford Economics'!$A$6:$AZ$6,0),MATCH(P$5&amp;"",'Oxford Economics'!$A$6:$AZ$6,0))),'Oxford Economics'!$A$7:$A$1000,$C45,'Oxford Economics'!$B$7:$B$1000,Settings!$B$14),SUMIFS(INDEX('Oxford Economics'!$A$7:$AZ$1000,0,IFERROR(MATCH(P$5,'Oxford Economics'!$A$6:$AZ$6,0),MATCH(P$5&amp;"",'Oxford Economics'!$A$6:$AZ$6,0))),'Oxford Economics'!$A$7:$A$1000,$C45,'Oxford Economics'!$B$7:$B$1000,Settings!$B$14)+SUMIFS(INDEX('Oxford Economics'!$A$7:$AZ$1000,0,IFERROR(MATCH(P$5,'Oxford Economics'!$A$6:$AZ$6,0),MATCH(P$5&amp;"",'Oxford Economics'!$A$6:$AZ$6,0))),'Oxford Economics'!$A$7:$A$1000,$C45,'Oxford Economics'!$B$7:$B$1000,Settings!$B$16)+IF(Settings!$B$18="",0,SUMIFS(INDEX('Oxford Economics'!$A$7:$AZ$1000,0,IFERROR(MATCH(P$5,'Oxford Economics'!$A$6:$AZ$6,0),MATCH(P$5&amp;"",'Oxford Economics'!$A$6:$AZ$6,0))),'Oxford Economics'!$A$7:$A$1000,$C45,'Oxford Economics'!$B$7:$B$1000,Settings!$B$18)))),""))</f>
        <v/>
      </c>
      <c r="Q45" s="37" t="str">
        <f aca="false">IF($A45="","",IFERROR(1/(1/IF($B45="Residential",SUMIFS(INDEX('Oxford Economics'!$A$7:$AZ$1000,0,IFERROR(MATCH(Q$5,'Oxford Economics'!$A$6:$AZ$6,0),MATCH(Q$5&amp;"",'Oxford Economics'!$A$6:$AZ$6,0))),'Oxford Economics'!$A$7:$A$1000,$C45,'Oxford Economics'!$B$7:$B$1000,Settings!$B$12)-SUMIFS(INDEX('Oxford Economics'!$A$7:$AZ$1000,0,IFERROR(MATCH(Q$5,'Oxford Economics'!$A$6:$AZ$6,0),MATCH(Q$5&amp;"",'Oxford Economics'!$A$6:$AZ$6,0))),'Oxford Economics'!$A$7:$A$1000,$C45,'Oxford Economics'!$B$7:$B$1000,Settings!$B$14),SUMIFS(INDEX('Oxford Economics'!$A$7:$AZ$1000,0,IFERROR(MATCH(Q$5,'Oxford Economics'!$A$6:$AZ$6,0),MATCH(Q$5&amp;"",'Oxford Economics'!$A$6:$AZ$6,0))),'Oxford Economics'!$A$7:$A$1000,$C45,'Oxford Economics'!$B$7:$B$1000,Settings!$B$14)+SUMIFS(INDEX('Oxford Economics'!$A$7:$AZ$1000,0,IFERROR(MATCH(Q$5,'Oxford Economics'!$A$6:$AZ$6,0),MATCH(Q$5&amp;"",'Oxford Economics'!$A$6:$AZ$6,0))),'Oxford Economics'!$A$7:$A$1000,$C45,'Oxford Economics'!$B$7:$B$1000,Settings!$B$16)+IF(Settings!$B$18="",0,SUMIFS(INDEX('Oxford Economics'!$A$7:$AZ$1000,0,IFERROR(MATCH(Q$5,'Oxford Economics'!$A$6:$AZ$6,0),MATCH(Q$5&amp;"",'Oxford Economics'!$A$6:$AZ$6,0))),'Oxford Economics'!$A$7:$A$1000,$C45,'Oxford Economics'!$B$7:$B$1000,Settings!$B$18)))),""))</f>
        <v/>
      </c>
      <c r="R45" s="37" t="str">
        <f aca="false">IF($A45="","",IFERROR(1/(1/IF($B45="Residential",SUMIFS(INDEX('Oxford Economics'!$A$7:$AZ$1000,0,IFERROR(MATCH(R$5,'Oxford Economics'!$A$6:$AZ$6,0),MATCH(R$5&amp;"",'Oxford Economics'!$A$6:$AZ$6,0))),'Oxford Economics'!$A$7:$A$1000,$C45,'Oxford Economics'!$B$7:$B$1000,Settings!$B$12)-SUMIFS(INDEX('Oxford Economics'!$A$7:$AZ$1000,0,IFERROR(MATCH(R$5,'Oxford Economics'!$A$6:$AZ$6,0),MATCH(R$5&amp;"",'Oxford Economics'!$A$6:$AZ$6,0))),'Oxford Economics'!$A$7:$A$1000,$C45,'Oxford Economics'!$B$7:$B$1000,Settings!$B$14),SUMIFS(INDEX('Oxford Economics'!$A$7:$AZ$1000,0,IFERROR(MATCH(R$5,'Oxford Economics'!$A$6:$AZ$6,0),MATCH(R$5&amp;"",'Oxford Economics'!$A$6:$AZ$6,0))),'Oxford Economics'!$A$7:$A$1000,$C45,'Oxford Economics'!$B$7:$B$1000,Settings!$B$14)+SUMIFS(INDEX('Oxford Economics'!$A$7:$AZ$1000,0,IFERROR(MATCH(R$5,'Oxford Economics'!$A$6:$AZ$6,0),MATCH(R$5&amp;"",'Oxford Economics'!$A$6:$AZ$6,0))),'Oxford Economics'!$A$7:$A$1000,$C45,'Oxford Economics'!$B$7:$B$1000,Settings!$B$16)+IF(Settings!$B$18="",0,SUMIFS(INDEX('Oxford Economics'!$A$7:$AZ$1000,0,IFERROR(MATCH(R$5,'Oxford Economics'!$A$6:$AZ$6,0),MATCH(R$5&amp;"",'Oxford Economics'!$A$6:$AZ$6,0))),'Oxford Economics'!$A$7:$A$1000,$C45,'Oxford Economics'!$B$7:$B$1000,Settings!$B$18)))),""))</f>
        <v/>
      </c>
      <c r="S45" s="37" t="str">
        <f aca="false">IF($A45="","",IFERROR(1/(1/IF($B45="Residential",SUMIFS(INDEX('Oxford Economics'!$A$7:$AZ$1000,0,IFERROR(MATCH(S$5,'Oxford Economics'!$A$6:$AZ$6,0),MATCH(S$5&amp;"",'Oxford Economics'!$A$6:$AZ$6,0))),'Oxford Economics'!$A$7:$A$1000,$C45,'Oxford Economics'!$B$7:$B$1000,Settings!$B$12)-SUMIFS(INDEX('Oxford Economics'!$A$7:$AZ$1000,0,IFERROR(MATCH(S$5,'Oxford Economics'!$A$6:$AZ$6,0),MATCH(S$5&amp;"",'Oxford Economics'!$A$6:$AZ$6,0))),'Oxford Economics'!$A$7:$A$1000,$C45,'Oxford Economics'!$B$7:$B$1000,Settings!$B$14),SUMIFS(INDEX('Oxford Economics'!$A$7:$AZ$1000,0,IFERROR(MATCH(S$5,'Oxford Economics'!$A$6:$AZ$6,0),MATCH(S$5&amp;"",'Oxford Economics'!$A$6:$AZ$6,0))),'Oxford Economics'!$A$7:$A$1000,$C45,'Oxford Economics'!$B$7:$B$1000,Settings!$B$14)+SUMIFS(INDEX('Oxford Economics'!$A$7:$AZ$1000,0,IFERROR(MATCH(S$5,'Oxford Economics'!$A$6:$AZ$6,0),MATCH(S$5&amp;"",'Oxford Economics'!$A$6:$AZ$6,0))),'Oxford Economics'!$A$7:$A$1000,$C45,'Oxford Economics'!$B$7:$B$1000,Settings!$B$16)+IF(Settings!$B$18="",0,SUMIFS(INDEX('Oxford Economics'!$A$7:$AZ$1000,0,IFERROR(MATCH(S$5,'Oxford Economics'!$A$6:$AZ$6,0),MATCH(S$5&amp;"",'Oxford Economics'!$A$6:$AZ$6,0))),'Oxford Economics'!$A$7:$A$1000,$C45,'Oxford Economics'!$B$7:$B$1000,Settings!$B$18)))),""))</f>
        <v/>
      </c>
      <c r="T45" s="37" t="str">
        <f aca="false">IF($A45="","",IFERROR(1/(1/IF($B45="Residential",SUMIFS(INDEX('Oxford Economics'!$A$7:$AZ$1000,0,IFERROR(MATCH(T$5,'Oxford Economics'!$A$6:$AZ$6,0),MATCH(T$5&amp;"",'Oxford Economics'!$A$6:$AZ$6,0))),'Oxford Economics'!$A$7:$A$1000,$C45,'Oxford Economics'!$B$7:$B$1000,Settings!$B$12)-SUMIFS(INDEX('Oxford Economics'!$A$7:$AZ$1000,0,IFERROR(MATCH(T$5,'Oxford Economics'!$A$6:$AZ$6,0),MATCH(T$5&amp;"",'Oxford Economics'!$A$6:$AZ$6,0))),'Oxford Economics'!$A$7:$A$1000,$C45,'Oxford Economics'!$B$7:$B$1000,Settings!$B$14),SUMIFS(INDEX('Oxford Economics'!$A$7:$AZ$1000,0,IFERROR(MATCH(T$5,'Oxford Economics'!$A$6:$AZ$6,0),MATCH(T$5&amp;"",'Oxford Economics'!$A$6:$AZ$6,0))),'Oxford Economics'!$A$7:$A$1000,$C45,'Oxford Economics'!$B$7:$B$1000,Settings!$B$14)+SUMIFS(INDEX('Oxford Economics'!$A$7:$AZ$1000,0,IFERROR(MATCH(T$5,'Oxford Economics'!$A$6:$AZ$6,0),MATCH(T$5&amp;"",'Oxford Economics'!$A$6:$AZ$6,0))),'Oxford Economics'!$A$7:$A$1000,$C45,'Oxford Economics'!$B$7:$B$1000,Settings!$B$16)+IF(Settings!$B$18="",0,SUMIFS(INDEX('Oxford Economics'!$A$7:$AZ$1000,0,IFERROR(MATCH(T$5,'Oxford Economics'!$A$6:$AZ$6,0),MATCH(T$5&amp;"",'Oxford Economics'!$A$6:$AZ$6,0))),'Oxford Economics'!$A$7:$A$1000,$C45,'Oxford Economics'!$B$7:$B$1000,Settings!$B$18)))),""))</f>
        <v/>
      </c>
      <c r="U45" s="37" t="str">
        <f aca="false">IF($A45="","",IFERROR(1/(1/IF($B45="Residential",SUMIFS(INDEX('Oxford Economics'!$A$7:$AZ$1000,0,IFERROR(MATCH(U$5,'Oxford Economics'!$A$6:$AZ$6,0),MATCH(U$5&amp;"",'Oxford Economics'!$A$6:$AZ$6,0))),'Oxford Economics'!$A$7:$A$1000,$C45,'Oxford Economics'!$B$7:$B$1000,Settings!$B$12)-SUMIFS(INDEX('Oxford Economics'!$A$7:$AZ$1000,0,IFERROR(MATCH(U$5,'Oxford Economics'!$A$6:$AZ$6,0),MATCH(U$5&amp;"",'Oxford Economics'!$A$6:$AZ$6,0))),'Oxford Economics'!$A$7:$A$1000,$C45,'Oxford Economics'!$B$7:$B$1000,Settings!$B$14),SUMIFS(INDEX('Oxford Economics'!$A$7:$AZ$1000,0,IFERROR(MATCH(U$5,'Oxford Economics'!$A$6:$AZ$6,0),MATCH(U$5&amp;"",'Oxford Economics'!$A$6:$AZ$6,0))),'Oxford Economics'!$A$7:$A$1000,$C45,'Oxford Economics'!$B$7:$B$1000,Settings!$B$14)+SUMIFS(INDEX('Oxford Economics'!$A$7:$AZ$1000,0,IFERROR(MATCH(U$5,'Oxford Economics'!$A$6:$AZ$6,0),MATCH(U$5&amp;"",'Oxford Economics'!$A$6:$AZ$6,0))),'Oxford Economics'!$A$7:$A$1000,$C45,'Oxford Economics'!$B$7:$B$1000,Settings!$B$16)+IF(Settings!$B$18="",0,SUMIFS(INDEX('Oxford Economics'!$A$7:$AZ$1000,0,IFERROR(MATCH(U$5,'Oxford Economics'!$A$6:$AZ$6,0),MATCH(U$5&amp;"",'Oxford Economics'!$A$6:$AZ$6,0))),'Oxford Economics'!$A$7:$A$1000,$C45,'Oxford Economics'!$B$7:$B$1000,Settings!$B$18)))),""))</f>
        <v/>
      </c>
      <c r="V45" s="37" t="str">
        <f aca="false">IF($A45="","",IFERROR(1/(1/IF($B45="Residential",SUMIFS(INDEX('Oxford Economics'!$A$7:$AZ$1000,0,IFERROR(MATCH(V$5,'Oxford Economics'!$A$6:$AZ$6,0),MATCH(V$5&amp;"",'Oxford Economics'!$A$6:$AZ$6,0))),'Oxford Economics'!$A$7:$A$1000,$C45,'Oxford Economics'!$B$7:$B$1000,Settings!$B$12)-SUMIFS(INDEX('Oxford Economics'!$A$7:$AZ$1000,0,IFERROR(MATCH(V$5,'Oxford Economics'!$A$6:$AZ$6,0),MATCH(V$5&amp;"",'Oxford Economics'!$A$6:$AZ$6,0))),'Oxford Economics'!$A$7:$A$1000,$C45,'Oxford Economics'!$B$7:$B$1000,Settings!$B$14),SUMIFS(INDEX('Oxford Economics'!$A$7:$AZ$1000,0,IFERROR(MATCH(V$5,'Oxford Economics'!$A$6:$AZ$6,0),MATCH(V$5&amp;"",'Oxford Economics'!$A$6:$AZ$6,0))),'Oxford Economics'!$A$7:$A$1000,$C45,'Oxford Economics'!$B$7:$B$1000,Settings!$B$14)+SUMIFS(INDEX('Oxford Economics'!$A$7:$AZ$1000,0,IFERROR(MATCH(V$5,'Oxford Economics'!$A$6:$AZ$6,0),MATCH(V$5&amp;"",'Oxford Economics'!$A$6:$AZ$6,0))),'Oxford Economics'!$A$7:$A$1000,$C45,'Oxford Economics'!$B$7:$B$1000,Settings!$B$16)+IF(Settings!$B$18="",0,SUMIFS(INDEX('Oxford Economics'!$A$7:$AZ$1000,0,IFERROR(MATCH(V$5,'Oxford Economics'!$A$6:$AZ$6,0),MATCH(V$5&amp;"",'Oxford Economics'!$A$6:$AZ$6,0))),'Oxford Economics'!$A$7:$A$1000,$C45,'Oxford Economics'!$B$7:$B$1000,Settings!$B$18)))),""))</f>
        <v/>
      </c>
      <c r="W45" s="37" t="str">
        <f aca="false">IF($A45="","",IFERROR(1/(1/IF($B45="Residential",SUMIFS(INDEX('Oxford Economics'!$A$7:$AZ$1000,0,IFERROR(MATCH(W$5,'Oxford Economics'!$A$6:$AZ$6,0),MATCH(W$5&amp;"",'Oxford Economics'!$A$6:$AZ$6,0))),'Oxford Economics'!$A$7:$A$1000,$C45,'Oxford Economics'!$B$7:$B$1000,Settings!$B$12)-SUMIFS(INDEX('Oxford Economics'!$A$7:$AZ$1000,0,IFERROR(MATCH(W$5,'Oxford Economics'!$A$6:$AZ$6,0),MATCH(W$5&amp;"",'Oxford Economics'!$A$6:$AZ$6,0))),'Oxford Economics'!$A$7:$A$1000,$C45,'Oxford Economics'!$B$7:$B$1000,Settings!$B$14),SUMIFS(INDEX('Oxford Economics'!$A$7:$AZ$1000,0,IFERROR(MATCH(W$5,'Oxford Economics'!$A$6:$AZ$6,0),MATCH(W$5&amp;"",'Oxford Economics'!$A$6:$AZ$6,0))),'Oxford Economics'!$A$7:$A$1000,$C45,'Oxford Economics'!$B$7:$B$1000,Settings!$B$14)+SUMIFS(INDEX('Oxford Economics'!$A$7:$AZ$1000,0,IFERROR(MATCH(W$5,'Oxford Economics'!$A$6:$AZ$6,0),MATCH(W$5&amp;"",'Oxford Economics'!$A$6:$AZ$6,0))),'Oxford Economics'!$A$7:$A$1000,$C45,'Oxford Economics'!$B$7:$B$1000,Settings!$B$16)+IF(Settings!$B$18="",0,SUMIFS(INDEX('Oxford Economics'!$A$7:$AZ$1000,0,IFERROR(MATCH(W$5,'Oxford Economics'!$A$6:$AZ$6,0),MATCH(W$5&amp;"",'Oxford Economics'!$A$6:$AZ$6,0))),'Oxford Economics'!$A$7:$A$1000,$C45,'Oxford Economics'!$B$7:$B$1000,Settings!$B$18)))),""))</f>
        <v/>
      </c>
      <c r="X45" s="37" t="str">
        <f aca="false">IF($A45="","",IFERROR(1/(1/IF($B45="Residential",SUMIFS(INDEX('Oxford Economics'!$A$7:$AZ$1000,0,IFERROR(MATCH(X$5,'Oxford Economics'!$A$6:$AZ$6,0),MATCH(X$5&amp;"",'Oxford Economics'!$A$6:$AZ$6,0))),'Oxford Economics'!$A$7:$A$1000,$C45,'Oxford Economics'!$B$7:$B$1000,Settings!$B$12)-SUMIFS(INDEX('Oxford Economics'!$A$7:$AZ$1000,0,IFERROR(MATCH(X$5,'Oxford Economics'!$A$6:$AZ$6,0),MATCH(X$5&amp;"",'Oxford Economics'!$A$6:$AZ$6,0))),'Oxford Economics'!$A$7:$A$1000,$C45,'Oxford Economics'!$B$7:$B$1000,Settings!$B$14),SUMIFS(INDEX('Oxford Economics'!$A$7:$AZ$1000,0,IFERROR(MATCH(X$5,'Oxford Economics'!$A$6:$AZ$6,0),MATCH(X$5&amp;"",'Oxford Economics'!$A$6:$AZ$6,0))),'Oxford Economics'!$A$7:$A$1000,$C45,'Oxford Economics'!$B$7:$B$1000,Settings!$B$14)+SUMIFS(INDEX('Oxford Economics'!$A$7:$AZ$1000,0,IFERROR(MATCH(X$5,'Oxford Economics'!$A$6:$AZ$6,0),MATCH(X$5&amp;"",'Oxford Economics'!$A$6:$AZ$6,0))),'Oxford Economics'!$A$7:$A$1000,$C45,'Oxford Economics'!$B$7:$B$1000,Settings!$B$16)+IF(Settings!$B$18="",0,SUMIFS(INDEX('Oxford Economics'!$A$7:$AZ$1000,0,IFERROR(MATCH(X$5,'Oxford Economics'!$A$6:$AZ$6,0),MATCH(X$5&amp;"",'Oxford Economics'!$A$6:$AZ$6,0))),'Oxford Economics'!$A$7:$A$1000,$C45,'Oxford Economics'!$B$7:$B$1000,Settings!$B$18)))),""))</f>
        <v/>
      </c>
      <c r="Y45" s="37" t="str">
        <f aca="false">IF($A45="","",IFERROR(1/(1/IF($B45="Residential",SUMIFS(INDEX('Oxford Economics'!$A$7:$AZ$1000,0,IFERROR(MATCH(Y$5,'Oxford Economics'!$A$6:$AZ$6,0),MATCH(Y$5&amp;"",'Oxford Economics'!$A$6:$AZ$6,0))),'Oxford Economics'!$A$7:$A$1000,$C45,'Oxford Economics'!$B$7:$B$1000,Settings!$B$12)-SUMIFS(INDEX('Oxford Economics'!$A$7:$AZ$1000,0,IFERROR(MATCH(Y$5,'Oxford Economics'!$A$6:$AZ$6,0),MATCH(Y$5&amp;"",'Oxford Economics'!$A$6:$AZ$6,0))),'Oxford Economics'!$A$7:$A$1000,$C45,'Oxford Economics'!$B$7:$B$1000,Settings!$B$14),SUMIFS(INDEX('Oxford Economics'!$A$7:$AZ$1000,0,IFERROR(MATCH(Y$5,'Oxford Economics'!$A$6:$AZ$6,0),MATCH(Y$5&amp;"",'Oxford Economics'!$A$6:$AZ$6,0))),'Oxford Economics'!$A$7:$A$1000,$C45,'Oxford Economics'!$B$7:$B$1000,Settings!$B$14)+SUMIFS(INDEX('Oxford Economics'!$A$7:$AZ$1000,0,IFERROR(MATCH(Y$5,'Oxford Economics'!$A$6:$AZ$6,0),MATCH(Y$5&amp;"",'Oxford Economics'!$A$6:$AZ$6,0))),'Oxford Economics'!$A$7:$A$1000,$C45,'Oxford Economics'!$B$7:$B$1000,Settings!$B$16)+IF(Settings!$B$18="",0,SUMIFS(INDEX('Oxford Economics'!$A$7:$AZ$1000,0,IFERROR(MATCH(Y$5,'Oxford Economics'!$A$6:$AZ$6,0),MATCH(Y$5&amp;"",'Oxford Economics'!$A$6:$AZ$6,0))),'Oxford Economics'!$A$7:$A$1000,$C45,'Oxford Economics'!$B$7:$B$1000,Settings!$B$18)))),""))</f>
        <v/>
      </c>
      <c r="Z45" s="37" t="str">
        <f aca="false">IF($A45="","",IFERROR(1/(1/IF($B45="Residential",SUMIFS(INDEX('Oxford Economics'!$A$7:$AZ$1000,0,IFERROR(MATCH(Z$5,'Oxford Economics'!$A$6:$AZ$6,0),MATCH(Z$5&amp;"",'Oxford Economics'!$A$6:$AZ$6,0))),'Oxford Economics'!$A$7:$A$1000,$C45,'Oxford Economics'!$B$7:$B$1000,Settings!$B$12)-SUMIFS(INDEX('Oxford Economics'!$A$7:$AZ$1000,0,IFERROR(MATCH(Z$5,'Oxford Economics'!$A$6:$AZ$6,0),MATCH(Z$5&amp;"",'Oxford Economics'!$A$6:$AZ$6,0))),'Oxford Economics'!$A$7:$A$1000,$C45,'Oxford Economics'!$B$7:$B$1000,Settings!$B$14),SUMIFS(INDEX('Oxford Economics'!$A$7:$AZ$1000,0,IFERROR(MATCH(Z$5,'Oxford Economics'!$A$6:$AZ$6,0),MATCH(Z$5&amp;"",'Oxford Economics'!$A$6:$AZ$6,0))),'Oxford Economics'!$A$7:$A$1000,$C45,'Oxford Economics'!$B$7:$B$1000,Settings!$B$14)+SUMIFS(INDEX('Oxford Economics'!$A$7:$AZ$1000,0,IFERROR(MATCH(Z$5,'Oxford Economics'!$A$6:$AZ$6,0),MATCH(Z$5&amp;"",'Oxford Economics'!$A$6:$AZ$6,0))),'Oxford Economics'!$A$7:$A$1000,$C45,'Oxford Economics'!$B$7:$B$1000,Settings!$B$16)+IF(Settings!$B$18="",0,SUMIFS(INDEX('Oxford Economics'!$A$7:$AZ$1000,0,IFERROR(MATCH(Z$5,'Oxford Economics'!$A$6:$AZ$6,0),MATCH(Z$5&amp;"",'Oxford Economics'!$A$6:$AZ$6,0))),'Oxford Economics'!$A$7:$A$1000,$C45,'Oxford Economics'!$B$7:$B$1000,Settings!$B$18)))),""))</f>
        <v/>
      </c>
      <c r="AA45" s="37" t="str">
        <f aca="false">IF($A45="","",IFERROR(1/(1/IF($B45="Residential",SUMIFS(INDEX('Oxford Economics'!$A$7:$AZ$1000,0,IFERROR(MATCH(AA$5,'Oxford Economics'!$A$6:$AZ$6,0),MATCH(AA$5&amp;"",'Oxford Economics'!$A$6:$AZ$6,0))),'Oxford Economics'!$A$7:$A$1000,$C45,'Oxford Economics'!$B$7:$B$1000,Settings!$B$12)-SUMIFS(INDEX('Oxford Economics'!$A$7:$AZ$1000,0,IFERROR(MATCH(AA$5,'Oxford Economics'!$A$6:$AZ$6,0),MATCH(AA$5&amp;"",'Oxford Economics'!$A$6:$AZ$6,0))),'Oxford Economics'!$A$7:$A$1000,$C45,'Oxford Economics'!$B$7:$B$1000,Settings!$B$14),SUMIFS(INDEX('Oxford Economics'!$A$7:$AZ$1000,0,IFERROR(MATCH(AA$5,'Oxford Economics'!$A$6:$AZ$6,0),MATCH(AA$5&amp;"",'Oxford Economics'!$A$6:$AZ$6,0))),'Oxford Economics'!$A$7:$A$1000,$C45,'Oxford Economics'!$B$7:$B$1000,Settings!$B$14)+SUMIFS(INDEX('Oxford Economics'!$A$7:$AZ$1000,0,IFERROR(MATCH(AA$5,'Oxford Economics'!$A$6:$AZ$6,0),MATCH(AA$5&amp;"",'Oxford Economics'!$A$6:$AZ$6,0))),'Oxford Economics'!$A$7:$A$1000,$C45,'Oxford Economics'!$B$7:$B$1000,Settings!$B$16)+IF(Settings!$B$18="",0,SUMIFS(INDEX('Oxford Economics'!$A$7:$AZ$1000,0,IFERROR(MATCH(AA$5,'Oxford Economics'!$A$6:$AZ$6,0),MATCH(AA$5&amp;"",'Oxford Economics'!$A$6:$AZ$6,0))),'Oxford Economics'!$A$7:$A$1000,$C45,'Oxford Economics'!$B$7:$B$1000,Settings!$B$18)))),""))</f>
        <v/>
      </c>
      <c r="AB45" s="37" t="str">
        <f aca="false">IF($A45="","",IFERROR(1/(1/IF($B45="Residential",SUMIFS(INDEX('Oxford Economics'!$A$7:$AZ$1000,0,IFERROR(MATCH(AB$5,'Oxford Economics'!$A$6:$AZ$6,0),MATCH(AB$5&amp;"",'Oxford Economics'!$A$6:$AZ$6,0))),'Oxford Economics'!$A$7:$A$1000,$C45,'Oxford Economics'!$B$7:$B$1000,Settings!$B$11)-SUMIFS(INDEX('Oxford Economics'!$A$7:$AZ$1000,0,IFERROR(MATCH(AB$5,'Oxford Economics'!$A$6:$AZ$6,0),MATCH(AB$5&amp;"",'Oxford Economics'!$A$6:$AZ$6,0))),'Oxford Economics'!$A$7:$A$1000,$C45,'Oxford Economics'!$B$7:$B$1000,Settings!$B$13),SUMIFS(INDEX('Oxford Economics'!$A$7:$AZ$1000,0,IFERROR(MATCH(AB$5,'Oxford Economics'!$A$6:$AZ$6,0),MATCH(AB$5&amp;"",'Oxford Economics'!$A$6:$AZ$6,0))),'Oxford Economics'!$A$7:$A$1000,$C45,'Oxford Economics'!$B$7:$B$1000,Settings!$B$13)+SUMIFS(INDEX('Oxford Economics'!$A$7:$AZ$1000,0,IFERROR(MATCH(AB$5,'Oxford Economics'!$A$6:$AZ$6,0),MATCH(AB$5&amp;"",'Oxford Economics'!$A$6:$AZ$6,0))),'Oxford Economics'!$A$7:$A$1000,$C45,'Oxford Economics'!$B$7:$B$1000,Settings!$B$15)+IF(Settings!$B$17="",0,SUMIFS(INDEX('Oxford Economics'!$A$7:$AZ$1000,0,IFERROR(MATCH(AB$5,'Oxford Economics'!$A$6:$AZ$6,0),MATCH(AB$5&amp;"",'Oxford Economics'!$A$6:$AZ$6,0))),'Oxford Economics'!$A$7:$A$1000,$C45,'Oxford Economics'!$B$7:$B$1000,Settings!$B$17)))),""))</f>
        <v/>
      </c>
      <c r="AC45" s="37" t="str">
        <f aca="false">IF($A45="","",IFERROR(1/(1/IF($B45="Residential",SUMIFS(INDEX('Oxford Economics'!$A$7:$AZ$1000,0,IFERROR(MATCH(AC$5,'Oxford Economics'!$A$6:$AZ$6,0),MATCH(AC$5&amp;"",'Oxford Economics'!$A$6:$AZ$6,0))),'Oxford Economics'!$A$7:$A$1000,$C45,'Oxford Economics'!$B$7:$B$1000,Settings!$B$11)-SUMIFS(INDEX('Oxford Economics'!$A$7:$AZ$1000,0,IFERROR(MATCH(AC$5,'Oxford Economics'!$A$6:$AZ$6,0),MATCH(AC$5&amp;"",'Oxford Economics'!$A$6:$AZ$6,0))),'Oxford Economics'!$A$7:$A$1000,$C45,'Oxford Economics'!$B$7:$B$1000,Settings!$B$13),SUMIFS(INDEX('Oxford Economics'!$A$7:$AZ$1000,0,IFERROR(MATCH(AC$5,'Oxford Economics'!$A$6:$AZ$6,0),MATCH(AC$5&amp;"",'Oxford Economics'!$A$6:$AZ$6,0))),'Oxford Economics'!$A$7:$A$1000,$C45,'Oxford Economics'!$B$7:$B$1000,Settings!$B$13)+SUMIFS(INDEX('Oxford Economics'!$A$7:$AZ$1000,0,IFERROR(MATCH(AC$5,'Oxford Economics'!$A$6:$AZ$6,0),MATCH(AC$5&amp;"",'Oxford Economics'!$A$6:$AZ$6,0))),'Oxford Economics'!$A$7:$A$1000,$C45,'Oxford Economics'!$B$7:$B$1000,Settings!$B$15)+IF(Settings!$B$17="",0,SUMIFS(INDEX('Oxford Economics'!$A$7:$AZ$1000,0,IFERROR(MATCH(AC$5,'Oxford Economics'!$A$6:$AZ$6,0),MATCH(AC$5&amp;"",'Oxford Economics'!$A$6:$AZ$6,0))),'Oxford Economics'!$A$7:$A$1000,$C45,'Oxford Economics'!$B$7:$B$1000,Settings!$B$17)))),""))</f>
        <v/>
      </c>
      <c r="AD45" s="37" t="str">
        <f aca="false">IF($A45="","",IFERROR(1/(1/IF($B45="Residential",SUMIFS(INDEX('Oxford Economics'!$A$7:$AZ$1000,0,IFERROR(MATCH(AD$5,'Oxford Economics'!$A$6:$AZ$6,0),MATCH(AD$5&amp;"",'Oxford Economics'!$A$6:$AZ$6,0))),'Oxford Economics'!$A$7:$A$1000,$C45,'Oxford Economics'!$B$7:$B$1000,Settings!$B$11)-SUMIFS(INDEX('Oxford Economics'!$A$7:$AZ$1000,0,IFERROR(MATCH(AD$5,'Oxford Economics'!$A$6:$AZ$6,0),MATCH(AD$5&amp;"",'Oxford Economics'!$A$6:$AZ$6,0))),'Oxford Economics'!$A$7:$A$1000,$C45,'Oxford Economics'!$B$7:$B$1000,Settings!$B$13),SUMIFS(INDEX('Oxford Economics'!$A$7:$AZ$1000,0,IFERROR(MATCH(AD$5,'Oxford Economics'!$A$6:$AZ$6,0),MATCH(AD$5&amp;"",'Oxford Economics'!$A$6:$AZ$6,0))),'Oxford Economics'!$A$7:$A$1000,$C45,'Oxford Economics'!$B$7:$B$1000,Settings!$B$13)+SUMIFS(INDEX('Oxford Economics'!$A$7:$AZ$1000,0,IFERROR(MATCH(AD$5,'Oxford Economics'!$A$6:$AZ$6,0),MATCH(AD$5&amp;"",'Oxford Economics'!$A$6:$AZ$6,0))),'Oxford Economics'!$A$7:$A$1000,$C45,'Oxford Economics'!$B$7:$B$1000,Settings!$B$15)+IF(Settings!$B$17="",0,SUMIFS(INDEX('Oxford Economics'!$A$7:$AZ$1000,0,IFERROR(MATCH(AD$5,'Oxford Economics'!$A$6:$AZ$6,0),MATCH(AD$5&amp;"",'Oxford Economics'!$A$6:$AZ$6,0))),'Oxford Economics'!$A$7:$A$1000,$C45,'Oxford Economics'!$B$7:$B$1000,Settings!$B$17)))),""))</f>
        <v/>
      </c>
      <c r="AE45" s="37" t="str">
        <f aca="false">IF($A45="","",IFERROR(1/(1/IF($B45="Residential",SUMIFS(INDEX('Oxford Economics'!$A$7:$AZ$1000,0,IFERROR(MATCH(AE$5,'Oxford Economics'!$A$6:$AZ$6,0),MATCH(AE$5&amp;"",'Oxford Economics'!$A$6:$AZ$6,0))),'Oxford Economics'!$A$7:$A$1000,$C45,'Oxford Economics'!$B$7:$B$1000,Settings!$B$11)-SUMIFS(INDEX('Oxford Economics'!$A$7:$AZ$1000,0,IFERROR(MATCH(AE$5,'Oxford Economics'!$A$6:$AZ$6,0),MATCH(AE$5&amp;"",'Oxford Economics'!$A$6:$AZ$6,0))),'Oxford Economics'!$A$7:$A$1000,$C45,'Oxford Economics'!$B$7:$B$1000,Settings!$B$13),SUMIFS(INDEX('Oxford Economics'!$A$7:$AZ$1000,0,IFERROR(MATCH(AE$5,'Oxford Economics'!$A$6:$AZ$6,0),MATCH(AE$5&amp;"",'Oxford Economics'!$A$6:$AZ$6,0))),'Oxford Economics'!$A$7:$A$1000,$C45,'Oxford Economics'!$B$7:$B$1000,Settings!$B$13)+SUMIFS(INDEX('Oxford Economics'!$A$7:$AZ$1000,0,IFERROR(MATCH(AE$5,'Oxford Economics'!$A$6:$AZ$6,0),MATCH(AE$5&amp;"",'Oxford Economics'!$A$6:$AZ$6,0))),'Oxford Economics'!$A$7:$A$1000,$C45,'Oxford Economics'!$B$7:$B$1000,Settings!$B$15)+IF(Settings!$B$17="",0,SUMIFS(INDEX('Oxford Economics'!$A$7:$AZ$1000,0,IFERROR(MATCH(AE$5,'Oxford Economics'!$A$6:$AZ$6,0),MATCH(AE$5&amp;"",'Oxford Economics'!$A$6:$AZ$6,0))),'Oxford Economics'!$A$7:$A$1000,$C45,'Oxford Economics'!$B$7:$B$1000,Settings!$B$17)))),""))</f>
        <v/>
      </c>
      <c r="AF45" s="37" t="str">
        <f aca="false">IF($A45="","",IFERROR(1/(1/IF($B45="Residential",SUMIFS(INDEX('Oxford Economics'!$A$7:$AZ$1000,0,IFERROR(MATCH(AF$5,'Oxford Economics'!$A$6:$AZ$6,0),MATCH(AF$5&amp;"",'Oxford Economics'!$A$6:$AZ$6,0))),'Oxford Economics'!$A$7:$A$1000,$C45,'Oxford Economics'!$B$7:$B$1000,Settings!$B$11)-SUMIFS(INDEX('Oxford Economics'!$A$7:$AZ$1000,0,IFERROR(MATCH(AF$5,'Oxford Economics'!$A$6:$AZ$6,0),MATCH(AF$5&amp;"",'Oxford Economics'!$A$6:$AZ$6,0))),'Oxford Economics'!$A$7:$A$1000,$C45,'Oxford Economics'!$B$7:$B$1000,Settings!$B$13),SUMIFS(INDEX('Oxford Economics'!$A$7:$AZ$1000,0,IFERROR(MATCH(AF$5,'Oxford Economics'!$A$6:$AZ$6,0),MATCH(AF$5&amp;"",'Oxford Economics'!$A$6:$AZ$6,0))),'Oxford Economics'!$A$7:$A$1000,$C45,'Oxford Economics'!$B$7:$B$1000,Settings!$B$13)+SUMIFS(INDEX('Oxford Economics'!$A$7:$AZ$1000,0,IFERROR(MATCH(AF$5,'Oxford Economics'!$A$6:$AZ$6,0),MATCH(AF$5&amp;"",'Oxford Economics'!$A$6:$AZ$6,0))),'Oxford Economics'!$A$7:$A$1000,$C45,'Oxford Economics'!$B$7:$B$1000,Settings!$B$15)+IF(Settings!$B$17="",0,SUMIFS(INDEX('Oxford Economics'!$A$7:$AZ$1000,0,IFERROR(MATCH(AF$5,'Oxford Economics'!$A$6:$AZ$6,0),MATCH(AF$5&amp;"",'Oxford Economics'!$A$6:$AZ$6,0))),'Oxford Economics'!$A$7:$A$1000,$C45,'Oxford Economics'!$B$7:$B$1000,Settings!$B$17)))),""))</f>
        <v/>
      </c>
      <c r="AG45" s="37" t="str">
        <f aca="false">IF($A45="","",IFERROR(1/(1/IF($B45="Residential",SUMIFS(INDEX('Oxford Economics'!$A$7:$AZ$1000,0,IFERROR(MATCH(AG$5,'Oxford Economics'!$A$6:$AZ$6,0),MATCH(AG$5&amp;"",'Oxford Economics'!$A$6:$AZ$6,0))),'Oxford Economics'!$A$7:$A$1000,$C45,'Oxford Economics'!$B$7:$B$1000,Settings!$B$11)-SUMIFS(INDEX('Oxford Economics'!$A$7:$AZ$1000,0,IFERROR(MATCH(AG$5,'Oxford Economics'!$A$6:$AZ$6,0),MATCH(AG$5&amp;"",'Oxford Economics'!$A$6:$AZ$6,0))),'Oxford Economics'!$A$7:$A$1000,$C45,'Oxford Economics'!$B$7:$B$1000,Settings!$B$13),SUMIFS(INDEX('Oxford Economics'!$A$7:$AZ$1000,0,IFERROR(MATCH(AG$5,'Oxford Economics'!$A$6:$AZ$6,0),MATCH(AG$5&amp;"",'Oxford Economics'!$A$6:$AZ$6,0))),'Oxford Economics'!$A$7:$A$1000,$C45,'Oxford Economics'!$B$7:$B$1000,Settings!$B$13)+SUMIFS(INDEX('Oxford Economics'!$A$7:$AZ$1000,0,IFERROR(MATCH(AG$5,'Oxford Economics'!$A$6:$AZ$6,0),MATCH(AG$5&amp;"",'Oxford Economics'!$A$6:$AZ$6,0))),'Oxford Economics'!$A$7:$A$1000,$C45,'Oxford Economics'!$B$7:$B$1000,Settings!$B$15)+IF(Settings!$B$17="",0,SUMIFS(INDEX('Oxford Economics'!$A$7:$AZ$1000,0,IFERROR(MATCH(AG$5,'Oxford Economics'!$A$6:$AZ$6,0),MATCH(AG$5&amp;"",'Oxford Economics'!$A$6:$AZ$6,0))),'Oxford Economics'!$A$7:$A$1000,$C45,'Oxford Economics'!$B$7:$B$1000,Settings!$B$17)))),""))</f>
        <v/>
      </c>
      <c r="AH45" s="37" t="str">
        <f aca="false">IF($A45="","",IFERROR(1/(1/IF($B45="Residential",SUMIFS(INDEX('Oxford Economics'!$A$7:$AZ$1000,0,IFERROR(MATCH(AH$5,'Oxford Economics'!$A$6:$AZ$6,0),MATCH(AH$5&amp;"",'Oxford Economics'!$A$6:$AZ$6,0))),'Oxford Economics'!$A$7:$A$1000,$C45,'Oxford Economics'!$B$7:$B$1000,Settings!$B$11)-SUMIFS(INDEX('Oxford Economics'!$A$7:$AZ$1000,0,IFERROR(MATCH(AH$5,'Oxford Economics'!$A$6:$AZ$6,0),MATCH(AH$5&amp;"",'Oxford Economics'!$A$6:$AZ$6,0))),'Oxford Economics'!$A$7:$A$1000,$C45,'Oxford Economics'!$B$7:$B$1000,Settings!$B$13),SUMIFS(INDEX('Oxford Economics'!$A$7:$AZ$1000,0,IFERROR(MATCH(AH$5,'Oxford Economics'!$A$6:$AZ$6,0),MATCH(AH$5&amp;"",'Oxford Economics'!$A$6:$AZ$6,0))),'Oxford Economics'!$A$7:$A$1000,$C45,'Oxford Economics'!$B$7:$B$1000,Settings!$B$13)+SUMIFS(INDEX('Oxford Economics'!$A$7:$AZ$1000,0,IFERROR(MATCH(AH$5,'Oxford Economics'!$A$6:$AZ$6,0),MATCH(AH$5&amp;"",'Oxford Economics'!$A$6:$AZ$6,0))),'Oxford Economics'!$A$7:$A$1000,$C45,'Oxford Economics'!$B$7:$B$1000,Settings!$B$15)+IF(Settings!$B$17="",0,SUMIFS(INDEX('Oxford Economics'!$A$7:$AZ$1000,0,IFERROR(MATCH(AH$5,'Oxford Economics'!$A$6:$AZ$6,0),MATCH(AH$5&amp;"",'Oxford Economics'!$A$6:$AZ$6,0))),'Oxford Economics'!$A$7:$A$1000,$C45,'Oxford Economics'!$B$7:$B$1000,Settings!$B$17)))),""))</f>
        <v/>
      </c>
      <c r="AI45" s="37" t="str">
        <f aca="false">IF($A45="","",IFERROR(1/(1/IF($B45="Residential",SUMIFS(INDEX('Oxford Economics'!$A$7:$AZ$1000,0,IFERROR(MATCH(AI$5,'Oxford Economics'!$A$6:$AZ$6,0),MATCH(AI$5&amp;"",'Oxford Economics'!$A$6:$AZ$6,0))),'Oxford Economics'!$A$7:$A$1000,$C45,'Oxford Economics'!$B$7:$B$1000,Settings!$B$11)-SUMIFS(INDEX('Oxford Economics'!$A$7:$AZ$1000,0,IFERROR(MATCH(AI$5,'Oxford Economics'!$A$6:$AZ$6,0),MATCH(AI$5&amp;"",'Oxford Economics'!$A$6:$AZ$6,0))),'Oxford Economics'!$A$7:$A$1000,$C45,'Oxford Economics'!$B$7:$B$1000,Settings!$B$13),SUMIFS(INDEX('Oxford Economics'!$A$7:$AZ$1000,0,IFERROR(MATCH(AI$5,'Oxford Economics'!$A$6:$AZ$6,0),MATCH(AI$5&amp;"",'Oxford Economics'!$A$6:$AZ$6,0))),'Oxford Economics'!$A$7:$A$1000,$C45,'Oxford Economics'!$B$7:$B$1000,Settings!$B$13)+SUMIFS(INDEX('Oxford Economics'!$A$7:$AZ$1000,0,IFERROR(MATCH(AI$5,'Oxford Economics'!$A$6:$AZ$6,0),MATCH(AI$5&amp;"",'Oxford Economics'!$A$6:$AZ$6,0))),'Oxford Economics'!$A$7:$A$1000,$C45,'Oxford Economics'!$B$7:$B$1000,Settings!$B$15)+IF(Settings!$B$17="",0,SUMIFS(INDEX('Oxford Economics'!$A$7:$AZ$1000,0,IFERROR(MATCH(AI$5,'Oxford Economics'!$A$6:$AZ$6,0),MATCH(AI$5&amp;"",'Oxford Economics'!$A$6:$AZ$6,0))),'Oxford Economics'!$A$7:$A$1000,$C45,'Oxford Economics'!$B$7:$B$1000,Settings!$B$17)))),""))</f>
        <v/>
      </c>
      <c r="AJ45" s="37" t="str">
        <f aca="false">IF($A45="","",IFERROR(1/(1/IF($B45="Residential",SUMIFS(INDEX('Oxford Economics'!$A$7:$AZ$1000,0,IFERROR(MATCH(AJ$5,'Oxford Economics'!$A$6:$AZ$6,0),MATCH(AJ$5&amp;"",'Oxford Economics'!$A$6:$AZ$6,0))),'Oxford Economics'!$A$7:$A$1000,$C45,'Oxford Economics'!$B$7:$B$1000,Settings!$B$11)-SUMIFS(INDEX('Oxford Economics'!$A$7:$AZ$1000,0,IFERROR(MATCH(AJ$5,'Oxford Economics'!$A$6:$AZ$6,0),MATCH(AJ$5&amp;"",'Oxford Economics'!$A$6:$AZ$6,0))),'Oxford Economics'!$A$7:$A$1000,$C45,'Oxford Economics'!$B$7:$B$1000,Settings!$B$13),SUMIFS(INDEX('Oxford Economics'!$A$7:$AZ$1000,0,IFERROR(MATCH(AJ$5,'Oxford Economics'!$A$6:$AZ$6,0),MATCH(AJ$5&amp;"",'Oxford Economics'!$A$6:$AZ$6,0))),'Oxford Economics'!$A$7:$A$1000,$C45,'Oxford Economics'!$B$7:$B$1000,Settings!$B$13)+SUMIFS(INDEX('Oxford Economics'!$A$7:$AZ$1000,0,IFERROR(MATCH(AJ$5,'Oxford Economics'!$A$6:$AZ$6,0),MATCH(AJ$5&amp;"",'Oxford Economics'!$A$6:$AZ$6,0))),'Oxford Economics'!$A$7:$A$1000,$C45,'Oxford Economics'!$B$7:$B$1000,Settings!$B$15)+IF(Settings!$B$17="",0,SUMIFS(INDEX('Oxford Economics'!$A$7:$AZ$1000,0,IFERROR(MATCH(AJ$5,'Oxford Economics'!$A$6:$AZ$6,0),MATCH(AJ$5&amp;"",'Oxford Economics'!$A$6:$AZ$6,0))),'Oxford Economics'!$A$7:$A$1000,$C45,'Oxford Economics'!$B$7:$B$1000,Settings!$B$17)))),""))</f>
        <v/>
      </c>
      <c r="AK45" s="37" t="str">
        <f aca="false">IF($A45="","",IFERROR(1/(1/IF($B45="Residential",SUMIFS(INDEX('Oxford Economics'!$A$7:$AZ$1000,0,IFERROR(MATCH(AK$5,'Oxford Economics'!$A$6:$AZ$6,0),MATCH(AK$5&amp;"",'Oxford Economics'!$A$6:$AZ$6,0))),'Oxford Economics'!$A$7:$A$1000,$C45,'Oxford Economics'!$B$7:$B$1000,Settings!$B$11)-SUMIFS(INDEX('Oxford Economics'!$A$7:$AZ$1000,0,IFERROR(MATCH(AK$5,'Oxford Economics'!$A$6:$AZ$6,0),MATCH(AK$5&amp;"",'Oxford Economics'!$A$6:$AZ$6,0))),'Oxford Economics'!$A$7:$A$1000,$C45,'Oxford Economics'!$B$7:$B$1000,Settings!$B$13),SUMIFS(INDEX('Oxford Economics'!$A$7:$AZ$1000,0,IFERROR(MATCH(AK$5,'Oxford Economics'!$A$6:$AZ$6,0),MATCH(AK$5&amp;"",'Oxford Economics'!$A$6:$AZ$6,0))),'Oxford Economics'!$A$7:$A$1000,$C45,'Oxford Economics'!$B$7:$B$1000,Settings!$B$13)+SUMIFS(INDEX('Oxford Economics'!$A$7:$AZ$1000,0,IFERROR(MATCH(AK$5,'Oxford Economics'!$A$6:$AZ$6,0),MATCH(AK$5&amp;"",'Oxford Economics'!$A$6:$AZ$6,0))),'Oxford Economics'!$A$7:$A$1000,$C45,'Oxford Economics'!$B$7:$B$1000,Settings!$B$15)+IF(Settings!$B$17="",0,SUMIFS(INDEX('Oxford Economics'!$A$7:$AZ$1000,0,IFERROR(MATCH(AK$5,'Oxford Economics'!$A$6:$AZ$6,0),MATCH(AK$5&amp;"",'Oxford Economics'!$A$6:$AZ$6,0))),'Oxford Economics'!$A$7:$A$1000,$C45,'Oxford Economics'!$B$7:$B$1000,Settings!$B$17)))),""))</f>
        <v/>
      </c>
      <c r="AL45" s="37" t="str">
        <f aca="false">IF($A45="","",IFERROR(1/(1/IF($B45="Residential",SUMIFS(INDEX('Oxford Economics'!$A$7:$AZ$1000,0,IFERROR(MATCH(AL$5,'Oxford Economics'!$A$6:$AZ$6,0),MATCH(AL$5&amp;"",'Oxford Economics'!$A$6:$AZ$6,0))),'Oxford Economics'!$A$7:$A$1000,$C45,'Oxford Economics'!$B$7:$B$1000,Settings!$B$11)-SUMIFS(INDEX('Oxford Economics'!$A$7:$AZ$1000,0,IFERROR(MATCH(AL$5,'Oxford Economics'!$A$6:$AZ$6,0),MATCH(AL$5&amp;"",'Oxford Economics'!$A$6:$AZ$6,0))),'Oxford Economics'!$A$7:$A$1000,$C45,'Oxford Economics'!$B$7:$B$1000,Settings!$B$13),SUMIFS(INDEX('Oxford Economics'!$A$7:$AZ$1000,0,IFERROR(MATCH(AL$5,'Oxford Economics'!$A$6:$AZ$6,0),MATCH(AL$5&amp;"",'Oxford Economics'!$A$6:$AZ$6,0))),'Oxford Economics'!$A$7:$A$1000,$C45,'Oxford Economics'!$B$7:$B$1000,Settings!$B$13)+SUMIFS(INDEX('Oxford Economics'!$A$7:$AZ$1000,0,IFERROR(MATCH(AL$5,'Oxford Economics'!$A$6:$AZ$6,0),MATCH(AL$5&amp;"",'Oxford Economics'!$A$6:$AZ$6,0))),'Oxford Economics'!$A$7:$A$1000,$C45,'Oxford Economics'!$B$7:$B$1000,Settings!$B$15)+IF(Settings!$B$17="",0,SUMIFS(INDEX('Oxford Economics'!$A$7:$AZ$1000,0,IFERROR(MATCH(AL$5,'Oxford Economics'!$A$6:$AZ$6,0),MATCH(AL$5&amp;"",'Oxford Economics'!$A$6:$AZ$6,0))),'Oxford Economics'!$A$7:$A$1000,$C45,'Oxford Economics'!$B$7:$B$1000,Settings!$B$17)))),""))</f>
        <v/>
      </c>
      <c r="AM45" s="37" t="str">
        <f aca="false">IF($A45="","",IFERROR(1/(1/IF($B45="Residential",SUMIFS(INDEX('Oxford Economics'!$A$7:$AZ$1000,0,IFERROR(MATCH(AM$5,'Oxford Economics'!$A$6:$AZ$6,0),MATCH(AM$5&amp;"",'Oxford Economics'!$A$6:$AZ$6,0))),'Oxford Economics'!$A$7:$A$1000,$C45,'Oxford Economics'!$B$7:$B$1000,Settings!$B$11)-SUMIFS(INDEX('Oxford Economics'!$A$7:$AZ$1000,0,IFERROR(MATCH(AM$5,'Oxford Economics'!$A$6:$AZ$6,0),MATCH(AM$5&amp;"",'Oxford Economics'!$A$6:$AZ$6,0))),'Oxford Economics'!$A$7:$A$1000,$C45,'Oxford Economics'!$B$7:$B$1000,Settings!$B$13),SUMIFS(INDEX('Oxford Economics'!$A$7:$AZ$1000,0,IFERROR(MATCH(AM$5,'Oxford Economics'!$A$6:$AZ$6,0),MATCH(AM$5&amp;"",'Oxford Economics'!$A$6:$AZ$6,0))),'Oxford Economics'!$A$7:$A$1000,$C45,'Oxford Economics'!$B$7:$B$1000,Settings!$B$13)+SUMIFS(INDEX('Oxford Economics'!$A$7:$AZ$1000,0,IFERROR(MATCH(AM$5,'Oxford Economics'!$A$6:$AZ$6,0),MATCH(AM$5&amp;"",'Oxford Economics'!$A$6:$AZ$6,0))),'Oxford Economics'!$A$7:$A$1000,$C45,'Oxford Economics'!$B$7:$B$1000,Settings!$B$15)+IF(Settings!$B$17="",0,SUMIFS(INDEX('Oxford Economics'!$A$7:$AZ$1000,0,IFERROR(MATCH(AM$5,'Oxford Economics'!$A$6:$AZ$6,0),MATCH(AM$5&amp;"",'Oxford Economics'!$A$6:$AZ$6,0))),'Oxford Economics'!$A$7:$A$1000,$C45,'Oxford Economics'!$B$7:$B$1000,Settings!$B$17)))),""))</f>
        <v/>
      </c>
    </row>
    <row r="46" customFormat="false" ht="15" hidden="false" customHeight="false" outlineLevel="0" collapsed="false">
      <c r="A46" s="36" t="str">
        <f aca="false">IF('Raw data'!$A46="","",'Raw data'!$A46)</f>
        <v/>
      </c>
      <c r="B46" s="36" t="str">
        <f aca="false">IF($A46="","",'Raw data'!$C46)</f>
        <v/>
      </c>
      <c r="C46" s="36" t="str">
        <f aca="false">IF($A46="","",IF('Raw data'!$D46="",$A46,'Raw data'!$D46))</f>
        <v/>
      </c>
      <c r="D46" s="37" t="str">
        <f aca="false">IF($A46="","",IF(AND(ISNUMBER(P46),ISNUMBER(AB46)),P46+AB46,""))</f>
        <v/>
      </c>
      <c r="E46" s="37" t="str">
        <f aca="false">IF($A46="","",IF(AND(ISNUMBER(Q46),ISNUMBER(AC46)),Q46+AC46,""))</f>
        <v/>
      </c>
      <c r="F46" s="37" t="str">
        <f aca="false">IF($A46="","",IF(AND(ISNUMBER(R46),ISNUMBER(AD46)),R46+AD46,""))</f>
        <v/>
      </c>
      <c r="G46" s="37" t="str">
        <f aca="false">IF($A46="","",IF(AND(ISNUMBER(S46),ISNUMBER(AE46)),S46+AE46,""))</f>
        <v/>
      </c>
      <c r="H46" s="37" t="str">
        <f aca="false">IF($A46="","",IF(AND(ISNUMBER(T46),ISNUMBER(AF46)),T46+AF46,""))</f>
        <v/>
      </c>
      <c r="I46" s="37" t="str">
        <f aca="false">IF($A46="","",IF(AND(ISNUMBER(U46),ISNUMBER(AG46)),U46+AG46,""))</f>
        <v/>
      </c>
      <c r="J46" s="37" t="str">
        <f aca="false">IF($A46="","",IF(AND(ISNUMBER(V46),ISNUMBER(AH46)),V46+AH46,""))</f>
        <v/>
      </c>
      <c r="K46" s="37" t="str">
        <f aca="false">IF($A46="","",IF(AND(ISNUMBER(W46),ISNUMBER(AI46)),W46+AI46,""))</f>
        <v/>
      </c>
      <c r="L46" s="37" t="str">
        <f aca="false">IF($A46="","",IF(AND(ISNUMBER(X46),ISNUMBER(AJ46)),X46+AJ46,""))</f>
        <v/>
      </c>
      <c r="M46" s="37" t="str">
        <f aca="false">IF($A46="","",IF(AND(ISNUMBER(Y46),ISNUMBER(AK46)),Y46+AK46,""))</f>
        <v/>
      </c>
      <c r="N46" s="37" t="str">
        <f aca="false">IF($A46="","",IF(AND(ISNUMBER(Z46),ISNUMBER(AL46)),Z46+AL46,""))</f>
        <v/>
      </c>
      <c r="O46" s="37" t="str">
        <f aca="false">IF($A46="","",IF(AND(ISNUMBER(AA46),ISNUMBER(AM46)),AA46+AM46,""))</f>
        <v/>
      </c>
      <c r="P46" s="37" t="str">
        <f aca="false">IF($A46="","",IFERROR(1/(1/IF($B46="Residential",SUMIFS(INDEX('Oxford Economics'!$A$7:$AZ$1000,0,IFERROR(MATCH(P$5,'Oxford Economics'!$A$6:$AZ$6,0),MATCH(P$5&amp;"",'Oxford Economics'!$A$6:$AZ$6,0))),'Oxford Economics'!$A$7:$A$1000,$C46,'Oxford Economics'!$B$7:$B$1000,Settings!$B$12)-SUMIFS(INDEX('Oxford Economics'!$A$7:$AZ$1000,0,IFERROR(MATCH(P$5,'Oxford Economics'!$A$6:$AZ$6,0),MATCH(P$5&amp;"",'Oxford Economics'!$A$6:$AZ$6,0))),'Oxford Economics'!$A$7:$A$1000,$C46,'Oxford Economics'!$B$7:$B$1000,Settings!$B$14),SUMIFS(INDEX('Oxford Economics'!$A$7:$AZ$1000,0,IFERROR(MATCH(P$5,'Oxford Economics'!$A$6:$AZ$6,0),MATCH(P$5&amp;"",'Oxford Economics'!$A$6:$AZ$6,0))),'Oxford Economics'!$A$7:$A$1000,$C46,'Oxford Economics'!$B$7:$B$1000,Settings!$B$14)+SUMIFS(INDEX('Oxford Economics'!$A$7:$AZ$1000,0,IFERROR(MATCH(P$5,'Oxford Economics'!$A$6:$AZ$6,0),MATCH(P$5&amp;"",'Oxford Economics'!$A$6:$AZ$6,0))),'Oxford Economics'!$A$7:$A$1000,$C46,'Oxford Economics'!$B$7:$B$1000,Settings!$B$16)+IF(Settings!$B$18="",0,SUMIFS(INDEX('Oxford Economics'!$A$7:$AZ$1000,0,IFERROR(MATCH(P$5,'Oxford Economics'!$A$6:$AZ$6,0),MATCH(P$5&amp;"",'Oxford Economics'!$A$6:$AZ$6,0))),'Oxford Economics'!$A$7:$A$1000,$C46,'Oxford Economics'!$B$7:$B$1000,Settings!$B$18)))),""))</f>
        <v/>
      </c>
      <c r="Q46" s="37" t="str">
        <f aca="false">IF($A46="","",IFERROR(1/(1/IF($B46="Residential",SUMIFS(INDEX('Oxford Economics'!$A$7:$AZ$1000,0,IFERROR(MATCH(Q$5,'Oxford Economics'!$A$6:$AZ$6,0),MATCH(Q$5&amp;"",'Oxford Economics'!$A$6:$AZ$6,0))),'Oxford Economics'!$A$7:$A$1000,$C46,'Oxford Economics'!$B$7:$B$1000,Settings!$B$12)-SUMIFS(INDEX('Oxford Economics'!$A$7:$AZ$1000,0,IFERROR(MATCH(Q$5,'Oxford Economics'!$A$6:$AZ$6,0),MATCH(Q$5&amp;"",'Oxford Economics'!$A$6:$AZ$6,0))),'Oxford Economics'!$A$7:$A$1000,$C46,'Oxford Economics'!$B$7:$B$1000,Settings!$B$14),SUMIFS(INDEX('Oxford Economics'!$A$7:$AZ$1000,0,IFERROR(MATCH(Q$5,'Oxford Economics'!$A$6:$AZ$6,0),MATCH(Q$5&amp;"",'Oxford Economics'!$A$6:$AZ$6,0))),'Oxford Economics'!$A$7:$A$1000,$C46,'Oxford Economics'!$B$7:$B$1000,Settings!$B$14)+SUMIFS(INDEX('Oxford Economics'!$A$7:$AZ$1000,0,IFERROR(MATCH(Q$5,'Oxford Economics'!$A$6:$AZ$6,0),MATCH(Q$5&amp;"",'Oxford Economics'!$A$6:$AZ$6,0))),'Oxford Economics'!$A$7:$A$1000,$C46,'Oxford Economics'!$B$7:$B$1000,Settings!$B$16)+IF(Settings!$B$18="",0,SUMIFS(INDEX('Oxford Economics'!$A$7:$AZ$1000,0,IFERROR(MATCH(Q$5,'Oxford Economics'!$A$6:$AZ$6,0),MATCH(Q$5&amp;"",'Oxford Economics'!$A$6:$AZ$6,0))),'Oxford Economics'!$A$7:$A$1000,$C46,'Oxford Economics'!$B$7:$B$1000,Settings!$B$18)))),""))</f>
        <v/>
      </c>
      <c r="R46" s="37" t="str">
        <f aca="false">IF($A46="","",IFERROR(1/(1/IF($B46="Residential",SUMIFS(INDEX('Oxford Economics'!$A$7:$AZ$1000,0,IFERROR(MATCH(R$5,'Oxford Economics'!$A$6:$AZ$6,0),MATCH(R$5&amp;"",'Oxford Economics'!$A$6:$AZ$6,0))),'Oxford Economics'!$A$7:$A$1000,$C46,'Oxford Economics'!$B$7:$B$1000,Settings!$B$12)-SUMIFS(INDEX('Oxford Economics'!$A$7:$AZ$1000,0,IFERROR(MATCH(R$5,'Oxford Economics'!$A$6:$AZ$6,0),MATCH(R$5&amp;"",'Oxford Economics'!$A$6:$AZ$6,0))),'Oxford Economics'!$A$7:$A$1000,$C46,'Oxford Economics'!$B$7:$B$1000,Settings!$B$14),SUMIFS(INDEX('Oxford Economics'!$A$7:$AZ$1000,0,IFERROR(MATCH(R$5,'Oxford Economics'!$A$6:$AZ$6,0),MATCH(R$5&amp;"",'Oxford Economics'!$A$6:$AZ$6,0))),'Oxford Economics'!$A$7:$A$1000,$C46,'Oxford Economics'!$B$7:$B$1000,Settings!$B$14)+SUMIFS(INDEX('Oxford Economics'!$A$7:$AZ$1000,0,IFERROR(MATCH(R$5,'Oxford Economics'!$A$6:$AZ$6,0),MATCH(R$5&amp;"",'Oxford Economics'!$A$6:$AZ$6,0))),'Oxford Economics'!$A$7:$A$1000,$C46,'Oxford Economics'!$B$7:$B$1000,Settings!$B$16)+IF(Settings!$B$18="",0,SUMIFS(INDEX('Oxford Economics'!$A$7:$AZ$1000,0,IFERROR(MATCH(R$5,'Oxford Economics'!$A$6:$AZ$6,0),MATCH(R$5&amp;"",'Oxford Economics'!$A$6:$AZ$6,0))),'Oxford Economics'!$A$7:$A$1000,$C46,'Oxford Economics'!$B$7:$B$1000,Settings!$B$18)))),""))</f>
        <v/>
      </c>
      <c r="S46" s="37" t="str">
        <f aca="false">IF($A46="","",IFERROR(1/(1/IF($B46="Residential",SUMIFS(INDEX('Oxford Economics'!$A$7:$AZ$1000,0,IFERROR(MATCH(S$5,'Oxford Economics'!$A$6:$AZ$6,0),MATCH(S$5&amp;"",'Oxford Economics'!$A$6:$AZ$6,0))),'Oxford Economics'!$A$7:$A$1000,$C46,'Oxford Economics'!$B$7:$B$1000,Settings!$B$12)-SUMIFS(INDEX('Oxford Economics'!$A$7:$AZ$1000,0,IFERROR(MATCH(S$5,'Oxford Economics'!$A$6:$AZ$6,0),MATCH(S$5&amp;"",'Oxford Economics'!$A$6:$AZ$6,0))),'Oxford Economics'!$A$7:$A$1000,$C46,'Oxford Economics'!$B$7:$B$1000,Settings!$B$14),SUMIFS(INDEX('Oxford Economics'!$A$7:$AZ$1000,0,IFERROR(MATCH(S$5,'Oxford Economics'!$A$6:$AZ$6,0),MATCH(S$5&amp;"",'Oxford Economics'!$A$6:$AZ$6,0))),'Oxford Economics'!$A$7:$A$1000,$C46,'Oxford Economics'!$B$7:$B$1000,Settings!$B$14)+SUMIFS(INDEX('Oxford Economics'!$A$7:$AZ$1000,0,IFERROR(MATCH(S$5,'Oxford Economics'!$A$6:$AZ$6,0),MATCH(S$5&amp;"",'Oxford Economics'!$A$6:$AZ$6,0))),'Oxford Economics'!$A$7:$A$1000,$C46,'Oxford Economics'!$B$7:$B$1000,Settings!$B$16)+IF(Settings!$B$18="",0,SUMIFS(INDEX('Oxford Economics'!$A$7:$AZ$1000,0,IFERROR(MATCH(S$5,'Oxford Economics'!$A$6:$AZ$6,0),MATCH(S$5&amp;"",'Oxford Economics'!$A$6:$AZ$6,0))),'Oxford Economics'!$A$7:$A$1000,$C46,'Oxford Economics'!$B$7:$B$1000,Settings!$B$18)))),""))</f>
        <v/>
      </c>
      <c r="T46" s="37" t="str">
        <f aca="false">IF($A46="","",IFERROR(1/(1/IF($B46="Residential",SUMIFS(INDEX('Oxford Economics'!$A$7:$AZ$1000,0,IFERROR(MATCH(T$5,'Oxford Economics'!$A$6:$AZ$6,0),MATCH(T$5&amp;"",'Oxford Economics'!$A$6:$AZ$6,0))),'Oxford Economics'!$A$7:$A$1000,$C46,'Oxford Economics'!$B$7:$B$1000,Settings!$B$12)-SUMIFS(INDEX('Oxford Economics'!$A$7:$AZ$1000,0,IFERROR(MATCH(T$5,'Oxford Economics'!$A$6:$AZ$6,0),MATCH(T$5&amp;"",'Oxford Economics'!$A$6:$AZ$6,0))),'Oxford Economics'!$A$7:$A$1000,$C46,'Oxford Economics'!$B$7:$B$1000,Settings!$B$14),SUMIFS(INDEX('Oxford Economics'!$A$7:$AZ$1000,0,IFERROR(MATCH(T$5,'Oxford Economics'!$A$6:$AZ$6,0),MATCH(T$5&amp;"",'Oxford Economics'!$A$6:$AZ$6,0))),'Oxford Economics'!$A$7:$A$1000,$C46,'Oxford Economics'!$B$7:$B$1000,Settings!$B$14)+SUMIFS(INDEX('Oxford Economics'!$A$7:$AZ$1000,0,IFERROR(MATCH(T$5,'Oxford Economics'!$A$6:$AZ$6,0),MATCH(T$5&amp;"",'Oxford Economics'!$A$6:$AZ$6,0))),'Oxford Economics'!$A$7:$A$1000,$C46,'Oxford Economics'!$B$7:$B$1000,Settings!$B$16)+IF(Settings!$B$18="",0,SUMIFS(INDEX('Oxford Economics'!$A$7:$AZ$1000,0,IFERROR(MATCH(T$5,'Oxford Economics'!$A$6:$AZ$6,0),MATCH(T$5&amp;"",'Oxford Economics'!$A$6:$AZ$6,0))),'Oxford Economics'!$A$7:$A$1000,$C46,'Oxford Economics'!$B$7:$B$1000,Settings!$B$18)))),""))</f>
        <v/>
      </c>
      <c r="U46" s="37" t="str">
        <f aca="false">IF($A46="","",IFERROR(1/(1/IF($B46="Residential",SUMIFS(INDEX('Oxford Economics'!$A$7:$AZ$1000,0,IFERROR(MATCH(U$5,'Oxford Economics'!$A$6:$AZ$6,0),MATCH(U$5&amp;"",'Oxford Economics'!$A$6:$AZ$6,0))),'Oxford Economics'!$A$7:$A$1000,$C46,'Oxford Economics'!$B$7:$B$1000,Settings!$B$12)-SUMIFS(INDEX('Oxford Economics'!$A$7:$AZ$1000,0,IFERROR(MATCH(U$5,'Oxford Economics'!$A$6:$AZ$6,0),MATCH(U$5&amp;"",'Oxford Economics'!$A$6:$AZ$6,0))),'Oxford Economics'!$A$7:$A$1000,$C46,'Oxford Economics'!$B$7:$B$1000,Settings!$B$14),SUMIFS(INDEX('Oxford Economics'!$A$7:$AZ$1000,0,IFERROR(MATCH(U$5,'Oxford Economics'!$A$6:$AZ$6,0),MATCH(U$5&amp;"",'Oxford Economics'!$A$6:$AZ$6,0))),'Oxford Economics'!$A$7:$A$1000,$C46,'Oxford Economics'!$B$7:$B$1000,Settings!$B$14)+SUMIFS(INDEX('Oxford Economics'!$A$7:$AZ$1000,0,IFERROR(MATCH(U$5,'Oxford Economics'!$A$6:$AZ$6,0),MATCH(U$5&amp;"",'Oxford Economics'!$A$6:$AZ$6,0))),'Oxford Economics'!$A$7:$A$1000,$C46,'Oxford Economics'!$B$7:$B$1000,Settings!$B$16)+IF(Settings!$B$18="",0,SUMIFS(INDEX('Oxford Economics'!$A$7:$AZ$1000,0,IFERROR(MATCH(U$5,'Oxford Economics'!$A$6:$AZ$6,0),MATCH(U$5&amp;"",'Oxford Economics'!$A$6:$AZ$6,0))),'Oxford Economics'!$A$7:$A$1000,$C46,'Oxford Economics'!$B$7:$B$1000,Settings!$B$18)))),""))</f>
        <v/>
      </c>
      <c r="V46" s="37" t="str">
        <f aca="false">IF($A46="","",IFERROR(1/(1/IF($B46="Residential",SUMIFS(INDEX('Oxford Economics'!$A$7:$AZ$1000,0,IFERROR(MATCH(V$5,'Oxford Economics'!$A$6:$AZ$6,0),MATCH(V$5&amp;"",'Oxford Economics'!$A$6:$AZ$6,0))),'Oxford Economics'!$A$7:$A$1000,$C46,'Oxford Economics'!$B$7:$B$1000,Settings!$B$12)-SUMIFS(INDEX('Oxford Economics'!$A$7:$AZ$1000,0,IFERROR(MATCH(V$5,'Oxford Economics'!$A$6:$AZ$6,0),MATCH(V$5&amp;"",'Oxford Economics'!$A$6:$AZ$6,0))),'Oxford Economics'!$A$7:$A$1000,$C46,'Oxford Economics'!$B$7:$B$1000,Settings!$B$14),SUMIFS(INDEX('Oxford Economics'!$A$7:$AZ$1000,0,IFERROR(MATCH(V$5,'Oxford Economics'!$A$6:$AZ$6,0),MATCH(V$5&amp;"",'Oxford Economics'!$A$6:$AZ$6,0))),'Oxford Economics'!$A$7:$A$1000,$C46,'Oxford Economics'!$B$7:$B$1000,Settings!$B$14)+SUMIFS(INDEX('Oxford Economics'!$A$7:$AZ$1000,0,IFERROR(MATCH(V$5,'Oxford Economics'!$A$6:$AZ$6,0),MATCH(V$5&amp;"",'Oxford Economics'!$A$6:$AZ$6,0))),'Oxford Economics'!$A$7:$A$1000,$C46,'Oxford Economics'!$B$7:$B$1000,Settings!$B$16)+IF(Settings!$B$18="",0,SUMIFS(INDEX('Oxford Economics'!$A$7:$AZ$1000,0,IFERROR(MATCH(V$5,'Oxford Economics'!$A$6:$AZ$6,0),MATCH(V$5&amp;"",'Oxford Economics'!$A$6:$AZ$6,0))),'Oxford Economics'!$A$7:$A$1000,$C46,'Oxford Economics'!$B$7:$B$1000,Settings!$B$18)))),""))</f>
        <v/>
      </c>
      <c r="W46" s="37" t="str">
        <f aca="false">IF($A46="","",IFERROR(1/(1/IF($B46="Residential",SUMIFS(INDEX('Oxford Economics'!$A$7:$AZ$1000,0,IFERROR(MATCH(W$5,'Oxford Economics'!$A$6:$AZ$6,0),MATCH(W$5&amp;"",'Oxford Economics'!$A$6:$AZ$6,0))),'Oxford Economics'!$A$7:$A$1000,$C46,'Oxford Economics'!$B$7:$B$1000,Settings!$B$12)-SUMIFS(INDEX('Oxford Economics'!$A$7:$AZ$1000,0,IFERROR(MATCH(W$5,'Oxford Economics'!$A$6:$AZ$6,0),MATCH(W$5&amp;"",'Oxford Economics'!$A$6:$AZ$6,0))),'Oxford Economics'!$A$7:$A$1000,$C46,'Oxford Economics'!$B$7:$B$1000,Settings!$B$14),SUMIFS(INDEX('Oxford Economics'!$A$7:$AZ$1000,0,IFERROR(MATCH(W$5,'Oxford Economics'!$A$6:$AZ$6,0),MATCH(W$5&amp;"",'Oxford Economics'!$A$6:$AZ$6,0))),'Oxford Economics'!$A$7:$A$1000,$C46,'Oxford Economics'!$B$7:$B$1000,Settings!$B$14)+SUMIFS(INDEX('Oxford Economics'!$A$7:$AZ$1000,0,IFERROR(MATCH(W$5,'Oxford Economics'!$A$6:$AZ$6,0),MATCH(W$5&amp;"",'Oxford Economics'!$A$6:$AZ$6,0))),'Oxford Economics'!$A$7:$A$1000,$C46,'Oxford Economics'!$B$7:$B$1000,Settings!$B$16)+IF(Settings!$B$18="",0,SUMIFS(INDEX('Oxford Economics'!$A$7:$AZ$1000,0,IFERROR(MATCH(W$5,'Oxford Economics'!$A$6:$AZ$6,0),MATCH(W$5&amp;"",'Oxford Economics'!$A$6:$AZ$6,0))),'Oxford Economics'!$A$7:$A$1000,$C46,'Oxford Economics'!$B$7:$B$1000,Settings!$B$18)))),""))</f>
        <v/>
      </c>
      <c r="X46" s="37" t="str">
        <f aca="false">IF($A46="","",IFERROR(1/(1/IF($B46="Residential",SUMIFS(INDEX('Oxford Economics'!$A$7:$AZ$1000,0,IFERROR(MATCH(X$5,'Oxford Economics'!$A$6:$AZ$6,0),MATCH(X$5&amp;"",'Oxford Economics'!$A$6:$AZ$6,0))),'Oxford Economics'!$A$7:$A$1000,$C46,'Oxford Economics'!$B$7:$B$1000,Settings!$B$12)-SUMIFS(INDEX('Oxford Economics'!$A$7:$AZ$1000,0,IFERROR(MATCH(X$5,'Oxford Economics'!$A$6:$AZ$6,0),MATCH(X$5&amp;"",'Oxford Economics'!$A$6:$AZ$6,0))),'Oxford Economics'!$A$7:$A$1000,$C46,'Oxford Economics'!$B$7:$B$1000,Settings!$B$14),SUMIFS(INDEX('Oxford Economics'!$A$7:$AZ$1000,0,IFERROR(MATCH(X$5,'Oxford Economics'!$A$6:$AZ$6,0),MATCH(X$5&amp;"",'Oxford Economics'!$A$6:$AZ$6,0))),'Oxford Economics'!$A$7:$A$1000,$C46,'Oxford Economics'!$B$7:$B$1000,Settings!$B$14)+SUMIFS(INDEX('Oxford Economics'!$A$7:$AZ$1000,0,IFERROR(MATCH(X$5,'Oxford Economics'!$A$6:$AZ$6,0),MATCH(X$5&amp;"",'Oxford Economics'!$A$6:$AZ$6,0))),'Oxford Economics'!$A$7:$A$1000,$C46,'Oxford Economics'!$B$7:$B$1000,Settings!$B$16)+IF(Settings!$B$18="",0,SUMIFS(INDEX('Oxford Economics'!$A$7:$AZ$1000,0,IFERROR(MATCH(X$5,'Oxford Economics'!$A$6:$AZ$6,0),MATCH(X$5&amp;"",'Oxford Economics'!$A$6:$AZ$6,0))),'Oxford Economics'!$A$7:$A$1000,$C46,'Oxford Economics'!$B$7:$B$1000,Settings!$B$18)))),""))</f>
        <v/>
      </c>
      <c r="Y46" s="37" t="str">
        <f aca="false">IF($A46="","",IFERROR(1/(1/IF($B46="Residential",SUMIFS(INDEX('Oxford Economics'!$A$7:$AZ$1000,0,IFERROR(MATCH(Y$5,'Oxford Economics'!$A$6:$AZ$6,0),MATCH(Y$5&amp;"",'Oxford Economics'!$A$6:$AZ$6,0))),'Oxford Economics'!$A$7:$A$1000,$C46,'Oxford Economics'!$B$7:$B$1000,Settings!$B$12)-SUMIFS(INDEX('Oxford Economics'!$A$7:$AZ$1000,0,IFERROR(MATCH(Y$5,'Oxford Economics'!$A$6:$AZ$6,0),MATCH(Y$5&amp;"",'Oxford Economics'!$A$6:$AZ$6,0))),'Oxford Economics'!$A$7:$A$1000,$C46,'Oxford Economics'!$B$7:$B$1000,Settings!$B$14),SUMIFS(INDEX('Oxford Economics'!$A$7:$AZ$1000,0,IFERROR(MATCH(Y$5,'Oxford Economics'!$A$6:$AZ$6,0),MATCH(Y$5&amp;"",'Oxford Economics'!$A$6:$AZ$6,0))),'Oxford Economics'!$A$7:$A$1000,$C46,'Oxford Economics'!$B$7:$B$1000,Settings!$B$14)+SUMIFS(INDEX('Oxford Economics'!$A$7:$AZ$1000,0,IFERROR(MATCH(Y$5,'Oxford Economics'!$A$6:$AZ$6,0),MATCH(Y$5&amp;"",'Oxford Economics'!$A$6:$AZ$6,0))),'Oxford Economics'!$A$7:$A$1000,$C46,'Oxford Economics'!$B$7:$B$1000,Settings!$B$16)+IF(Settings!$B$18="",0,SUMIFS(INDEX('Oxford Economics'!$A$7:$AZ$1000,0,IFERROR(MATCH(Y$5,'Oxford Economics'!$A$6:$AZ$6,0),MATCH(Y$5&amp;"",'Oxford Economics'!$A$6:$AZ$6,0))),'Oxford Economics'!$A$7:$A$1000,$C46,'Oxford Economics'!$B$7:$B$1000,Settings!$B$18)))),""))</f>
        <v/>
      </c>
      <c r="Z46" s="37" t="str">
        <f aca="false">IF($A46="","",IFERROR(1/(1/IF($B46="Residential",SUMIFS(INDEX('Oxford Economics'!$A$7:$AZ$1000,0,IFERROR(MATCH(Z$5,'Oxford Economics'!$A$6:$AZ$6,0),MATCH(Z$5&amp;"",'Oxford Economics'!$A$6:$AZ$6,0))),'Oxford Economics'!$A$7:$A$1000,$C46,'Oxford Economics'!$B$7:$B$1000,Settings!$B$12)-SUMIFS(INDEX('Oxford Economics'!$A$7:$AZ$1000,0,IFERROR(MATCH(Z$5,'Oxford Economics'!$A$6:$AZ$6,0),MATCH(Z$5&amp;"",'Oxford Economics'!$A$6:$AZ$6,0))),'Oxford Economics'!$A$7:$A$1000,$C46,'Oxford Economics'!$B$7:$B$1000,Settings!$B$14),SUMIFS(INDEX('Oxford Economics'!$A$7:$AZ$1000,0,IFERROR(MATCH(Z$5,'Oxford Economics'!$A$6:$AZ$6,0),MATCH(Z$5&amp;"",'Oxford Economics'!$A$6:$AZ$6,0))),'Oxford Economics'!$A$7:$A$1000,$C46,'Oxford Economics'!$B$7:$B$1000,Settings!$B$14)+SUMIFS(INDEX('Oxford Economics'!$A$7:$AZ$1000,0,IFERROR(MATCH(Z$5,'Oxford Economics'!$A$6:$AZ$6,0),MATCH(Z$5&amp;"",'Oxford Economics'!$A$6:$AZ$6,0))),'Oxford Economics'!$A$7:$A$1000,$C46,'Oxford Economics'!$B$7:$B$1000,Settings!$B$16)+IF(Settings!$B$18="",0,SUMIFS(INDEX('Oxford Economics'!$A$7:$AZ$1000,0,IFERROR(MATCH(Z$5,'Oxford Economics'!$A$6:$AZ$6,0),MATCH(Z$5&amp;"",'Oxford Economics'!$A$6:$AZ$6,0))),'Oxford Economics'!$A$7:$A$1000,$C46,'Oxford Economics'!$B$7:$B$1000,Settings!$B$18)))),""))</f>
        <v/>
      </c>
      <c r="AA46" s="37" t="str">
        <f aca="false">IF($A46="","",IFERROR(1/(1/IF($B46="Residential",SUMIFS(INDEX('Oxford Economics'!$A$7:$AZ$1000,0,IFERROR(MATCH(AA$5,'Oxford Economics'!$A$6:$AZ$6,0),MATCH(AA$5&amp;"",'Oxford Economics'!$A$6:$AZ$6,0))),'Oxford Economics'!$A$7:$A$1000,$C46,'Oxford Economics'!$B$7:$B$1000,Settings!$B$12)-SUMIFS(INDEX('Oxford Economics'!$A$7:$AZ$1000,0,IFERROR(MATCH(AA$5,'Oxford Economics'!$A$6:$AZ$6,0),MATCH(AA$5&amp;"",'Oxford Economics'!$A$6:$AZ$6,0))),'Oxford Economics'!$A$7:$A$1000,$C46,'Oxford Economics'!$B$7:$B$1000,Settings!$B$14),SUMIFS(INDEX('Oxford Economics'!$A$7:$AZ$1000,0,IFERROR(MATCH(AA$5,'Oxford Economics'!$A$6:$AZ$6,0),MATCH(AA$5&amp;"",'Oxford Economics'!$A$6:$AZ$6,0))),'Oxford Economics'!$A$7:$A$1000,$C46,'Oxford Economics'!$B$7:$B$1000,Settings!$B$14)+SUMIFS(INDEX('Oxford Economics'!$A$7:$AZ$1000,0,IFERROR(MATCH(AA$5,'Oxford Economics'!$A$6:$AZ$6,0),MATCH(AA$5&amp;"",'Oxford Economics'!$A$6:$AZ$6,0))),'Oxford Economics'!$A$7:$A$1000,$C46,'Oxford Economics'!$B$7:$B$1000,Settings!$B$16)+IF(Settings!$B$18="",0,SUMIFS(INDEX('Oxford Economics'!$A$7:$AZ$1000,0,IFERROR(MATCH(AA$5,'Oxford Economics'!$A$6:$AZ$6,0),MATCH(AA$5&amp;"",'Oxford Economics'!$A$6:$AZ$6,0))),'Oxford Economics'!$A$7:$A$1000,$C46,'Oxford Economics'!$B$7:$B$1000,Settings!$B$18)))),""))</f>
        <v/>
      </c>
      <c r="AB46" s="37" t="str">
        <f aca="false">IF($A46="","",IFERROR(1/(1/IF($B46="Residential",SUMIFS(INDEX('Oxford Economics'!$A$7:$AZ$1000,0,IFERROR(MATCH(AB$5,'Oxford Economics'!$A$6:$AZ$6,0),MATCH(AB$5&amp;"",'Oxford Economics'!$A$6:$AZ$6,0))),'Oxford Economics'!$A$7:$A$1000,$C46,'Oxford Economics'!$B$7:$B$1000,Settings!$B$11)-SUMIFS(INDEX('Oxford Economics'!$A$7:$AZ$1000,0,IFERROR(MATCH(AB$5,'Oxford Economics'!$A$6:$AZ$6,0),MATCH(AB$5&amp;"",'Oxford Economics'!$A$6:$AZ$6,0))),'Oxford Economics'!$A$7:$A$1000,$C46,'Oxford Economics'!$B$7:$B$1000,Settings!$B$13),SUMIFS(INDEX('Oxford Economics'!$A$7:$AZ$1000,0,IFERROR(MATCH(AB$5,'Oxford Economics'!$A$6:$AZ$6,0),MATCH(AB$5&amp;"",'Oxford Economics'!$A$6:$AZ$6,0))),'Oxford Economics'!$A$7:$A$1000,$C46,'Oxford Economics'!$B$7:$B$1000,Settings!$B$13)+SUMIFS(INDEX('Oxford Economics'!$A$7:$AZ$1000,0,IFERROR(MATCH(AB$5,'Oxford Economics'!$A$6:$AZ$6,0),MATCH(AB$5&amp;"",'Oxford Economics'!$A$6:$AZ$6,0))),'Oxford Economics'!$A$7:$A$1000,$C46,'Oxford Economics'!$B$7:$B$1000,Settings!$B$15)+IF(Settings!$B$17="",0,SUMIFS(INDEX('Oxford Economics'!$A$7:$AZ$1000,0,IFERROR(MATCH(AB$5,'Oxford Economics'!$A$6:$AZ$6,0),MATCH(AB$5&amp;"",'Oxford Economics'!$A$6:$AZ$6,0))),'Oxford Economics'!$A$7:$A$1000,$C46,'Oxford Economics'!$B$7:$B$1000,Settings!$B$17)))),""))</f>
        <v/>
      </c>
      <c r="AC46" s="37" t="str">
        <f aca="false">IF($A46="","",IFERROR(1/(1/IF($B46="Residential",SUMIFS(INDEX('Oxford Economics'!$A$7:$AZ$1000,0,IFERROR(MATCH(AC$5,'Oxford Economics'!$A$6:$AZ$6,0),MATCH(AC$5&amp;"",'Oxford Economics'!$A$6:$AZ$6,0))),'Oxford Economics'!$A$7:$A$1000,$C46,'Oxford Economics'!$B$7:$B$1000,Settings!$B$11)-SUMIFS(INDEX('Oxford Economics'!$A$7:$AZ$1000,0,IFERROR(MATCH(AC$5,'Oxford Economics'!$A$6:$AZ$6,0),MATCH(AC$5&amp;"",'Oxford Economics'!$A$6:$AZ$6,0))),'Oxford Economics'!$A$7:$A$1000,$C46,'Oxford Economics'!$B$7:$B$1000,Settings!$B$13),SUMIFS(INDEX('Oxford Economics'!$A$7:$AZ$1000,0,IFERROR(MATCH(AC$5,'Oxford Economics'!$A$6:$AZ$6,0),MATCH(AC$5&amp;"",'Oxford Economics'!$A$6:$AZ$6,0))),'Oxford Economics'!$A$7:$A$1000,$C46,'Oxford Economics'!$B$7:$B$1000,Settings!$B$13)+SUMIFS(INDEX('Oxford Economics'!$A$7:$AZ$1000,0,IFERROR(MATCH(AC$5,'Oxford Economics'!$A$6:$AZ$6,0),MATCH(AC$5&amp;"",'Oxford Economics'!$A$6:$AZ$6,0))),'Oxford Economics'!$A$7:$A$1000,$C46,'Oxford Economics'!$B$7:$B$1000,Settings!$B$15)+IF(Settings!$B$17="",0,SUMIFS(INDEX('Oxford Economics'!$A$7:$AZ$1000,0,IFERROR(MATCH(AC$5,'Oxford Economics'!$A$6:$AZ$6,0),MATCH(AC$5&amp;"",'Oxford Economics'!$A$6:$AZ$6,0))),'Oxford Economics'!$A$7:$A$1000,$C46,'Oxford Economics'!$B$7:$B$1000,Settings!$B$17)))),""))</f>
        <v/>
      </c>
      <c r="AD46" s="37" t="str">
        <f aca="false">IF($A46="","",IFERROR(1/(1/IF($B46="Residential",SUMIFS(INDEX('Oxford Economics'!$A$7:$AZ$1000,0,IFERROR(MATCH(AD$5,'Oxford Economics'!$A$6:$AZ$6,0),MATCH(AD$5&amp;"",'Oxford Economics'!$A$6:$AZ$6,0))),'Oxford Economics'!$A$7:$A$1000,$C46,'Oxford Economics'!$B$7:$B$1000,Settings!$B$11)-SUMIFS(INDEX('Oxford Economics'!$A$7:$AZ$1000,0,IFERROR(MATCH(AD$5,'Oxford Economics'!$A$6:$AZ$6,0),MATCH(AD$5&amp;"",'Oxford Economics'!$A$6:$AZ$6,0))),'Oxford Economics'!$A$7:$A$1000,$C46,'Oxford Economics'!$B$7:$B$1000,Settings!$B$13),SUMIFS(INDEX('Oxford Economics'!$A$7:$AZ$1000,0,IFERROR(MATCH(AD$5,'Oxford Economics'!$A$6:$AZ$6,0),MATCH(AD$5&amp;"",'Oxford Economics'!$A$6:$AZ$6,0))),'Oxford Economics'!$A$7:$A$1000,$C46,'Oxford Economics'!$B$7:$B$1000,Settings!$B$13)+SUMIFS(INDEX('Oxford Economics'!$A$7:$AZ$1000,0,IFERROR(MATCH(AD$5,'Oxford Economics'!$A$6:$AZ$6,0),MATCH(AD$5&amp;"",'Oxford Economics'!$A$6:$AZ$6,0))),'Oxford Economics'!$A$7:$A$1000,$C46,'Oxford Economics'!$B$7:$B$1000,Settings!$B$15)+IF(Settings!$B$17="",0,SUMIFS(INDEX('Oxford Economics'!$A$7:$AZ$1000,0,IFERROR(MATCH(AD$5,'Oxford Economics'!$A$6:$AZ$6,0),MATCH(AD$5&amp;"",'Oxford Economics'!$A$6:$AZ$6,0))),'Oxford Economics'!$A$7:$A$1000,$C46,'Oxford Economics'!$B$7:$B$1000,Settings!$B$17)))),""))</f>
        <v/>
      </c>
      <c r="AE46" s="37" t="str">
        <f aca="false">IF($A46="","",IFERROR(1/(1/IF($B46="Residential",SUMIFS(INDEX('Oxford Economics'!$A$7:$AZ$1000,0,IFERROR(MATCH(AE$5,'Oxford Economics'!$A$6:$AZ$6,0),MATCH(AE$5&amp;"",'Oxford Economics'!$A$6:$AZ$6,0))),'Oxford Economics'!$A$7:$A$1000,$C46,'Oxford Economics'!$B$7:$B$1000,Settings!$B$11)-SUMIFS(INDEX('Oxford Economics'!$A$7:$AZ$1000,0,IFERROR(MATCH(AE$5,'Oxford Economics'!$A$6:$AZ$6,0),MATCH(AE$5&amp;"",'Oxford Economics'!$A$6:$AZ$6,0))),'Oxford Economics'!$A$7:$A$1000,$C46,'Oxford Economics'!$B$7:$B$1000,Settings!$B$13),SUMIFS(INDEX('Oxford Economics'!$A$7:$AZ$1000,0,IFERROR(MATCH(AE$5,'Oxford Economics'!$A$6:$AZ$6,0),MATCH(AE$5&amp;"",'Oxford Economics'!$A$6:$AZ$6,0))),'Oxford Economics'!$A$7:$A$1000,$C46,'Oxford Economics'!$B$7:$B$1000,Settings!$B$13)+SUMIFS(INDEX('Oxford Economics'!$A$7:$AZ$1000,0,IFERROR(MATCH(AE$5,'Oxford Economics'!$A$6:$AZ$6,0),MATCH(AE$5&amp;"",'Oxford Economics'!$A$6:$AZ$6,0))),'Oxford Economics'!$A$7:$A$1000,$C46,'Oxford Economics'!$B$7:$B$1000,Settings!$B$15)+IF(Settings!$B$17="",0,SUMIFS(INDEX('Oxford Economics'!$A$7:$AZ$1000,0,IFERROR(MATCH(AE$5,'Oxford Economics'!$A$6:$AZ$6,0),MATCH(AE$5&amp;"",'Oxford Economics'!$A$6:$AZ$6,0))),'Oxford Economics'!$A$7:$A$1000,$C46,'Oxford Economics'!$B$7:$B$1000,Settings!$B$17)))),""))</f>
        <v/>
      </c>
      <c r="AF46" s="37" t="str">
        <f aca="false">IF($A46="","",IFERROR(1/(1/IF($B46="Residential",SUMIFS(INDEX('Oxford Economics'!$A$7:$AZ$1000,0,IFERROR(MATCH(AF$5,'Oxford Economics'!$A$6:$AZ$6,0),MATCH(AF$5&amp;"",'Oxford Economics'!$A$6:$AZ$6,0))),'Oxford Economics'!$A$7:$A$1000,$C46,'Oxford Economics'!$B$7:$B$1000,Settings!$B$11)-SUMIFS(INDEX('Oxford Economics'!$A$7:$AZ$1000,0,IFERROR(MATCH(AF$5,'Oxford Economics'!$A$6:$AZ$6,0),MATCH(AF$5&amp;"",'Oxford Economics'!$A$6:$AZ$6,0))),'Oxford Economics'!$A$7:$A$1000,$C46,'Oxford Economics'!$B$7:$B$1000,Settings!$B$13),SUMIFS(INDEX('Oxford Economics'!$A$7:$AZ$1000,0,IFERROR(MATCH(AF$5,'Oxford Economics'!$A$6:$AZ$6,0),MATCH(AF$5&amp;"",'Oxford Economics'!$A$6:$AZ$6,0))),'Oxford Economics'!$A$7:$A$1000,$C46,'Oxford Economics'!$B$7:$B$1000,Settings!$B$13)+SUMIFS(INDEX('Oxford Economics'!$A$7:$AZ$1000,0,IFERROR(MATCH(AF$5,'Oxford Economics'!$A$6:$AZ$6,0),MATCH(AF$5&amp;"",'Oxford Economics'!$A$6:$AZ$6,0))),'Oxford Economics'!$A$7:$A$1000,$C46,'Oxford Economics'!$B$7:$B$1000,Settings!$B$15)+IF(Settings!$B$17="",0,SUMIFS(INDEX('Oxford Economics'!$A$7:$AZ$1000,0,IFERROR(MATCH(AF$5,'Oxford Economics'!$A$6:$AZ$6,0),MATCH(AF$5&amp;"",'Oxford Economics'!$A$6:$AZ$6,0))),'Oxford Economics'!$A$7:$A$1000,$C46,'Oxford Economics'!$B$7:$B$1000,Settings!$B$17)))),""))</f>
        <v/>
      </c>
      <c r="AG46" s="37" t="str">
        <f aca="false">IF($A46="","",IFERROR(1/(1/IF($B46="Residential",SUMIFS(INDEX('Oxford Economics'!$A$7:$AZ$1000,0,IFERROR(MATCH(AG$5,'Oxford Economics'!$A$6:$AZ$6,0),MATCH(AG$5&amp;"",'Oxford Economics'!$A$6:$AZ$6,0))),'Oxford Economics'!$A$7:$A$1000,$C46,'Oxford Economics'!$B$7:$B$1000,Settings!$B$11)-SUMIFS(INDEX('Oxford Economics'!$A$7:$AZ$1000,0,IFERROR(MATCH(AG$5,'Oxford Economics'!$A$6:$AZ$6,0),MATCH(AG$5&amp;"",'Oxford Economics'!$A$6:$AZ$6,0))),'Oxford Economics'!$A$7:$A$1000,$C46,'Oxford Economics'!$B$7:$B$1000,Settings!$B$13),SUMIFS(INDEX('Oxford Economics'!$A$7:$AZ$1000,0,IFERROR(MATCH(AG$5,'Oxford Economics'!$A$6:$AZ$6,0),MATCH(AG$5&amp;"",'Oxford Economics'!$A$6:$AZ$6,0))),'Oxford Economics'!$A$7:$A$1000,$C46,'Oxford Economics'!$B$7:$B$1000,Settings!$B$13)+SUMIFS(INDEX('Oxford Economics'!$A$7:$AZ$1000,0,IFERROR(MATCH(AG$5,'Oxford Economics'!$A$6:$AZ$6,0),MATCH(AG$5&amp;"",'Oxford Economics'!$A$6:$AZ$6,0))),'Oxford Economics'!$A$7:$A$1000,$C46,'Oxford Economics'!$B$7:$B$1000,Settings!$B$15)+IF(Settings!$B$17="",0,SUMIFS(INDEX('Oxford Economics'!$A$7:$AZ$1000,0,IFERROR(MATCH(AG$5,'Oxford Economics'!$A$6:$AZ$6,0),MATCH(AG$5&amp;"",'Oxford Economics'!$A$6:$AZ$6,0))),'Oxford Economics'!$A$7:$A$1000,$C46,'Oxford Economics'!$B$7:$B$1000,Settings!$B$17)))),""))</f>
        <v/>
      </c>
      <c r="AH46" s="37" t="str">
        <f aca="false">IF($A46="","",IFERROR(1/(1/IF($B46="Residential",SUMIFS(INDEX('Oxford Economics'!$A$7:$AZ$1000,0,IFERROR(MATCH(AH$5,'Oxford Economics'!$A$6:$AZ$6,0),MATCH(AH$5&amp;"",'Oxford Economics'!$A$6:$AZ$6,0))),'Oxford Economics'!$A$7:$A$1000,$C46,'Oxford Economics'!$B$7:$B$1000,Settings!$B$11)-SUMIFS(INDEX('Oxford Economics'!$A$7:$AZ$1000,0,IFERROR(MATCH(AH$5,'Oxford Economics'!$A$6:$AZ$6,0),MATCH(AH$5&amp;"",'Oxford Economics'!$A$6:$AZ$6,0))),'Oxford Economics'!$A$7:$A$1000,$C46,'Oxford Economics'!$B$7:$B$1000,Settings!$B$13),SUMIFS(INDEX('Oxford Economics'!$A$7:$AZ$1000,0,IFERROR(MATCH(AH$5,'Oxford Economics'!$A$6:$AZ$6,0),MATCH(AH$5&amp;"",'Oxford Economics'!$A$6:$AZ$6,0))),'Oxford Economics'!$A$7:$A$1000,$C46,'Oxford Economics'!$B$7:$B$1000,Settings!$B$13)+SUMIFS(INDEX('Oxford Economics'!$A$7:$AZ$1000,0,IFERROR(MATCH(AH$5,'Oxford Economics'!$A$6:$AZ$6,0),MATCH(AH$5&amp;"",'Oxford Economics'!$A$6:$AZ$6,0))),'Oxford Economics'!$A$7:$A$1000,$C46,'Oxford Economics'!$B$7:$B$1000,Settings!$B$15)+IF(Settings!$B$17="",0,SUMIFS(INDEX('Oxford Economics'!$A$7:$AZ$1000,0,IFERROR(MATCH(AH$5,'Oxford Economics'!$A$6:$AZ$6,0),MATCH(AH$5&amp;"",'Oxford Economics'!$A$6:$AZ$6,0))),'Oxford Economics'!$A$7:$A$1000,$C46,'Oxford Economics'!$B$7:$B$1000,Settings!$B$17)))),""))</f>
        <v/>
      </c>
      <c r="AI46" s="37" t="str">
        <f aca="false">IF($A46="","",IFERROR(1/(1/IF($B46="Residential",SUMIFS(INDEX('Oxford Economics'!$A$7:$AZ$1000,0,IFERROR(MATCH(AI$5,'Oxford Economics'!$A$6:$AZ$6,0),MATCH(AI$5&amp;"",'Oxford Economics'!$A$6:$AZ$6,0))),'Oxford Economics'!$A$7:$A$1000,$C46,'Oxford Economics'!$B$7:$B$1000,Settings!$B$11)-SUMIFS(INDEX('Oxford Economics'!$A$7:$AZ$1000,0,IFERROR(MATCH(AI$5,'Oxford Economics'!$A$6:$AZ$6,0),MATCH(AI$5&amp;"",'Oxford Economics'!$A$6:$AZ$6,0))),'Oxford Economics'!$A$7:$A$1000,$C46,'Oxford Economics'!$B$7:$B$1000,Settings!$B$13),SUMIFS(INDEX('Oxford Economics'!$A$7:$AZ$1000,0,IFERROR(MATCH(AI$5,'Oxford Economics'!$A$6:$AZ$6,0),MATCH(AI$5&amp;"",'Oxford Economics'!$A$6:$AZ$6,0))),'Oxford Economics'!$A$7:$A$1000,$C46,'Oxford Economics'!$B$7:$B$1000,Settings!$B$13)+SUMIFS(INDEX('Oxford Economics'!$A$7:$AZ$1000,0,IFERROR(MATCH(AI$5,'Oxford Economics'!$A$6:$AZ$6,0),MATCH(AI$5&amp;"",'Oxford Economics'!$A$6:$AZ$6,0))),'Oxford Economics'!$A$7:$A$1000,$C46,'Oxford Economics'!$B$7:$B$1000,Settings!$B$15)+IF(Settings!$B$17="",0,SUMIFS(INDEX('Oxford Economics'!$A$7:$AZ$1000,0,IFERROR(MATCH(AI$5,'Oxford Economics'!$A$6:$AZ$6,0),MATCH(AI$5&amp;"",'Oxford Economics'!$A$6:$AZ$6,0))),'Oxford Economics'!$A$7:$A$1000,$C46,'Oxford Economics'!$B$7:$B$1000,Settings!$B$17)))),""))</f>
        <v/>
      </c>
      <c r="AJ46" s="37" t="str">
        <f aca="false">IF($A46="","",IFERROR(1/(1/IF($B46="Residential",SUMIFS(INDEX('Oxford Economics'!$A$7:$AZ$1000,0,IFERROR(MATCH(AJ$5,'Oxford Economics'!$A$6:$AZ$6,0),MATCH(AJ$5&amp;"",'Oxford Economics'!$A$6:$AZ$6,0))),'Oxford Economics'!$A$7:$A$1000,$C46,'Oxford Economics'!$B$7:$B$1000,Settings!$B$11)-SUMIFS(INDEX('Oxford Economics'!$A$7:$AZ$1000,0,IFERROR(MATCH(AJ$5,'Oxford Economics'!$A$6:$AZ$6,0),MATCH(AJ$5&amp;"",'Oxford Economics'!$A$6:$AZ$6,0))),'Oxford Economics'!$A$7:$A$1000,$C46,'Oxford Economics'!$B$7:$B$1000,Settings!$B$13),SUMIFS(INDEX('Oxford Economics'!$A$7:$AZ$1000,0,IFERROR(MATCH(AJ$5,'Oxford Economics'!$A$6:$AZ$6,0),MATCH(AJ$5&amp;"",'Oxford Economics'!$A$6:$AZ$6,0))),'Oxford Economics'!$A$7:$A$1000,$C46,'Oxford Economics'!$B$7:$B$1000,Settings!$B$13)+SUMIFS(INDEX('Oxford Economics'!$A$7:$AZ$1000,0,IFERROR(MATCH(AJ$5,'Oxford Economics'!$A$6:$AZ$6,0),MATCH(AJ$5&amp;"",'Oxford Economics'!$A$6:$AZ$6,0))),'Oxford Economics'!$A$7:$A$1000,$C46,'Oxford Economics'!$B$7:$B$1000,Settings!$B$15)+IF(Settings!$B$17="",0,SUMIFS(INDEX('Oxford Economics'!$A$7:$AZ$1000,0,IFERROR(MATCH(AJ$5,'Oxford Economics'!$A$6:$AZ$6,0),MATCH(AJ$5&amp;"",'Oxford Economics'!$A$6:$AZ$6,0))),'Oxford Economics'!$A$7:$A$1000,$C46,'Oxford Economics'!$B$7:$B$1000,Settings!$B$17)))),""))</f>
        <v/>
      </c>
      <c r="AK46" s="37" t="str">
        <f aca="false">IF($A46="","",IFERROR(1/(1/IF($B46="Residential",SUMIFS(INDEX('Oxford Economics'!$A$7:$AZ$1000,0,IFERROR(MATCH(AK$5,'Oxford Economics'!$A$6:$AZ$6,0),MATCH(AK$5&amp;"",'Oxford Economics'!$A$6:$AZ$6,0))),'Oxford Economics'!$A$7:$A$1000,$C46,'Oxford Economics'!$B$7:$B$1000,Settings!$B$11)-SUMIFS(INDEX('Oxford Economics'!$A$7:$AZ$1000,0,IFERROR(MATCH(AK$5,'Oxford Economics'!$A$6:$AZ$6,0),MATCH(AK$5&amp;"",'Oxford Economics'!$A$6:$AZ$6,0))),'Oxford Economics'!$A$7:$A$1000,$C46,'Oxford Economics'!$B$7:$B$1000,Settings!$B$13),SUMIFS(INDEX('Oxford Economics'!$A$7:$AZ$1000,0,IFERROR(MATCH(AK$5,'Oxford Economics'!$A$6:$AZ$6,0),MATCH(AK$5&amp;"",'Oxford Economics'!$A$6:$AZ$6,0))),'Oxford Economics'!$A$7:$A$1000,$C46,'Oxford Economics'!$B$7:$B$1000,Settings!$B$13)+SUMIFS(INDEX('Oxford Economics'!$A$7:$AZ$1000,0,IFERROR(MATCH(AK$5,'Oxford Economics'!$A$6:$AZ$6,0),MATCH(AK$5&amp;"",'Oxford Economics'!$A$6:$AZ$6,0))),'Oxford Economics'!$A$7:$A$1000,$C46,'Oxford Economics'!$B$7:$B$1000,Settings!$B$15)+IF(Settings!$B$17="",0,SUMIFS(INDEX('Oxford Economics'!$A$7:$AZ$1000,0,IFERROR(MATCH(AK$5,'Oxford Economics'!$A$6:$AZ$6,0),MATCH(AK$5&amp;"",'Oxford Economics'!$A$6:$AZ$6,0))),'Oxford Economics'!$A$7:$A$1000,$C46,'Oxford Economics'!$B$7:$B$1000,Settings!$B$17)))),""))</f>
        <v/>
      </c>
      <c r="AL46" s="37" t="str">
        <f aca="false">IF($A46="","",IFERROR(1/(1/IF($B46="Residential",SUMIFS(INDEX('Oxford Economics'!$A$7:$AZ$1000,0,IFERROR(MATCH(AL$5,'Oxford Economics'!$A$6:$AZ$6,0),MATCH(AL$5&amp;"",'Oxford Economics'!$A$6:$AZ$6,0))),'Oxford Economics'!$A$7:$A$1000,$C46,'Oxford Economics'!$B$7:$B$1000,Settings!$B$11)-SUMIFS(INDEX('Oxford Economics'!$A$7:$AZ$1000,0,IFERROR(MATCH(AL$5,'Oxford Economics'!$A$6:$AZ$6,0),MATCH(AL$5&amp;"",'Oxford Economics'!$A$6:$AZ$6,0))),'Oxford Economics'!$A$7:$A$1000,$C46,'Oxford Economics'!$B$7:$B$1000,Settings!$B$13),SUMIFS(INDEX('Oxford Economics'!$A$7:$AZ$1000,0,IFERROR(MATCH(AL$5,'Oxford Economics'!$A$6:$AZ$6,0),MATCH(AL$5&amp;"",'Oxford Economics'!$A$6:$AZ$6,0))),'Oxford Economics'!$A$7:$A$1000,$C46,'Oxford Economics'!$B$7:$B$1000,Settings!$B$13)+SUMIFS(INDEX('Oxford Economics'!$A$7:$AZ$1000,0,IFERROR(MATCH(AL$5,'Oxford Economics'!$A$6:$AZ$6,0),MATCH(AL$5&amp;"",'Oxford Economics'!$A$6:$AZ$6,0))),'Oxford Economics'!$A$7:$A$1000,$C46,'Oxford Economics'!$B$7:$B$1000,Settings!$B$15)+IF(Settings!$B$17="",0,SUMIFS(INDEX('Oxford Economics'!$A$7:$AZ$1000,0,IFERROR(MATCH(AL$5,'Oxford Economics'!$A$6:$AZ$6,0),MATCH(AL$5&amp;"",'Oxford Economics'!$A$6:$AZ$6,0))),'Oxford Economics'!$A$7:$A$1000,$C46,'Oxford Economics'!$B$7:$B$1000,Settings!$B$17)))),""))</f>
        <v/>
      </c>
      <c r="AM46" s="37" t="str">
        <f aca="false">IF($A46="","",IFERROR(1/(1/IF($B46="Residential",SUMIFS(INDEX('Oxford Economics'!$A$7:$AZ$1000,0,IFERROR(MATCH(AM$5,'Oxford Economics'!$A$6:$AZ$6,0),MATCH(AM$5&amp;"",'Oxford Economics'!$A$6:$AZ$6,0))),'Oxford Economics'!$A$7:$A$1000,$C46,'Oxford Economics'!$B$7:$B$1000,Settings!$B$11)-SUMIFS(INDEX('Oxford Economics'!$A$7:$AZ$1000,0,IFERROR(MATCH(AM$5,'Oxford Economics'!$A$6:$AZ$6,0),MATCH(AM$5&amp;"",'Oxford Economics'!$A$6:$AZ$6,0))),'Oxford Economics'!$A$7:$A$1000,$C46,'Oxford Economics'!$B$7:$B$1000,Settings!$B$13),SUMIFS(INDEX('Oxford Economics'!$A$7:$AZ$1000,0,IFERROR(MATCH(AM$5,'Oxford Economics'!$A$6:$AZ$6,0),MATCH(AM$5&amp;"",'Oxford Economics'!$A$6:$AZ$6,0))),'Oxford Economics'!$A$7:$A$1000,$C46,'Oxford Economics'!$B$7:$B$1000,Settings!$B$13)+SUMIFS(INDEX('Oxford Economics'!$A$7:$AZ$1000,0,IFERROR(MATCH(AM$5,'Oxford Economics'!$A$6:$AZ$6,0),MATCH(AM$5&amp;"",'Oxford Economics'!$A$6:$AZ$6,0))),'Oxford Economics'!$A$7:$A$1000,$C46,'Oxford Economics'!$B$7:$B$1000,Settings!$B$15)+IF(Settings!$B$17="",0,SUMIFS(INDEX('Oxford Economics'!$A$7:$AZ$1000,0,IFERROR(MATCH(AM$5,'Oxford Economics'!$A$6:$AZ$6,0),MATCH(AM$5&amp;"",'Oxford Economics'!$A$6:$AZ$6,0))),'Oxford Economics'!$A$7:$A$1000,$C46,'Oxford Economics'!$B$7:$B$1000,Settings!$B$17)))),""))</f>
        <v/>
      </c>
    </row>
    <row r="47" customFormat="false" ht="15" hidden="false" customHeight="false" outlineLevel="0" collapsed="false">
      <c r="A47" s="36" t="str">
        <f aca="false">IF('Raw data'!$A47="","",'Raw data'!$A47)</f>
        <v/>
      </c>
      <c r="B47" s="36" t="str">
        <f aca="false">IF($A47="","",'Raw data'!$C47)</f>
        <v/>
      </c>
      <c r="C47" s="36" t="str">
        <f aca="false">IF($A47="","",IF('Raw data'!$D47="",$A47,'Raw data'!$D47))</f>
        <v/>
      </c>
      <c r="D47" s="37" t="str">
        <f aca="false">IF($A47="","",IF(AND(ISNUMBER(P47),ISNUMBER(AB47)),P47+AB47,""))</f>
        <v/>
      </c>
      <c r="E47" s="37" t="str">
        <f aca="false">IF($A47="","",IF(AND(ISNUMBER(Q47),ISNUMBER(AC47)),Q47+AC47,""))</f>
        <v/>
      </c>
      <c r="F47" s="37" t="str">
        <f aca="false">IF($A47="","",IF(AND(ISNUMBER(R47),ISNUMBER(AD47)),R47+AD47,""))</f>
        <v/>
      </c>
      <c r="G47" s="37" t="str">
        <f aca="false">IF($A47="","",IF(AND(ISNUMBER(S47),ISNUMBER(AE47)),S47+AE47,""))</f>
        <v/>
      </c>
      <c r="H47" s="37" t="str">
        <f aca="false">IF($A47="","",IF(AND(ISNUMBER(T47),ISNUMBER(AF47)),T47+AF47,""))</f>
        <v/>
      </c>
      <c r="I47" s="37" t="str">
        <f aca="false">IF($A47="","",IF(AND(ISNUMBER(U47),ISNUMBER(AG47)),U47+AG47,""))</f>
        <v/>
      </c>
      <c r="J47" s="37" t="str">
        <f aca="false">IF($A47="","",IF(AND(ISNUMBER(V47),ISNUMBER(AH47)),V47+AH47,""))</f>
        <v/>
      </c>
      <c r="K47" s="37" t="str">
        <f aca="false">IF($A47="","",IF(AND(ISNUMBER(W47),ISNUMBER(AI47)),W47+AI47,""))</f>
        <v/>
      </c>
      <c r="L47" s="37" t="str">
        <f aca="false">IF($A47="","",IF(AND(ISNUMBER(X47),ISNUMBER(AJ47)),X47+AJ47,""))</f>
        <v/>
      </c>
      <c r="M47" s="37" t="str">
        <f aca="false">IF($A47="","",IF(AND(ISNUMBER(Y47),ISNUMBER(AK47)),Y47+AK47,""))</f>
        <v/>
      </c>
      <c r="N47" s="37" t="str">
        <f aca="false">IF($A47="","",IF(AND(ISNUMBER(Z47),ISNUMBER(AL47)),Z47+AL47,""))</f>
        <v/>
      </c>
      <c r="O47" s="37" t="str">
        <f aca="false">IF($A47="","",IF(AND(ISNUMBER(AA47),ISNUMBER(AM47)),AA47+AM47,""))</f>
        <v/>
      </c>
      <c r="P47" s="37" t="str">
        <f aca="false">IF($A47="","",IFERROR(1/(1/IF($B47="Residential",SUMIFS(INDEX('Oxford Economics'!$A$7:$AZ$1000,0,IFERROR(MATCH(P$5,'Oxford Economics'!$A$6:$AZ$6,0),MATCH(P$5&amp;"",'Oxford Economics'!$A$6:$AZ$6,0))),'Oxford Economics'!$A$7:$A$1000,$C47,'Oxford Economics'!$B$7:$B$1000,Settings!$B$12)-SUMIFS(INDEX('Oxford Economics'!$A$7:$AZ$1000,0,IFERROR(MATCH(P$5,'Oxford Economics'!$A$6:$AZ$6,0),MATCH(P$5&amp;"",'Oxford Economics'!$A$6:$AZ$6,0))),'Oxford Economics'!$A$7:$A$1000,$C47,'Oxford Economics'!$B$7:$B$1000,Settings!$B$14),SUMIFS(INDEX('Oxford Economics'!$A$7:$AZ$1000,0,IFERROR(MATCH(P$5,'Oxford Economics'!$A$6:$AZ$6,0),MATCH(P$5&amp;"",'Oxford Economics'!$A$6:$AZ$6,0))),'Oxford Economics'!$A$7:$A$1000,$C47,'Oxford Economics'!$B$7:$B$1000,Settings!$B$14)+SUMIFS(INDEX('Oxford Economics'!$A$7:$AZ$1000,0,IFERROR(MATCH(P$5,'Oxford Economics'!$A$6:$AZ$6,0),MATCH(P$5&amp;"",'Oxford Economics'!$A$6:$AZ$6,0))),'Oxford Economics'!$A$7:$A$1000,$C47,'Oxford Economics'!$B$7:$B$1000,Settings!$B$16)+IF(Settings!$B$18="",0,SUMIFS(INDEX('Oxford Economics'!$A$7:$AZ$1000,0,IFERROR(MATCH(P$5,'Oxford Economics'!$A$6:$AZ$6,0),MATCH(P$5&amp;"",'Oxford Economics'!$A$6:$AZ$6,0))),'Oxford Economics'!$A$7:$A$1000,$C47,'Oxford Economics'!$B$7:$B$1000,Settings!$B$18)))),""))</f>
        <v/>
      </c>
      <c r="Q47" s="37" t="str">
        <f aca="false">IF($A47="","",IFERROR(1/(1/IF($B47="Residential",SUMIFS(INDEX('Oxford Economics'!$A$7:$AZ$1000,0,IFERROR(MATCH(Q$5,'Oxford Economics'!$A$6:$AZ$6,0),MATCH(Q$5&amp;"",'Oxford Economics'!$A$6:$AZ$6,0))),'Oxford Economics'!$A$7:$A$1000,$C47,'Oxford Economics'!$B$7:$B$1000,Settings!$B$12)-SUMIFS(INDEX('Oxford Economics'!$A$7:$AZ$1000,0,IFERROR(MATCH(Q$5,'Oxford Economics'!$A$6:$AZ$6,0),MATCH(Q$5&amp;"",'Oxford Economics'!$A$6:$AZ$6,0))),'Oxford Economics'!$A$7:$A$1000,$C47,'Oxford Economics'!$B$7:$B$1000,Settings!$B$14),SUMIFS(INDEX('Oxford Economics'!$A$7:$AZ$1000,0,IFERROR(MATCH(Q$5,'Oxford Economics'!$A$6:$AZ$6,0),MATCH(Q$5&amp;"",'Oxford Economics'!$A$6:$AZ$6,0))),'Oxford Economics'!$A$7:$A$1000,$C47,'Oxford Economics'!$B$7:$B$1000,Settings!$B$14)+SUMIFS(INDEX('Oxford Economics'!$A$7:$AZ$1000,0,IFERROR(MATCH(Q$5,'Oxford Economics'!$A$6:$AZ$6,0),MATCH(Q$5&amp;"",'Oxford Economics'!$A$6:$AZ$6,0))),'Oxford Economics'!$A$7:$A$1000,$C47,'Oxford Economics'!$B$7:$B$1000,Settings!$B$16)+IF(Settings!$B$18="",0,SUMIFS(INDEX('Oxford Economics'!$A$7:$AZ$1000,0,IFERROR(MATCH(Q$5,'Oxford Economics'!$A$6:$AZ$6,0),MATCH(Q$5&amp;"",'Oxford Economics'!$A$6:$AZ$6,0))),'Oxford Economics'!$A$7:$A$1000,$C47,'Oxford Economics'!$B$7:$B$1000,Settings!$B$18)))),""))</f>
        <v/>
      </c>
      <c r="R47" s="37" t="str">
        <f aca="false">IF($A47="","",IFERROR(1/(1/IF($B47="Residential",SUMIFS(INDEX('Oxford Economics'!$A$7:$AZ$1000,0,IFERROR(MATCH(R$5,'Oxford Economics'!$A$6:$AZ$6,0),MATCH(R$5&amp;"",'Oxford Economics'!$A$6:$AZ$6,0))),'Oxford Economics'!$A$7:$A$1000,$C47,'Oxford Economics'!$B$7:$B$1000,Settings!$B$12)-SUMIFS(INDEX('Oxford Economics'!$A$7:$AZ$1000,0,IFERROR(MATCH(R$5,'Oxford Economics'!$A$6:$AZ$6,0),MATCH(R$5&amp;"",'Oxford Economics'!$A$6:$AZ$6,0))),'Oxford Economics'!$A$7:$A$1000,$C47,'Oxford Economics'!$B$7:$B$1000,Settings!$B$14),SUMIFS(INDEX('Oxford Economics'!$A$7:$AZ$1000,0,IFERROR(MATCH(R$5,'Oxford Economics'!$A$6:$AZ$6,0),MATCH(R$5&amp;"",'Oxford Economics'!$A$6:$AZ$6,0))),'Oxford Economics'!$A$7:$A$1000,$C47,'Oxford Economics'!$B$7:$B$1000,Settings!$B$14)+SUMIFS(INDEX('Oxford Economics'!$A$7:$AZ$1000,0,IFERROR(MATCH(R$5,'Oxford Economics'!$A$6:$AZ$6,0),MATCH(R$5&amp;"",'Oxford Economics'!$A$6:$AZ$6,0))),'Oxford Economics'!$A$7:$A$1000,$C47,'Oxford Economics'!$B$7:$B$1000,Settings!$B$16)+IF(Settings!$B$18="",0,SUMIFS(INDEX('Oxford Economics'!$A$7:$AZ$1000,0,IFERROR(MATCH(R$5,'Oxford Economics'!$A$6:$AZ$6,0),MATCH(R$5&amp;"",'Oxford Economics'!$A$6:$AZ$6,0))),'Oxford Economics'!$A$7:$A$1000,$C47,'Oxford Economics'!$B$7:$B$1000,Settings!$B$18)))),""))</f>
        <v/>
      </c>
      <c r="S47" s="37" t="str">
        <f aca="false">IF($A47="","",IFERROR(1/(1/IF($B47="Residential",SUMIFS(INDEX('Oxford Economics'!$A$7:$AZ$1000,0,IFERROR(MATCH(S$5,'Oxford Economics'!$A$6:$AZ$6,0),MATCH(S$5&amp;"",'Oxford Economics'!$A$6:$AZ$6,0))),'Oxford Economics'!$A$7:$A$1000,$C47,'Oxford Economics'!$B$7:$B$1000,Settings!$B$12)-SUMIFS(INDEX('Oxford Economics'!$A$7:$AZ$1000,0,IFERROR(MATCH(S$5,'Oxford Economics'!$A$6:$AZ$6,0),MATCH(S$5&amp;"",'Oxford Economics'!$A$6:$AZ$6,0))),'Oxford Economics'!$A$7:$A$1000,$C47,'Oxford Economics'!$B$7:$B$1000,Settings!$B$14),SUMIFS(INDEX('Oxford Economics'!$A$7:$AZ$1000,0,IFERROR(MATCH(S$5,'Oxford Economics'!$A$6:$AZ$6,0),MATCH(S$5&amp;"",'Oxford Economics'!$A$6:$AZ$6,0))),'Oxford Economics'!$A$7:$A$1000,$C47,'Oxford Economics'!$B$7:$B$1000,Settings!$B$14)+SUMIFS(INDEX('Oxford Economics'!$A$7:$AZ$1000,0,IFERROR(MATCH(S$5,'Oxford Economics'!$A$6:$AZ$6,0),MATCH(S$5&amp;"",'Oxford Economics'!$A$6:$AZ$6,0))),'Oxford Economics'!$A$7:$A$1000,$C47,'Oxford Economics'!$B$7:$B$1000,Settings!$B$16)+IF(Settings!$B$18="",0,SUMIFS(INDEX('Oxford Economics'!$A$7:$AZ$1000,0,IFERROR(MATCH(S$5,'Oxford Economics'!$A$6:$AZ$6,0),MATCH(S$5&amp;"",'Oxford Economics'!$A$6:$AZ$6,0))),'Oxford Economics'!$A$7:$A$1000,$C47,'Oxford Economics'!$B$7:$B$1000,Settings!$B$18)))),""))</f>
        <v/>
      </c>
      <c r="T47" s="37" t="str">
        <f aca="false">IF($A47="","",IFERROR(1/(1/IF($B47="Residential",SUMIFS(INDEX('Oxford Economics'!$A$7:$AZ$1000,0,IFERROR(MATCH(T$5,'Oxford Economics'!$A$6:$AZ$6,0),MATCH(T$5&amp;"",'Oxford Economics'!$A$6:$AZ$6,0))),'Oxford Economics'!$A$7:$A$1000,$C47,'Oxford Economics'!$B$7:$B$1000,Settings!$B$12)-SUMIFS(INDEX('Oxford Economics'!$A$7:$AZ$1000,0,IFERROR(MATCH(T$5,'Oxford Economics'!$A$6:$AZ$6,0),MATCH(T$5&amp;"",'Oxford Economics'!$A$6:$AZ$6,0))),'Oxford Economics'!$A$7:$A$1000,$C47,'Oxford Economics'!$B$7:$B$1000,Settings!$B$14),SUMIFS(INDEX('Oxford Economics'!$A$7:$AZ$1000,0,IFERROR(MATCH(T$5,'Oxford Economics'!$A$6:$AZ$6,0),MATCH(T$5&amp;"",'Oxford Economics'!$A$6:$AZ$6,0))),'Oxford Economics'!$A$7:$A$1000,$C47,'Oxford Economics'!$B$7:$B$1000,Settings!$B$14)+SUMIFS(INDEX('Oxford Economics'!$A$7:$AZ$1000,0,IFERROR(MATCH(T$5,'Oxford Economics'!$A$6:$AZ$6,0),MATCH(T$5&amp;"",'Oxford Economics'!$A$6:$AZ$6,0))),'Oxford Economics'!$A$7:$A$1000,$C47,'Oxford Economics'!$B$7:$B$1000,Settings!$B$16)+IF(Settings!$B$18="",0,SUMIFS(INDEX('Oxford Economics'!$A$7:$AZ$1000,0,IFERROR(MATCH(T$5,'Oxford Economics'!$A$6:$AZ$6,0),MATCH(T$5&amp;"",'Oxford Economics'!$A$6:$AZ$6,0))),'Oxford Economics'!$A$7:$A$1000,$C47,'Oxford Economics'!$B$7:$B$1000,Settings!$B$18)))),""))</f>
        <v/>
      </c>
      <c r="U47" s="37" t="str">
        <f aca="false">IF($A47="","",IFERROR(1/(1/IF($B47="Residential",SUMIFS(INDEX('Oxford Economics'!$A$7:$AZ$1000,0,IFERROR(MATCH(U$5,'Oxford Economics'!$A$6:$AZ$6,0),MATCH(U$5&amp;"",'Oxford Economics'!$A$6:$AZ$6,0))),'Oxford Economics'!$A$7:$A$1000,$C47,'Oxford Economics'!$B$7:$B$1000,Settings!$B$12)-SUMIFS(INDEX('Oxford Economics'!$A$7:$AZ$1000,0,IFERROR(MATCH(U$5,'Oxford Economics'!$A$6:$AZ$6,0),MATCH(U$5&amp;"",'Oxford Economics'!$A$6:$AZ$6,0))),'Oxford Economics'!$A$7:$A$1000,$C47,'Oxford Economics'!$B$7:$B$1000,Settings!$B$14),SUMIFS(INDEX('Oxford Economics'!$A$7:$AZ$1000,0,IFERROR(MATCH(U$5,'Oxford Economics'!$A$6:$AZ$6,0),MATCH(U$5&amp;"",'Oxford Economics'!$A$6:$AZ$6,0))),'Oxford Economics'!$A$7:$A$1000,$C47,'Oxford Economics'!$B$7:$B$1000,Settings!$B$14)+SUMIFS(INDEX('Oxford Economics'!$A$7:$AZ$1000,0,IFERROR(MATCH(U$5,'Oxford Economics'!$A$6:$AZ$6,0),MATCH(U$5&amp;"",'Oxford Economics'!$A$6:$AZ$6,0))),'Oxford Economics'!$A$7:$A$1000,$C47,'Oxford Economics'!$B$7:$B$1000,Settings!$B$16)+IF(Settings!$B$18="",0,SUMIFS(INDEX('Oxford Economics'!$A$7:$AZ$1000,0,IFERROR(MATCH(U$5,'Oxford Economics'!$A$6:$AZ$6,0),MATCH(U$5&amp;"",'Oxford Economics'!$A$6:$AZ$6,0))),'Oxford Economics'!$A$7:$A$1000,$C47,'Oxford Economics'!$B$7:$B$1000,Settings!$B$18)))),""))</f>
        <v/>
      </c>
      <c r="V47" s="37" t="str">
        <f aca="false">IF($A47="","",IFERROR(1/(1/IF($B47="Residential",SUMIFS(INDEX('Oxford Economics'!$A$7:$AZ$1000,0,IFERROR(MATCH(V$5,'Oxford Economics'!$A$6:$AZ$6,0),MATCH(V$5&amp;"",'Oxford Economics'!$A$6:$AZ$6,0))),'Oxford Economics'!$A$7:$A$1000,$C47,'Oxford Economics'!$B$7:$B$1000,Settings!$B$12)-SUMIFS(INDEX('Oxford Economics'!$A$7:$AZ$1000,0,IFERROR(MATCH(V$5,'Oxford Economics'!$A$6:$AZ$6,0),MATCH(V$5&amp;"",'Oxford Economics'!$A$6:$AZ$6,0))),'Oxford Economics'!$A$7:$A$1000,$C47,'Oxford Economics'!$B$7:$B$1000,Settings!$B$14),SUMIFS(INDEX('Oxford Economics'!$A$7:$AZ$1000,0,IFERROR(MATCH(V$5,'Oxford Economics'!$A$6:$AZ$6,0),MATCH(V$5&amp;"",'Oxford Economics'!$A$6:$AZ$6,0))),'Oxford Economics'!$A$7:$A$1000,$C47,'Oxford Economics'!$B$7:$B$1000,Settings!$B$14)+SUMIFS(INDEX('Oxford Economics'!$A$7:$AZ$1000,0,IFERROR(MATCH(V$5,'Oxford Economics'!$A$6:$AZ$6,0),MATCH(V$5&amp;"",'Oxford Economics'!$A$6:$AZ$6,0))),'Oxford Economics'!$A$7:$A$1000,$C47,'Oxford Economics'!$B$7:$B$1000,Settings!$B$16)+IF(Settings!$B$18="",0,SUMIFS(INDEX('Oxford Economics'!$A$7:$AZ$1000,0,IFERROR(MATCH(V$5,'Oxford Economics'!$A$6:$AZ$6,0),MATCH(V$5&amp;"",'Oxford Economics'!$A$6:$AZ$6,0))),'Oxford Economics'!$A$7:$A$1000,$C47,'Oxford Economics'!$B$7:$B$1000,Settings!$B$18)))),""))</f>
        <v/>
      </c>
      <c r="W47" s="37" t="str">
        <f aca="false">IF($A47="","",IFERROR(1/(1/IF($B47="Residential",SUMIFS(INDEX('Oxford Economics'!$A$7:$AZ$1000,0,IFERROR(MATCH(W$5,'Oxford Economics'!$A$6:$AZ$6,0),MATCH(W$5&amp;"",'Oxford Economics'!$A$6:$AZ$6,0))),'Oxford Economics'!$A$7:$A$1000,$C47,'Oxford Economics'!$B$7:$B$1000,Settings!$B$12)-SUMIFS(INDEX('Oxford Economics'!$A$7:$AZ$1000,0,IFERROR(MATCH(W$5,'Oxford Economics'!$A$6:$AZ$6,0),MATCH(W$5&amp;"",'Oxford Economics'!$A$6:$AZ$6,0))),'Oxford Economics'!$A$7:$A$1000,$C47,'Oxford Economics'!$B$7:$B$1000,Settings!$B$14),SUMIFS(INDEX('Oxford Economics'!$A$7:$AZ$1000,0,IFERROR(MATCH(W$5,'Oxford Economics'!$A$6:$AZ$6,0),MATCH(W$5&amp;"",'Oxford Economics'!$A$6:$AZ$6,0))),'Oxford Economics'!$A$7:$A$1000,$C47,'Oxford Economics'!$B$7:$B$1000,Settings!$B$14)+SUMIFS(INDEX('Oxford Economics'!$A$7:$AZ$1000,0,IFERROR(MATCH(W$5,'Oxford Economics'!$A$6:$AZ$6,0),MATCH(W$5&amp;"",'Oxford Economics'!$A$6:$AZ$6,0))),'Oxford Economics'!$A$7:$A$1000,$C47,'Oxford Economics'!$B$7:$B$1000,Settings!$B$16)+IF(Settings!$B$18="",0,SUMIFS(INDEX('Oxford Economics'!$A$7:$AZ$1000,0,IFERROR(MATCH(W$5,'Oxford Economics'!$A$6:$AZ$6,0),MATCH(W$5&amp;"",'Oxford Economics'!$A$6:$AZ$6,0))),'Oxford Economics'!$A$7:$A$1000,$C47,'Oxford Economics'!$B$7:$B$1000,Settings!$B$18)))),""))</f>
        <v/>
      </c>
      <c r="X47" s="37" t="str">
        <f aca="false">IF($A47="","",IFERROR(1/(1/IF($B47="Residential",SUMIFS(INDEX('Oxford Economics'!$A$7:$AZ$1000,0,IFERROR(MATCH(X$5,'Oxford Economics'!$A$6:$AZ$6,0),MATCH(X$5&amp;"",'Oxford Economics'!$A$6:$AZ$6,0))),'Oxford Economics'!$A$7:$A$1000,$C47,'Oxford Economics'!$B$7:$B$1000,Settings!$B$12)-SUMIFS(INDEX('Oxford Economics'!$A$7:$AZ$1000,0,IFERROR(MATCH(X$5,'Oxford Economics'!$A$6:$AZ$6,0),MATCH(X$5&amp;"",'Oxford Economics'!$A$6:$AZ$6,0))),'Oxford Economics'!$A$7:$A$1000,$C47,'Oxford Economics'!$B$7:$B$1000,Settings!$B$14),SUMIFS(INDEX('Oxford Economics'!$A$7:$AZ$1000,0,IFERROR(MATCH(X$5,'Oxford Economics'!$A$6:$AZ$6,0),MATCH(X$5&amp;"",'Oxford Economics'!$A$6:$AZ$6,0))),'Oxford Economics'!$A$7:$A$1000,$C47,'Oxford Economics'!$B$7:$B$1000,Settings!$B$14)+SUMIFS(INDEX('Oxford Economics'!$A$7:$AZ$1000,0,IFERROR(MATCH(X$5,'Oxford Economics'!$A$6:$AZ$6,0),MATCH(X$5&amp;"",'Oxford Economics'!$A$6:$AZ$6,0))),'Oxford Economics'!$A$7:$A$1000,$C47,'Oxford Economics'!$B$7:$B$1000,Settings!$B$16)+IF(Settings!$B$18="",0,SUMIFS(INDEX('Oxford Economics'!$A$7:$AZ$1000,0,IFERROR(MATCH(X$5,'Oxford Economics'!$A$6:$AZ$6,0),MATCH(X$5&amp;"",'Oxford Economics'!$A$6:$AZ$6,0))),'Oxford Economics'!$A$7:$A$1000,$C47,'Oxford Economics'!$B$7:$B$1000,Settings!$B$18)))),""))</f>
        <v/>
      </c>
      <c r="Y47" s="37" t="str">
        <f aca="false">IF($A47="","",IFERROR(1/(1/IF($B47="Residential",SUMIFS(INDEX('Oxford Economics'!$A$7:$AZ$1000,0,IFERROR(MATCH(Y$5,'Oxford Economics'!$A$6:$AZ$6,0),MATCH(Y$5&amp;"",'Oxford Economics'!$A$6:$AZ$6,0))),'Oxford Economics'!$A$7:$A$1000,$C47,'Oxford Economics'!$B$7:$B$1000,Settings!$B$12)-SUMIFS(INDEX('Oxford Economics'!$A$7:$AZ$1000,0,IFERROR(MATCH(Y$5,'Oxford Economics'!$A$6:$AZ$6,0),MATCH(Y$5&amp;"",'Oxford Economics'!$A$6:$AZ$6,0))),'Oxford Economics'!$A$7:$A$1000,$C47,'Oxford Economics'!$B$7:$B$1000,Settings!$B$14),SUMIFS(INDEX('Oxford Economics'!$A$7:$AZ$1000,0,IFERROR(MATCH(Y$5,'Oxford Economics'!$A$6:$AZ$6,0),MATCH(Y$5&amp;"",'Oxford Economics'!$A$6:$AZ$6,0))),'Oxford Economics'!$A$7:$A$1000,$C47,'Oxford Economics'!$B$7:$B$1000,Settings!$B$14)+SUMIFS(INDEX('Oxford Economics'!$A$7:$AZ$1000,0,IFERROR(MATCH(Y$5,'Oxford Economics'!$A$6:$AZ$6,0),MATCH(Y$5&amp;"",'Oxford Economics'!$A$6:$AZ$6,0))),'Oxford Economics'!$A$7:$A$1000,$C47,'Oxford Economics'!$B$7:$B$1000,Settings!$B$16)+IF(Settings!$B$18="",0,SUMIFS(INDEX('Oxford Economics'!$A$7:$AZ$1000,0,IFERROR(MATCH(Y$5,'Oxford Economics'!$A$6:$AZ$6,0),MATCH(Y$5&amp;"",'Oxford Economics'!$A$6:$AZ$6,0))),'Oxford Economics'!$A$7:$A$1000,$C47,'Oxford Economics'!$B$7:$B$1000,Settings!$B$18)))),""))</f>
        <v/>
      </c>
      <c r="Z47" s="37" t="str">
        <f aca="false">IF($A47="","",IFERROR(1/(1/IF($B47="Residential",SUMIFS(INDEX('Oxford Economics'!$A$7:$AZ$1000,0,IFERROR(MATCH(Z$5,'Oxford Economics'!$A$6:$AZ$6,0),MATCH(Z$5&amp;"",'Oxford Economics'!$A$6:$AZ$6,0))),'Oxford Economics'!$A$7:$A$1000,$C47,'Oxford Economics'!$B$7:$B$1000,Settings!$B$12)-SUMIFS(INDEX('Oxford Economics'!$A$7:$AZ$1000,0,IFERROR(MATCH(Z$5,'Oxford Economics'!$A$6:$AZ$6,0),MATCH(Z$5&amp;"",'Oxford Economics'!$A$6:$AZ$6,0))),'Oxford Economics'!$A$7:$A$1000,$C47,'Oxford Economics'!$B$7:$B$1000,Settings!$B$14),SUMIFS(INDEX('Oxford Economics'!$A$7:$AZ$1000,0,IFERROR(MATCH(Z$5,'Oxford Economics'!$A$6:$AZ$6,0),MATCH(Z$5&amp;"",'Oxford Economics'!$A$6:$AZ$6,0))),'Oxford Economics'!$A$7:$A$1000,$C47,'Oxford Economics'!$B$7:$B$1000,Settings!$B$14)+SUMIFS(INDEX('Oxford Economics'!$A$7:$AZ$1000,0,IFERROR(MATCH(Z$5,'Oxford Economics'!$A$6:$AZ$6,0),MATCH(Z$5&amp;"",'Oxford Economics'!$A$6:$AZ$6,0))),'Oxford Economics'!$A$7:$A$1000,$C47,'Oxford Economics'!$B$7:$B$1000,Settings!$B$16)+IF(Settings!$B$18="",0,SUMIFS(INDEX('Oxford Economics'!$A$7:$AZ$1000,0,IFERROR(MATCH(Z$5,'Oxford Economics'!$A$6:$AZ$6,0),MATCH(Z$5&amp;"",'Oxford Economics'!$A$6:$AZ$6,0))),'Oxford Economics'!$A$7:$A$1000,$C47,'Oxford Economics'!$B$7:$B$1000,Settings!$B$18)))),""))</f>
        <v/>
      </c>
      <c r="AA47" s="37" t="str">
        <f aca="false">IF($A47="","",IFERROR(1/(1/IF($B47="Residential",SUMIFS(INDEX('Oxford Economics'!$A$7:$AZ$1000,0,IFERROR(MATCH(AA$5,'Oxford Economics'!$A$6:$AZ$6,0),MATCH(AA$5&amp;"",'Oxford Economics'!$A$6:$AZ$6,0))),'Oxford Economics'!$A$7:$A$1000,$C47,'Oxford Economics'!$B$7:$B$1000,Settings!$B$12)-SUMIFS(INDEX('Oxford Economics'!$A$7:$AZ$1000,0,IFERROR(MATCH(AA$5,'Oxford Economics'!$A$6:$AZ$6,0),MATCH(AA$5&amp;"",'Oxford Economics'!$A$6:$AZ$6,0))),'Oxford Economics'!$A$7:$A$1000,$C47,'Oxford Economics'!$B$7:$B$1000,Settings!$B$14),SUMIFS(INDEX('Oxford Economics'!$A$7:$AZ$1000,0,IFERROR(MATCH(AA$5,'Oxford Economics'!$A$6:$AZ$6,0),MATCH(AA$5&amp;"",'Oxford Economics'!$A$6:$AZ$6,0))),'Oxford Economics'!$A$7:$A$1000,$C47,'Oxford Economics'!$B$7:$B$1000,Settings!$B$14)+SUMIFS(INDEX('Oxford Economics'!$A$7:$AZ$1000,0,IFERROR(MATCH(AA$5,'Oxford Economics'!$A$6:$AZ$6,0),MATCH(AA$5&amp;"",'Oxford Economics'!$A$6:$AZ$6,0))),'Oxford Economics'!$A$7:$A$1000,$C47,'Oxford Economics'!$B$7:$B$1000,Settings!$B$16)+IF(Settings!$B$18="",0,SUMIFS(INDEX('Oxford Economics'!$A$7:$AZ$1000,0,IFERROR(MATCH(AA$5,'Oxford Economics'!$A$6:$AZ$6,0),MATCH(AA$5&amp;"",'Oxford Economics'!$A$6:$AZ$6,0))),'Oxford Economics'!$A$7:$A$1000,$C47,'Oxford Economics'!$B$7:$B$1000,Settings!$B$18)))),""))</f>
        <v/>
      </c>
      <c r="AB47" s="37" t="str">
        <f aca="false">IF($A47="","",IFERROR(1/(1/IF($B47="Residential",SUMIFS(INDEX('Oxford Economics'!$A$7:$AZ$1000,0,IFERROR(MATCH(AB$5,'Oxford Economics'!$A$6:$AZ$6,0),MATCH(AB$5&amp;"",'Oxford Economics'!$A$6:$AZ$6,0))),'Oxford Economics'!$A$7:$A$1000,$C47,'Oxford Economics'!$B$7:$B$1000,Settings!$B$11)-SUMIFS(INDEX('Oxford Economics'!$A$7:$AZ$1000,0,IFERROR(MATCH(AB$5,'Oxford Economics'!$A$6:$AZ$6,0),MATCH(AB$5&amp;"",'Oxford Economics'!$A$6:$AZ$6,0))),'Oxford Economics'!$A$7:$A$1000,$C47,'Oxford Economics'!$B$7:$B$1000,Settings!$B$13),SUMIFS(INDEX('Oxford Economics'!$A$7:$AZ$1000,0,IFERROR(MATCH(AB$5,'Oxford Economics'!$A$6:$AZ$6,0),MATCH(AB$5&amp;"",'Oxford Economics'!$A$6:$AZ$6,0))),'Oxford Economics'!$A$7:$A$1000,$C47,'Oxford Economics'!$B$7:$B$1000,Settings!$B$13)+SUMIFS(INDEX('Oxford Economics'!$A$7:$AZ$1000,0,IFERROR(MATCH(AB$5,'Oxford Economics'!$A$6:$AZ$6,0),MATCH(AB$5&amp;"",'Oxford Economics'!$A$6:$AZ$6,0))),'Oxford Economics'!$A$7:$A$1000,$C47,'Oxford Economics'!$B$7:$B$1000,Settings!$B$15)+IF(Settings!$B$17="",0,SUMIFS(INDEX('Oxford Economics'!$A$7:$AZ$1000,0,IFERROR(MATCH(AB$5,'Oxford Economics'!$A$6:$AZ$6,0),MATCH(AB$5&amp;"",'Oxford Economics'!$A$6:$AZ$6,0))),'Oxford Economics'!$A$7:$A$1000,$C47,'Oxford Economics'!$B$7:$B$1000,Settings!$B$17)))),""))</f>
        <v/>
      </c>
      <c r="AC47" s="37" t="str">
        <f aca="false">IF($A47="","",IFERROR(1/(1/IF($B47="Residential",SUMIFS(INDEX('Oxford Economics'!$A$7:$AZ$1000,0,IFERROR(MATCH(AC$5,'Oxford Economics'!$A$6:$AZ$6,0),MATCH(AC$5&amp;"",'Oxford Economics'!$A$6:$AZ$6,0))),'Oxford Economics'!$A$7:$A$1000,$C47,'Oxford Economics'!$B$7:$B$1000,Settings!$B$11)-SUMIFS(INDEX('Oxford Economics'!$A$7:$AZ$1000,0,IFERROR(MATCH(AC$5,'Oxford Economics'!$A$6:$AZ$6,0),MATCH(AC$5&amp;"",'Oxford Economics'!$A$6:$AZ$6,0))),'Oxford Economics'!$A$7:$A$1000,$C47,'Oxford Economics'!$B$7:$B$1000,Settings!$B$13),SUMIFS(INDEX('Oxford Economics'!$A$7:$AZ$1000,0,IFERROR(MATCH(AC$5,'Oxford Economics'!$A$6:$AZ$6,0),MATCH(AC$5&amp;"",'Oxford Economics'!$A$6:$AZ$6,0))),'Oxford Economics'!$A$7:$A$1000,$C47,'Oxford Economics'!$B$7:$B$1000,Settings!$B$13)+SUMIFS(INDEX('Oxford Economics'!$A$7:$AZ$1000,0,IFERROR(MATCH(AC$5,'Oxford Economics'!$A$6:$AZ$6,0),MATCH(AC$5&amp;"",'Oxford Economics'!$A$6:$AZ$6,0))),'Oxford Economics'!$A$7:$A$1000,$C47,'Oxford Economics'!$B$7:$B$1000,Settings!$B$15)+IF(Settings!$B$17="",0,SUMIFS(INDEX('Oxford Economics'!$A$7:$AZ$1000,0,IFERROR(MATCH(AC$5,'Oxford Economics'!$A$6:$AZ$6,0),MATCH(AC$5&amp;"",'Oxford Economics'!$A$6:$AZ$6,0))),'Oxford Economics'!$A$7:$A$1000,$C47,'Oxford Economics'!$B$7:$B$1000,Settings!$B$17)))),""))</f>
        <v/>
      </c>
      <c r="AD47" s="37" t="str">
        <f aca="false">IF($A47="","",IFERROR(1/(1/IF($B47="Residential",SUMIFS(INDEX('Oxford Economics'!$A$7:$AZ$1000,0,IFERROR(MATCH(AD$5,'Oxford Economics'!$A$6:$AZ$6,0),MATCH(AD$5&amp;"",'Oxford Economics'!$A$6:$AZ$6,0))),'Oxford Economics'!$A$7:$A$1000,$C47,'Oxford Economics'!$B$7:$B$1000,Settings!$B$11)-SUMIFS(INDEX('Oxford Economics'!$A$7:$AZ$1000,0,IFERROR(MATCH(AD$5,'Oxford Economics'!$A$6:$AZ$6,0),MATCH(AD$5&amp;"",'Oxford Economics'!$A$6:$AZ$6,0))),'Oxford Economics'!$A$7:$A$1000,$C47,'Oxford Economics'!$B$7:$B$1000,Settings!$B$13),SUMIFS(INDEX('Oxford Economics'!$A$7:$AZ$1000,0,IFERROR(MATCH(AD$5,'Oxford Economics'!$A$6:$AZ$6,0),MATCH(AD$5&amp;"",'Oxford Economics'!$A$6:$AZ$6,0))),'Oxford Economics'!$A$7:$A$1000,$C47,'Oxford Economics'!$B$7:$B$1000,Settings!$B$13)+SUMIFS(INDEX('Oxford Economics'!$A$7:$AZ$1000,0,IFERROR(MATCH(AD$5,'Oxford Economics'!$A$6:$AZ$6,0),MATCH(AD$5&amp;"",'Oxford Economics'!$A$6:$AZ$6,0))),'Oxford Economics'!$A$7:$A$1000,$C47,'Oxford Economics'!$B$7:$B$1000,Settings!$B$15)+IF(Settings!$B$17="",0,SUMIFS(INDEX('Oxford Economics'!$A$7:$AZ$1000,0,IFERROR(MATCH(AD$5,'Oxford Economics'!$A$6:$AZ$6,0),MATCH(AD$5&amp;"",'Oxford Economics'!$A$6:$AZ$6,0))),'Oxford Economics'!$A$7:$A$1000,$C47,'Oxford Economics'!$B$7:$B$1000,Settings!$B$17)))),""))</f>
        <v/>
      </c>
      <c r="AE47" s="37" t="str">
        <f aca="false">IF($A47="","",IFERROR(1/(1/IF($B47="Residential",SUMIFS(INDEX('Oxford Economics'!$A$7:$AZ$1000,0,IFERROR(MATCH(AE$5,'Oxford Economics'!$A$6:$AZ$6,0),MATCH(AE$5&amp;"",'Oxford Economics'!$A$6:$AZ$6,0))),'Oxford Economics'!$A$7:$A$1000,$C47,'Oxford Economics'!$B$7:$B$1000,Settings!$B$11)-SUMIFS(INDEX('Oxford Economics'!$A$7:$AZ$1000,0,IFERROR(MATCH(AE$5,'Oxford Economics'!$A$6:$AZ$6,0),MATCH(AE$5&amp;"",'Oxford Economics'!$A$6:$AZ$6,0))),'Oxford Economics'!$A$7:$A$1000,$C47,'Oxford Economics'!$B$7:$B$1000,Settings!$B$13),SUMIFS(INDEX('Oxford Economics'!$A$7:$AZ$1000,0,IFERROR(MATCH(AE$5,'Oxford Economics'!$A$6:$AZ$6,0),MATCH(AE$5&amp;"",'Oxford Economics'!$A$6:$AZ$6,0))),'Oxford Economics'!$A$7:$A$1000,$C47,'Oxford Economics'!$B$7:$B$1000,Settings!$B$13)+SUMIFS(INDEX('Oxford Economics'!$A$7:$AZ$1000,0,IFERROR(MATCH(AE$5,'Oxford Economics'!$A$6:$AZ$6,0),MATCH(AE$5&amp;"",'Oxford Economics'!$A$6:$AZ$6,0))),'Oxford Economics'!$A$7:$A$1000,$C47,'Oxford Economics'!$B$7:$B$1000,Settings!$B$15)+IF(Settings!$B$17="",0,SUMIFS(INDEX('Oxford Economics'!$A$7:$AZ$1000,0,IFERROR(MATCH(AE$5,'Oxford Economics'!$A$6:$AZ$6,0),MATCH(AE$5&amp;"",'Oxford Economics'!$A$6:$AZ$6,0))),'Oxford Economics'!$A$7:$A$1000,$C47,'Oxford Economics'!$B$7:$B$1000,Settings!$B$17)))),""))</f>
        <v/>
      </c>
      <c r="AF47" s="37" t="str">
        <f aca="false">IF($A47="","",IFERROR(1/(1/IF($B47="Residential",SUMIFS(INDEX('Oxford Economics'!$A$7:$AZ$1000,0,IFERROR(MATCH(AF$5,'Oxford Economics'!$A$6:$AZ$6,0),MATCH(AF$5&amp;"",'Oxford Economics'!$A$6:$AZ$6,0))),'Oxford Economics'!$A$7:$A$1000,$C47,'Oxford Economics'!$B$7:$B$1000,Settings!$B$11)-SUMIFS(INDEX('Oxford Economics'!$A$7:$AZ$1000,0,IFERROR(MATCH(AF$5,'Oxford Economics'!$A$6:$AZ$6,0),MATCH(AF$5&amp;"",'Oxford Economics'!$A$6:$AZ$6,0))),'Oxford Economics'!$A$7:$A$1000,$C47,'Oxford Economics'!$B$7:$B$1000,Settings!$B$13),SUMIFS(INDEX('Oxford Economics'!$A$7:$AZ$1000,0,IFERROR(MATCH(AF$5,'Oxford Economics'!$A$6:$AZ$6,0),MATCH(AF$5&amp;"",'Oxford Economics'!$A$6:$AZ$6,0))),'Oxford Economics'!$A$7:$A$1000,$C47,'Oxford Economics'!$B$7:$B$1000,Settings!$B$13)+SUMIFS(INDEX('Oxford Economics'!$A$7:$AZ$1000,0,IFERROR(MATCH(AF$5,'Oxford Economics'!$A$6:$AZ$6,0),MATCH(AF$5&amp;"",'Oxford Economics'!$A$6:$AZ$6,0))),'Oxford Economics'!$A$7:$A$1000,$C47,'Oxford Economics'!$B$7:$B$1000,Settings!$B$15)+IF(Settings!$B$17="",0,SUMIFS(INDEX('Oxford Economics'!$A$7:$AZ$1000,0,IFERROR(MATCH(AF$5,'Oxford Economics'!$A$6:$AZ$6,0),MATCH(AF$5&amp;"",'Oxford Economics'!$A$6:$AZ$6,0))),'Oxford Economics'!$A$7:$A$1000,$C47,'Oxford Economics'!$B$7:$B$1000,Settings!$B$17)))),""))</f>
        <v/>
      </c>
      <c r="AG47" s="37" t="str">
        <f aca="false">IF($A47="","",IFERROR(1/(1/IF($B47="Residential",SUMIFS(INDEX('Oxford Economics'!$A$7:$AZ$1000,0,IFERROR(MATCH(AG$5,'Oxford Economics'!$A$6:$AZ$6,0),MATCH(AG$5&amp;"",'Oxford Economics'!$A$6:$AZ$6,0))),'Oxford Economics'!$A$7:$A$1000,$C47,'Oxford Economics'!$B$7:$B$1000,Settings!$B$11)-SUMIFS(INDEX('Oxford Economics'!$A$7:$AZ$1000,0,IFERROR(MATCH(AG$5,'Oxford Economics'!$A$6:$AZ$6,0),MATCH(AG$5&amp;"",'Oxford Economics'!$A$6:$AZ$6,0))),'Oxford Economics'!$A$7:$A$1000,$C47,'Oxford Economics'!$B$7:$B$1000,Settings!$B$13),SUMIFS(INDEX('Oxford Economics'!$A$7:$AZ$1000,0,IFERROR(MATCH(AG$5,'Oxford Economics'!$A$6:$AZ$6,0),MATCH(AG$5&amp;"",'Oxford Economics'!$A$6:$AZ$6,0))),'Oxford Economics'!$A$7:$A$1000,$C47,'Oxford Economics'!$B$7:$B$1000,Settings!$B$13)+SUMIFS(INDEX('Oxford Economics'!$A$7:$AZ$1000,0,IFERROR(MATCH(AG$5,'Oxford Economics'!$A$6:$AZ$6,0),MATCH(AG$5&amp;"",'Oxford Economics'!$A$6:$AZ$6,0))),'Oxford Economics'!$A$7:$A$1000,$C47,'Oxford Economics'!$B$7:$B$1000,Settings!$B$15)+IF(Settings!$B$17="",0,SUMIFS(INDEX('Oxford Economics'!$A$7:$AZ$1000,0,IFERROR(MATCH(AG$5,'Oxford Economics'!$A$6:$AZ$6,0),MATCH(AG$5&amp;"",'Oxford Economics'!$A$6:$AZ$6,0))),'Oxford Economics'!$A$7:$A$1000,$C47,'Oxford Economics'!$B$7:$B$1000,Settings!$B$17)))),""))</f>
        <v/>
      </c>
      <c r="AH47" s="37" t="str">
        <f aca="false">IF($A47="","",IFERROR(1/(1/IF($B47="Residential",SUMIFS(INDEX('Oxford Economics'!$A$7:$AZ$1000,0,IFERROR(MATCH(AH$5,'Oxford Economics'!$A$6:$AZ$6,0),MATCH(AH$5&amp;"",'Oxford Economics'!$A$6:$AZ$6,0))),'Oxford Economics'!$A$7:$A$1000,$C47,'Oxford Economics'!$B$7:$B$1000,Settings!$B$11)-SUMIFS(INDEX('Oxford Economics'!$A$7:$AZ$1000,0,IFERROR(MATCH(AH$5,'Oxford Economics'!$A$6:$AZ$6,0),MATCH(AH$5&amp;"",'Oxford Economics'!$A$6:$AZ$6,0))),'Oxford Economics'!$A$7:$A$1000,$C47,'Oxford Economics'!$B$7:$B$1000,Settings!$B$13),SUMIFS(INDEX('Oxford Economics'!$A$7:$AZ$1000,0,IFERROR(MATCH(AH$5,'Oxford Economics'!$A$6:$AZ$6,0),MATCH(AH$5&amp;"",'Oxford Economics'!$A$6:$AZ$6,0))),'Oxford Economics'!$A$7:$A$1000,$C47,'Oxford Economics'!$B$7:$B$1000,Settings!$B$13)+SUMIFS(INDEX('Oxford Economics'!$A$7:$AZ$1000,0,IFERROR(MATCH(AH$5,'Oxford Economics'!$A$6:$AZ$6,0),MATCH(AH$5&amp;"",'Oxford Economics'!$A$6:$AZ$6,0))),'Oxford Economics'!$A$7:$A$1000,$C47,'Oxford Economics'!$B$7:$B$1000,Settings!$B$15)+IF(Settings!$B$17="",0,SUMIFS(INDEX('Oxford Economics'!$A$7:$AZ$1000,0,IFERROR(MATCH(AH$5,'Oxford Economics'!$A$6:$AZ$6,0),MATCH(AH$5&amp;"",'Oxford Economics'!$A$6:$AZ$6,0))),'Oxford Economics'!$A$7:$A$1000,$C47,'Oxford Economics'!$B$7:$B$1000,Settings!$B$17)))),""))</f>
        <v/>
      </c>
      <c r="AI47" s="37" t="str">
        <f aca="false">IF($A47="","",IFERROR(1/(1/IF($B47="Residential",SUMIFS(INDEX('Oxford Economics'!$A$7:$AZ$1000,0,IFERROR(MATCH(AI$5,'Oxford Economics'!$A$6:$AZ$6,0),MATCH(AI$5&amp;"",'Oxford Economics'!$A$6:$AZ$6,0))),'Oxford Economics'!$A$7:$A$1000,$C47,'Oxford Economics'!$B$7:$B$1000,Settings!$B$11)-SUMIFS(INDEX('Oxford Economics'!$A$7:$AZ$1000,0,IFERROR(MATCH(AI$5,'Oxford Economics'!$A$6:$AZ$6,0),MATCH(AI$5&amp;"",'Oxford Economics'!$A$6:$AZ$6,0))),'Oxford Economics'!$A$7:$A$1000,$C47,'Oxford Economics'!$B$7:$B$1000,Settings!$B$13),SUMIFS(INDEX('Oxford Economics'!$A$7:$AZ$1000,0,IFERROR(MATCH(AI$5,'Oxford Economics'!$A$6:$AZ$6,0),MATCH(AI$5&amp;"",'Oxford Economics'!$A$6:$AZ$6,0))),'Oxford Economics'!$A$7:$A$1000,$C47,'Oxford Economics'!$B$7:$B$1000,Settings!$B$13)+SUMIFS(INDEX('Oxford Economics'!$A$7:$AZ$1000,0,IFERROR(MATCH(AI$5,'Oxford Economics'!$A$6:$AZ$6,0),MATCH(AI$5&amp;"",'Oxford Economics'!$A$6:$AZ$6,0))),'Oxford Economics'!$A$7:$A$1000,$C47,'Oxford Economics'!$B$7:$B$1000,Settings!$B$15)+IF(Settings!$B$17="",0,SUMIFS(INDEX('Oxford Economics'!$A$7:$AZ$1000,0,IFERROR(MATCH(AI$5,'Oxford Economics'!$A$6:$AZ$6,0),MATCH(AI$5&amp;"",'Oxford Economics'!$A$6:$AZ$6,0))),'Oxford Economics'!$A$7:$A$1000,$C47,'Oxford Economics'!$B$7:$B$1000,Settings!$B$17)))),""))</f>
        <v/>
      </c>
      <c r="AJ47" s="37" t="str">
        <f aca="false">IF($A47="","",IFERROR(1/(1/IF($B47="Residential",SUMIFS(INDEX('Oxford Economics'!$A$7:$AZ$1000,0,IFERROR(MATCH(AJ$5,'Oxford Economics'!$A$6:$AZ$6,0),MATCH(AJ$5&amp;"",'Oxford Economics'!$A$6:$AZ$6,0))),'Oxford Economics'!$A$7:$A$1000,$C47,'Oxford Economics'!$B$7:$B$1000,Settings!$B$11)-SUMIFS(INDEX('Oxford Economics'!$A$7:$AZ$1000,0,IFERROR(MATCH(AJ$5,'Oxford Economics'!$A$6:$AZ$6,0),MATCH(AJ$5&amp;"",'Oxford Economics'!$A$6:$AZ$6,0))),'Oxford Economics'!$A$7:$A$1000,$C47,'Oxford Economics'!$B$7:$B$1000,Settings!$B$13),SUMIFS(INDEX('Oxford Economics'!$A$7:$AZ$1000,0,IFERROR(MATCH(AJ$5,'Oxford Economics'!$A$6:$AZ$6,0),MATCH(AJ$5&amp;"",'Oxford Economics'!$A$6:$AZ$6,0))),'Oxford Economics'!$A$7:$A$1000,$C47,'Oxford Economics'!$B$7:$B$1000,Settings!$B$13)+SUMIFS(INDEX('Oxford Economics'!$A$7:$AZ$1000,0,IFERROR(MATCH(AJ$5,'Oxford Economics'!$A$6:$AZ$6,0),MATCH(AJ$5&amp;"",'Oxford Economics'!$A$6:$AZ$6,0))),'Oxford Economics'!$A$7:$A$1000,$C47,'Oxford Economics'!$B$7:$B$1000,Settings!$B$15)+IF(Settings!$B$17="",0,SUMIFS(INDEX('Oxford Economics'!$A$7:$AZ$1000,0,IFERROR(MATCH(AJ$5,'Oxford Economics'!$A$6:$AZ$6,0),MATCH(AJ$5&amp;"",'Oxford Economics'!$A$6:$AZ$6,0))),'Oxford Economics'!$A$7:$A$1000,$C47,'Oxford Economics'!$B$7:$B$1000,Settings!$B$17)))),""))</f>
        <v/>
      </c>
      <c r="AK47" s="37" t="str">
        <f aca="false">IF($A47="","",IFERROR(1/(1/IF($B47="Residential",SUMIFS(INDEX('Oxford Economics'!$A$7:$AZ$1000,0,IFERROR(MATCH(AK$5,'Oxford Economics'!$A$6:$AZ$6,0),MATCH(AK$5&amp;"",'Oxford Economics'!$A$6:$AZ$6,0))),'Oxford Economics'!$A$7:$A$1000,$C47,'Oxford Economics'!$B$7:$B$1000,Settings!$B$11)-SUMIFS(INDEX('Oxford Economics'!$A$7:$AZ$1000,0,IFERROR(MATCH(AK$5,'Oxford Economics'!$A$6:$AZ$6,0),MATCH(AK$5&amp;"",'Oxford Economics'!$A$6:$AZ$6,0))),'Oxford Economics'!$A$7:$A$1000,$C47,'Oxford Economics'!$B$7:$B$1000,Settings!$B$13),SUMIFS(INDEX('Oxford Economics'!$A$7:$AZ$1000,0,IFERROR(MATCH(AK$5,'Oxford Economics'!$A$6:$AZ$6,0),MATCH(AK$5&amp;"",'Oxford Economics'!$A$6:$AZ$6,0))),'Oxford Economics'!$A$7:$A$1000,$C47,'Oxford Economics'!$B$7:$B$1000,Settings!$B$13)+SUMIFS(INDEX('Oxford Economics'!$A$7:$AZ$1000,0,IFERROR(MATCH(AK$5,'Oxford Economics'!$A$6:$AZ$6,0),MATCH(AK$5&amp;"",'Oxford Economics'!$A$6:$AZ$6,0))),'Oxford Economics'!$A$7:$A$1000,$C47,'Oxford Economics'!$B$7:$B$1000,Settings!$B$15)+IF(Settings!$B$17="",0,SUMIFS(INDEX('Oxford Economics'!$A$7:$AZ$1000,0,IFERROR(MATCH(AK$5,'Oxford Economics'!$A$6:$AZ$6,0),MATCH(AK$5&amp;"",'Oxford Economics'!$A$6:$AZ$6,0))),'Oxford Economics'!$A$7:$A$1000,$C47,'Oxford Economics'!$B$7:$B$1000,Settings!$B$17)))),""))</f>
        <v/>
      </c>
      <c r="AL47" s="37" t="str">
        <f aca="false">IF($A47="","",IFERROR(1/(1/IF($B47="Residential",SUMIFS(INDEX('Oxford Economics'!$A$7:$AZ$1000,0,IFERROR(MATCH(AL$5,'Oxford Economics'!$A$6:$AZ$6,0),MATCH(AL$5&amp;"",'Oxford Economics'!$A$6:$AZ$6,0))),'Oxford Economics'!$A$7:$A$1000,$C47,'Oxford Economics'!$B$7:$B$1000,Settings!$B$11)-SUMIFS(INDEX('Oxford Economics'!$A$7:$AZ$1000,0,IFERROR(MATCH(AL$5,'Oxford Economics'!$A$6:$AZ$6,0),MATCH(AL$5&amp;"",'Oxford Economics'!$A$6:$AZ$6,0))),'Oxford Economics'!$A$7:$A$1000,$C47,'Oxford Economics'!$B$7:$B$1000,Settings!$B$13),SUMIFS(INDEX('Oxford Economics'!$A$7:$AZ$1000,0,IFERROR(MATCH(AL$5,'Oxford Economics'!$A$6:$AZ$6,0),MATCH(AL$5&amp;"",'Oxford Economics'!$A$6:$AZ$6,0))),'Oxford Economics'!$A$7:$A$1000,$C47,'Oxford Economics'!$B$7:$B$1000,Settings!$B$13)+SUMIFS(INDEX('Oxford Economics'!$A$7:$AZ$1000,0,IFERROR(MATCH(AL$5,'Oxford Economics'!$A$6:$AZ$6,0),MATCH(AL$5&amp;"",'Oxford Economics'!$A$6:$AZ$6,0))),'Oxford Economics'!$A$7:$A$1000,$C47,'Oxford Economics'!$B$7:$B$1000,Settings!$B$15)+IF(Settings!$B$17="",0,SUMIFS(INDEX('Oxford Economics'!$A$7:$AZ$1000,0,IFERROR(MATCH(AL$5,'Oxford Economics'!$A$6:$AZ$6,0),MATCH(AL$5&amp;"",'Oxford Economics'!$A$6:$AZ$6,0))),'Oxford Economics'!$A$7:$A$1000,$C47,'Oxford Economics'!$B$7:$B$1000,Settings!$B$17)))),""))</f>
        <v/>
      </c>
      <c r="AM47" s="37" t="str">
        <f aca="false">IF($A47="","",IFERROR(1/(1/IF($B47="Residential",SUMIFS(INDEX('Oxford Economics'!$A$7:$AZ$1000,0,IFERROR(MATCH(AM$5,'Oxford Economics'!$A$6:$AZ$6,0),MATCH(AM$5&amp;"",'Oxford Economics'!$A$6:$AZ$6,0))),'Oxford Economics'!$A$7:$A$1000,$C47,'Oxford Economics'!$B$7:$B$1000,Settings!$B$11)-SUMIFS(INDEX('Oxford Economics'!$A$7:$AZ$1000,0,IFERROR(MATCH(AM$5,'Oxford Economics'!$A$6:$AZ$6,0),MATCH(AM$5&amp;"",'Oxford Economics'!$A$6:$AZ$6,0))),'Oxford Economics'!$A$7:$A$1000,$C47,'Oxford Economics'!$B$7:$B$1000,Settings!$B$13),SUMIFS(INDEX('Oxford Economics'!$A$7:$AZ$1000,0,IFERROR(MATCH(AM$5,'Oxford Economics'!$A$6:$AZ$6,0),MATCH(AM$5&amp;"",'Oxford Economics'!$A$6:$AZ$6,0))),'Oxford Economics'!$A$7:$A$1000,$C47,'Oxford Economics'!$B$7:$B$1000,Settings!$B$13)+SUMIFS(INDEX('Oxford Economics'!$A$7:$AZ$1000,0,IFERROR(MATCH(AM$5,'Oxford Economics'!$A$6:$AZ$6,0),MATCH(AM$5&amp;"",'Oxford Economics'!$A$6:$AZ$6,0))),'Oxford Economics'!$A$7:$A$1000,$C47,'Oxford Economics'!$B$7:$B$1000,Settings!$B$15)+IF(Settings!$B$17="",0,SUMIFS(INDEX('Oxford Economics'!$A$7:$AZ$1000,0,IFERROR(MATCH(AM$5,'Oxford Economics'!$A$6:$AZ$6,0),MATCH(AM$5&amp;"",'Oxford Economics'!$A$6:$AZ$6,0))),'Oxford Economics'!$A$7:$A$1000,$C47,'Oxford Economics'!$B$7:$B$1000,Settings!$B$17)))),""))</f>
        <v/>
      </c>
    </row>
    <row r="48" customFormat="false" ht="15" hidden="false" customHeight="false" outlineLevel="0" collapsed="false">
      <c r="A48" s="36" t="str">
        <f aca="false">IF('Raw data'!$A48="","",'Raw data'!$A48)</f>
        <v/>
      </c>
      <c r="B48" s="36" t="str">
        <f aca="false">IF($A48="","",'Raw data'!$C48)</f>
        <v/>
      </c>
      <c r="C48" s="36" t="str">
        <f aca="false">IF($A48="","",IF('Raw data'!$D48="",$A48,'Raw data'!$D48))</f>
        <v/>
      </c>
      <c r="D48" s="37" t="str">
        <f aca="false">IF($A48="","",IF(AND(ISNUMBER(P48),ISNUMBER(AB48)),P48+AB48,""))</f>
        <v/>
      </c>
      <c r="E48" s="37" t="str">
        <f aca="false">IF($A48="","",IF(AND(ISNUMBER(Q48),ISNUMBER(AC48)),Q48+AC48,""))</f>
        <v/>
      </c>
      <c r="F48" s="37" t="str">
        <f aca="false">IF($A48="","",IF(AND(ISNUMBER(R48),ISNUMBER(AD48)),R48+AD48,""))</f>
        <v/>
      </c>
      <c r="G48" s="37" t="str">
        <f aca="false">IF($A48="","",IF(AND(ISNUMBER(S48),ISNUMBER(AE48)),S48+AE48,""))</f>
        <v/>
      </c>
      <c r="H48" s="37" t="str">
        <f aca="false">IF($A48="","",IF(AND(ISNUMBER(T48),ISNUMBER(AF48)),T48+AF48,""))</f>
        <v/>
      </c>
      <c r="I48" s="37" t="str">
        <f aca="false">IF($A48="","",IF(AND(ISNUMBER(U48),ISNUMBER(AG48)),U48+AG48,""))</f>
        <v/>
      </c>
      <c r="J48" s="37" t="str">
        <f aca="false">IF($A48="","",IF(AND(ISNUMBER(V48),ISNUMBER(AH48)),V48+AH48,""))</f>
        <v/>
      </c>
      <c r="K48" s="37" t="str">
        <f aca="false">IF($A48="","",IF(AND(ISNUMBER(W48),ISNUMBER(AI48)),W48+AI48,""))</f>
        <v/>
      </c>
      <c r="L48" s="37" t="str">
        <f aca="false">IF($A48="","",IF(AND(ISNUMBER(X48),ISNUMBER(AJ48)),X48+AJ48,""))</f>
        <v/>
      </c>
      <c r="M48" s="37" t="str">
        <f aca="false">IF($A48="","",IF(AND(ISNUMBER(Y48),ISNUMBER(AK48)),Y48+AK48,""))</f>
        <v/>
      </c>
      <c r="N48" s="37" t="str">
        <f aca="false">IF($A48="","",IF(AND(ISNUMBER(Z48),ISNUMBER(AL48)),Z48+AL48,""))</f>
        <v/>
      </c>
      <c r="O48" s="37" t="str">
        <f aca="false">IF($A48="","",IF(AND(ISNUMBER(AA48),ISNUMBER(AM48)),AA48+AM48,""))</f>
        <v/>
      </c>
      <c r="P48" s="37" t="str">
        <f aca="false">IF($A48="","",IFERROR(1/(1/IF($B48="Residential",SUMIFS(INDEX('Oxford Economics'!$A$7:$AZ$1000,0,IFERROR(MATCH(P$5,'Oxford Economics'!$A$6:$AZ$6,0),MATCH(P$5&amp;"",'Oxford Economics'!$A$6:$AZ$6,0))),'Oxford Economics'!$A$7:$A$1000,$C48,'Oxford Economics'!$B$7:$B$1000,Settings!$B$12)-SUMIFS(INDEX('Oxford Economics'!$A$7:$AZ$1000,0,IFERROR(MATCH(P$5,'Oxford Economics'!$A$6:$AZ$6,0),MATCH(P$5&amp;"",'Oxford Economics'!$A$6:$AZ$6,0))),'Oxford Economics'!$A$7:$A$1000,$C48,'Oxford Economics'!$B$7:$B$1000,Settings!$B$14),SUMIFS(INDEX('Oxford Economics'!$A$7:$AZ$1000,0,IFERROR(MATCH(P$5,'Oxford Economics'!$A$6:$AZ$6,0),MATCH(P$5&amp;"",'Oxford Economics'!$A$6:$AZ$6,0))),'Oxford Economics'!$A$7:$A$1000,$C48,'Oxford Economics'!$B$7:$B$1000,Settings!$B$14)+SUMIFS(INDEX('Oxford Economics'!$A$7:$AZ$1000,0,IFERROR(MATCH(P$5,'Oxford Economics'!$A$6:$AZ$6,0),MATCH(P$5&amp;"",'Oxford Economics'!$A$6:$AZ$6,0))),'Oxford Economics'!$A$7:$A$1000,$C48,'Oxford Economics'!$B$7:$B$1000,Settings!$B$16)+IF(Settings!$B$18="",0,SUMIFS(INDEX('Oxford Economics'!$A$7:$AZ$1000,0,IFERROR(MATCH(P$5,'Oxford Economics'!$A$6:$AZ$6,0),MATCH(P$5&amp;"",'Oxford Economics'!$A$6:$AZ$6,0))),'Oxford Economics'!$A$7:$A$1000,$C48,'Oxford Economics'!$B$7:$B$1000,Settings!$B$18)))),""))</f>
        <v/>
      </c>
      <c r="Q48" s="37" t="str">
        <f aca="false">IF($A48="","",IFERROR(1/(1/IF($B48="Residential",SUMIFS(INDEX('Oxford Economics'!$A$7:$AZ$1000,0,IFERROR(MATCH(Q$5,'Oxford Economics'!$A$6:$AZ$6,0),MATCH(Q$5&amp;"",'Oxford Economics'!$A$6:$AZ$6,0))),'Oxford Economics'!$A$7:$A$1000,$C48,'Oxford Economics'!$B$7:$B$1000,Settings!$B$12)-SUMIFS(INDEX('Oxford Economics'!$A$7:$AZ$1000,0,IFERROR(MATCH(Q$5,'Oxford Economics'!$A$6:$AZ$6,0),MATCH(Q$5&amp;"",'Oxford Economics'!$A$6:$AZ$6,0))),'Oxford Economics'!$A$7:$A$1000,$C48,'Oxford Economics'!$B$7:$B$1000,Settings!$B$14),SUMIFS(INDEX('Oxford Economics'!$A$7:$AZ$1000,0,IFERROR(MATCH(Q$5,'Oxford Economics'!$A$6:$AZ$6,0),MATCH(Q$5&amp;"",'Oxford Economics'!$A$6:$AZ$6,0))),'Oxford Economics'!$A$7:$A$1000,$C48,'Oxford Economics'!$B$7:$B$1000,Settings!$B$14)+SUMIFS(INDEX('Oxford Economics'!$A$7:$AZ$1000,0,IFERROR(MATCH(Q$5,'Oxford Economics'!$A$6:$AZ$6,0),MATCH(Q$5&amp;"",'Oxford Economics'!$A$6:$AZ$6,0))),'Oxford Economics'!$A$7:$A$1000,$C48,'Oxford Economics'!$B$7:$B$1000,Settings!$B$16)+IF(Settings!$B$18="",0,SUMIFS(INDEX('Oxford Economics'!$A$7:$AZ$1000,0,IFERROR(MATCH(Q$5,'Oxford Economics'!$A$6:$AZ$6,0),MATCH(Q$5&amp;"",'Oxford Economics'!$A$6:$AZ$6,0))),'Oxford Economics'!$A$7:$A$1000,$C48,'Oxford Economics'!$B$7:$B$1000,Settings!$B$18)))),""))</f>
        <v/>
      </c>
      <c r="R48" s="37" t="str">
        <f aca="false">IF($A48="","",IFERROR(1/(1/IF($B48="Residential",SUMIFS(INDEX('Oxford Economics'!$A$7:$AZ$1000,0,IFERROR(MATCH(R$5,'Oxford Economics'!$A$6:$AZ$6,0),MATCH(R$5&amp;"",'Oxford Economics'!$A$6:$AZ$6,0))),'Oxford Economics'!$A$7:$A$1000,$C48,'Oxford Economics'!$B$7:$B$1000,Settings!$B$12)-SUMIFS(INDEX('Oxford Economics'!$A$7:$AZ$1000,0,IFERROR(MATCH(R$5,'Oxford Economics'!$A$6:$AZ$6,0),MATCH(R$5&amp;"",'Oxford Economics'!$A$6:$AZ$6,0))),'Oxford Economics'!$A$7:$A$1000,$C48,'Oxford Economics'!$B$7:$B$1000,Settings!$B$14),SUMIFS(INDEX('Oxford Economics'!$A$7:$AZ$1000,0,IFERROR(MATCH(R$5,'Oxford Economics'!$A$6:$AZ$6,0),MATCH(R$5&amp;"",'Oxford Economics'!$A$6:$AZ$6,0))),'Oxford Economics'!$A$7:$A$1000,$C48,'Oxford Economics'!$B$7:$B$1000,Settings!$B$14)+SUMIFS(INDEX('Oxford Economics'!$A$7:$AZ$1000,0,IFERROR(MATCH(R$5,'Oxford Economics'!$A$6:$AZ$6,0),MATCH(R$5&amp;"",'Oxford Economics'!$A$6:$AZ$6,0))),'Oxford Economics'!$A$7:$A$1000,$C48,'Oxford Economics'!$B$7:$B$1000,Settings!$B$16)+IF(Settings!$B$18="",0,SUMIFS(INDEX('Oxford Economics'!$A$7:$AZ$1000,0,IFERROR(MATCH(R$5,'Oxford Economics'!$A$6:$AZ$6,0),MATCH(R$5&amp;"",'Oxford Economics'!$A$6:$AZ$6,0))),'Oxford Economics'!$A$7:$A$1000,$C48,'Oxford Economics'!$B$7:$B$1000,Settings!$B$18)))),""))</f>
        <v/>
      </c>
      <c r="S48" s="37" t="str">
        <f aca="false">IF($A48="","",IFERROR(1/(1/IF($B48="Residential",SUMIFS(INDEX('Oxford Economics'!$A$7:$AZ$1000,0,IFERROR(MATCH(S$5,'Oxford Economics'!$A$6:$AZ$6,0),MATCH(S$5&amp;"",'Oxford Economics'!$A$6:$AZ$6,0))),'Oxford Economics'!$A$7:$A$1000,$C48,'Oxford Economics'!$B$7:$B$1000,Settings!$B$12)-SUMIFS(INDEX('Oxford Economics'!$A$7:$AZ$1000,0,IFERROR(MATCH(S$5,'Oxford Economics'!$A$6:$AZ$6,0),MATCH(S$5&amp;"",'Oxford Economics'!$A$6:$AZ$6,0))),'Oxford Economics'!$A$7:$A$1000,$C48,'Oxford Economics'!$B$7:$B$1000,Settings!$B$14),SUMIFS(INDEX('Oxford Economics'!$A$7:$AZ$1000,0,IFERROR(MATCH(S$5,'Oxford Economics'!$A$6:$AZ$6,0),MATCH(S$5&amp;"",'Oxford Economics'!$A$6:$AZ$6,0))),'Oxford Economics'!$A$7:$A$1000,$C48,'Oxford Economics'!$B$7:$B$1000,Settings!$B$14)+SUMIFS(INDEX('Oxford Economics'!$A$7:$AZ$1000,0,IFERROR(MATCH(S$5,'Oxford Economics'!$A$6:$AZ$6,0),MATCH(S$5&amp;"",'Oxford Economics'!$A$6:$AZ$6,0))),'Oxford Economics'!$A$7:$A$1000,$C48,'Oxford Economics'!$B$7:$B$1000,Settings!$B$16)+IF(Settings!$B$18="",0,SUMIFS(INDEX('Oxford Economics'!$A$7:$AZ$1000,0,IFERROR(MATCH(S$5,'Oxford Economics'!$A$6:$AZ$6,0),MATCH(S$5&amp;"",'Oxford Economics'!$A$6:$AZ$6,0))),'Oxford Economics'!$A$7:$A$1000,$C48,'Oxford Economics'!$B$7:$B$1000,Settings!$B$18)))),""))</f>
        <v/>
      </c>
      <c r="T48" s="37" t="str">
        <f aca="false">IF($A48="","",IFERROR(1/(1/IF($B48="Residential",SUMIFS(INDEX('Oxford Economics'!$A$7:$AZ$1000,0,IFERROR(MATCH(T$5,'Oxford Economics'!$A$6:$AZ$6,0),MATCH(T$5&amp;"",'Oxford Economics'!$A$6:$AZ$6,0))),'Oxford Economics'!$A$7:$A$1000,$C48,'Oxford Economics'!$B$7:$B$1000,Settings!$B$12)-SUMIFS(INDEX('Oxford Economics'!$A$7:$AZ$1000,0,IFERROR(MATCH(T$5,'Oxford Economics'!$A$6:$AZ$6,0),MATCH(T$5&amp;"",'Oxford Economics'!$A$6:$AZ$6,0))),'Oxford Economics'!$A$7:$A$1000,$C48,'Oxford Economics'!$B$7:$B$1000,Settings!$B$14),SUMIFS(INDEX('Oxford Economics'!$A$7:$AZ$1000,0,IFERROR(MATCH(T$5,'Oxford Economics'!$A$6:$AZ$6,0),MATCH(T$5&amp;"",'Oxford Economics'!$A$6:$AZ$6,0))),'Oxford Economics'!$A$7:$A$1000,$C48,'Oxford Economics'!$B$7:$B$1000,Settings!$B$14)+SUMIFS(INDEX('Oxford Economics'!$A$7:$AZ$1000,0,IFERROR(MATCH(T$5,'Oxford Economics'!$A$6:$AZ$6,0),MATCH(T$5&amp;"",'Oxford Economics'!$A$6:$AZ$6,0))),'Oxford Economics'!$A$7:$A$1000,$C48,'Oxford Economics'!$B$7:$B$1000,Settings!$B$16)+IF(Settings!$B$18="",0,SUMIFS(INDEX('Oxford Economics'!$A$7:$AZ$1000,0,IFERROR(MATCH(T$5,'Oxford Economics'!$A$6:$AZ$6,0),MATCH(T$5&amp;"",'Oxford Economics'!$A$6:$AZ$6,0))),'Oxford Economics'!$A$7:$A$1000,$C48,'Oxford Economics'!$B$7:$B$1000,Settings!$B$18)))),""))</f>
        <v/>
      </c>
      <c r="U48" s="37" t="str">
        <f aca="false">IF($A48="","",IFERROR(1/(1/IF($B48="Residential",SUMIFS(INDEX('Oxford Economics'!$A$7:$AZ$1000,0,IFERROR(MATCH(U$5,'Oxford Economics'!$A$6:$AZ$6,0),MATCH(U$5&amp;"",'Oxford Economics'!$A$6:$AZ$6,0))),'Oxford Economics'!$A$7:$A$1000,$C48,'Oxford Economics'!$B$7:$B$1000,Settings!$B$12)-SUMIFS(INDEX('Oxford Economics'!$A$7:$AZ$1000,0,IFERROR(MATCH(U$5,'Oxford Economics'!$A$6:$AZ$6,0),MATCH(U$5&amp;"",'Oxford Economics'!$A$6:$AZ$6,0))),'Oxford Economics'!$A$7:$A$1000,$C48,'Oxford Economics'!$B$7:$B$1000,Settings!$B$14),SUMIFS(INDEX('Oxford Economics'!$A$7:$AZ$1000,0,IFERROR(MATCH(U$5,'Oxford Economics'!$A$6:$AZ$6,0),MATCH(U$5&amp;"",'Oxford Economics'!$A$6:$AZ$6,0))),'Oxford Economics'!$A$7:$A$1000,$C48,'Oxford Economics'!$B$7:$B$1000,Settings!$B$14)+SUMIFS(INDEX('Oxford Economics'!$A$7:$AZ$1000,0,IFERROR(MATCH(U$5,'Oxford Economics'!$A$6:$AZ$6,0),MATCH(U$5&amp;"",'Oxford Economics'!$A$6:$AZ$6,0))),'Oxford Economics'!$A$7:$A$1000,$C48,'Oxford Economics'!$B$7:$B$1000,Settings!$B$16)+IF(Settings!$B$18="",0,SUMIFS(INDEX('Oxford Economics'!$A$7:$AZ$1000,0,IFERROR(MATCH(U$5,'Oxford Economics'!$A$6:$AZ$6,0),MATCH(U$5&amp;"",'Oxford Economics'!$A$6:$AZ$6,0))),'Oxford Economics'!$A$7:$A$1000,$C48,'Oxford Economics'!$B$7:$B$1000,Settings!$B$18)))),""))</f>
        <v/>
      </c>
      <c r="V48" s="37" t="str">
        <f aca="false">IF($A48="","",IFERROR(1/(1/IF($B48="Residential",SUMIFS(INDEX('Oxford Economics'!$A$7:$AZ$1000,0,IFERROR(MATCH(V$5,'Oxford Economics'!$A$6:$AZ$6,0),MATCH(V$5&amp;"",'Oxford Economics'!$A$6:$AZ$6,0))),'Oxford Economics'!$A$7:$A$1000,$C48,'Oxford Economics'!$B$7:$B$1000,Settings!$B$12)-SUMIFS(INDEX('Oxford Economics'!$A$7:$AZ$1000,0,IFERROR(MATCH(V$5,'Oxford Economics'!$A$6:$AZ$6,0),MATCH(V$5&amp;"",'Oxford Economics'!$A$6:$AZ$6,0))),'Oxford Economics'!$A$7:$A$1000,$C48,'Oxford Economics'!$B$7:$B$1000,Settings!$B$14),SUMIFS(INDEX('Oxford Economics'!$A$7:$AZ$1000,0,IFERROR(MATCH(V$5,'Oxford Economics'!$A$6:$AZ$6,0),MATCH(V$5&amp;"",'Oxford Economics'!$A$6:$AZ$6,0))),'Oxford Economics'!$A$7:$A$1000,$C48,'Oxford Economics'!$B$7:$B$1000,Settings!$B$14)+SUMIFS(INDEX('Oxford Economics'!$A$7:$AZ$1000,0,IFERROR(MATCH(V$5,'Oxford Economics'!$A$6:$AZ$6,0),MATCH(V$5&amp;"",'Oxford Economics'!$A$6:$AZ$6,0))),'Oxford Economics'!$A$7:$A$1000,$C48,'Oxford Economics'!$B$7:$B$1000,Settings!$B$16)+IF(Settings!$B$18="",0,SUMIFS(INDEX('Oxford Economics'!$A$7:$AZ$1000,0,IFERROR(MATCH(V$5,'Oxford Economics'!$A$6:$AZ$6,0),MATCH(V$5&amp;"",'Oxford Economics'!$A$6:$AZ$6,0))),'Oxford Economics'!$A$7:$A$1000,$C48,'Oxford Economics'!$B$7:$B$1000,Settings!$B$18)))),""))</f>
        <v/>
      </c>
      <c r="W48" s="37" t="str">
        <f aca="false">IF($A48="","",IFERROR(1/(1/IF($B48="Residential",SUMIFS(INDEX('Oxford Economics'!$A$7:$AZ$1000,0,IFERROR(MATCH(W$5,'Oxford Economics'!$A$6:$AZ$6,0),MATCH(W$5&amp;"",'Oxford Economics'!$A$6:$AZ$6,0))),'Oxford Economics'!$A$7:$A$1000,$C48,'Oxford Economics'!$B$7:$B$1000,Settings!$B$12)-SUMIFS(INDEX('Oxford Economics'!$A$7:$AZ$1000,0,IFERROR(MATCH(W$5,'Oxford Economics'!$A$6:$AZ$6,0),MATCH(W$5&amp;"",'Oxford Economics'!$A$6:$AZ$6,0))),'Oxford Economics'!$A$7:$A$1000,$C48,'Oxford Economics'!$B$7:$B$1000,Settings!$B$14),SUMIFS(INDEX('Oxford Economics'!$A$7:$AZ$1000,0,IFERROR(MATCH(W$5,'Oxford Economics'!$A$6:$AZ$6,0),MATCH(W$5&amp;"",'Oxford Economics'!$A$6:$AZ$6,0))),'Oxford Economics'!$A$7:$A$1000,$C48,'Oxford Economics'!$B$7:$B$1000,Settings!$B$14)+SUMIFS(INDEX('Oxford Economics'!$A$7:$AZ$1000,0,IFERROR(MATCH(W$5,'Oxford Economics'!$A$6:$AZ$6,0),MATCH(W$5&amp;"",'Oxford Economics'!$A$6:$AZ$6,0))),'Oxford Economics'!$A$7:$A$1000,$C48,'Oxford Economics'!$B$7:$B$1000,Settings!$B$16)+IF(Settings!$B$18="",0,SUMIFS(INDEX('Oxford Economics'!$A$7:$AZ$1000,0,IFERROR(MATCH(W$5,'Oxford Economics'!$A$6:$AZ$6,0),MATCH(W$5&amp;"",'Oxford Economics'!$A$6:$AZ$6,0))),'Oxford Economics'!$A$7:$A$1000,$C48,'Oxford Economics'!$B$7:$B$1000,Settings!$B$18)))),""))</f>
        <v/>
      </c>
      <c r="X48" s="37" t="str">
        <f aca="false">IF($A48="","",IFERROR(1/(1/IF($B48="Residential",SUMIFS(INDEX('Oxford Economics'!$A$7:$AZ$1000,0,IFERROR(MATCH(X$5,'Oxford Economics'!$A$6:$AZ$6,0),MATCH(X$5&amp;"",'Oxford Economics'!$A$6:$AZ$6,0))),'Oxford Economics'!$A$7:$A$1000,$C48,'Oxford Economics'!$B$7:$B$1000,Settings!$B$12)-SUMIFS(INDEX('Oxford Economics'!$A$7:$AZ$1000,0,IFERROR(MATCH(X$5,'Oxford Economics'!$A$6:$AZ$6,0),MATCH(X$5&amp;"",'Oxford Economics'!$A$6:$AZ$6,0))),'Oxford Economics'!$A$7:$A$1000,$C48,'Oxford Economics'!$B$7:$B$1000,Settings!$B$14),SUMIFS(INDEX('Oxford Economics'!$A$7:$AZ$1000,0,IFERROR(MATCH(X$5,'Oxford Economics'!$A$6:$AZ$6,0),MATCH(X$5&amp;"",'Oxford Economics'!$A$6:$AZ$6,0))),'Oxford Economics'!$A$7:$A$1000,$C48,'Oxford Economics'!$B$7:$B$1000,Settings!$B$14)+SUMIFS(INDEX('Oxford Economics'!$A$7:$AZ$1000,0,IFERROR(MATCH(X$5,'Oxford Economics'!$A$6:$AZ$6,0),MATCH(X$5&amp;"",'Oxford Economics'!$A$6:$AZ$6,0))),'Oxford Economics'!$A$7:$A$1000,$C48,'Oxford Economics'!$B$7:$B$1000,Settings!$B$16)+IF(Settings!$B$18="",0,SUMIFS(INDEX('Oxford Economics'!$A$7:$AZ$1000,0,IFERROR(MATCH(X$5,'Oxford Economics'!$A$6:$AZ$6,0),MATCH(X$5&amp;"",'Oxford Economics'!$A$6:$AZ$6,0))),'Oxford Economics'!$A$7:$A$1000,$C48,'Oxford Economics'!$B$7:$B$1000,Settings!$B$18)))),""))</f>
        <v/>
      </c>
      <c r="Y48" s="37" t="str">
        <f aca="false">IF($A48="","",IFERROR(1/(1/IF($B48="Residential",SUMIFS(INDEX('Oxford Economics'!$A$7:$AZ$1000,0,IFERROR(MATCH(Y$5,'Oxford Economics'!$A$6:$AZ$6,0),MATCH(Y$5&amp;"",'Oxford Economics'!$A$6:$AZ$6,0))),'Oxford Economics'!$A$7:$A$1000,$C48,'Oxford Economics'!$B$7:$B$1000,Settings!$B$12)-SUMIFS(INDEX('Oxford Economics'!$A$7:$AZ$1000,0,IFERROR(MATCH(Y$5,'Oxford Economics'!$A$6:$AZ$6,0),MATCH(Y$5&amp;"",'Oxford Economics'!$A$6:$AZ$6,0))),'Oxford Economics'!$A$7:$A$1000,$C48,'Oxford Economics'!$B$7:$B$1000,Settings!$B$14),SUMIFS(INDEX('Oxford Economics'!$A$7:$AZ$1000,0,IFERROR(MATCH(Y$5,'Oxford Economics'!$A$6:$AZ$6,0),MATCH(Y$5&amp;"",'Oxford Economics'!$A$6:$AZ$6,0))),'Oxford Economics'!$A$7:$A$1000,$C48,'Oxford Economics'!$B$7:$B$1000,Settings!$B$14)+SUMIFS(INDEX('Oxford Economics'!$A$7:$AZ$1000,0,IFERROR(MATCH(Y$5,'Oxford Economics'!$A$6:$AZ$6,0),MATCH(Y$5&amp;"",'Oxford Economics'!$A$6:$AZ$6,0))),'Oxford Economics'!$A$7:$A$1000,$C48,'Oxford Economics'!$B$7:$B$1000,Settings!$B$16)+IF(Settings!$B$18="",0,SUMIFS(INDEX('Oxford Economics'!$A$7:$AZ$1000,0,IFERROR(MATCH(Y$5,'Oxford Economics'!$A$6:$AZ$6,0),MATCH(Y$5&amp;"",'Oxford Economics'!$A$6:$AZ$6,0))),'Oxford Economics'!$A$7:$A$1000,$C48,'Oxford Economics'!$B$7:$B$1000,Settings!$B$18)))),""))</f>
        <v/>
      </c>
      <c r="Z48" s="37" t="str">
        <f aca="false">IF($A48="","",IFERROR(1/(1/IF($B48="Residential",SUMIFS(INDEX('Oxford Economics'!$A$7:$AZ$1000,0,IFERROR(MATCH(Z$5,'Oxford Economics'!$A$6:$AZ$6,0),MATCH(Z$5&amp;"",'Oxford Economics'!$A$6:$AZ$6,0))),'Oxford Economics'!$A$7:$A$1000,$C48,'Oxford Economics'!$B$7:$B$1000,Settings!$B$12)-SUMIFS(INDEX('Oxford Economics'!$A$7:$AZ$1000,0,IFERROR(MATCH(Z$5,'Oxford Economics'!$A$6:$AZ$6,0),MATCH(Z$5&amp;"",'Oxford Economics'!$A$6:$AZ$6,0))),'Oxford Economics'!$A$7:$A$1000,$C48,'Oxford Economics'!$B$7:$B$1000,Settings!$B$14),SUMIFS(INDEX('Oxford Economics'!$A$7:$AZ$1000,0,IFERROR(MATCH(Z$5,'Oxford Economics'!$A$6:$AZ$6,0),MATCH(Z$5&amp;"",'Oxford Economics'!$A$6:$AZ$6,0))),'Oxford Economics'!$A$7:$A$1000,$C48,'Oxford Economics'!$B$7:$B$1000,Settings!$B$14)+SUMIFS(INDEX('Oxford Economics'!$A$7:$AZ$1000,0,IFERROR(MATCH(Z$5,'Oxford Economics'!$A$6:$AZ$6,0),MATCH(Z$5&amp;"",'Oxford Economics'!$A$6:$AZ$6,0))),'Oxford Economics'!$A$7:$A$1000,$C48,'Oxford Economics'!$B$7:$B$1000,Settings!$B$16)+IF(Settings!$B$18="",0,SUMIFS(INDEX('Oxford Economics'!$A$7:$AZ$1000,0,IFERROR(MATCH(Z$5,'Oxford Economics'!$A$6:$AZ$6,0),MATCH(Z$5&amp;"",'Oxford Economics'!$A$6:$AZ$6,0))),'Oxford Economics'!$A$7:$A$1000,$C48,'Oxford Economics'!$B$7:$B$1000,Settings!$B$18)))),""))</f>
        <v/>
      </c>
      <c r="AA48" s="37" t="str">
        <f aca="false">IF($A48="","",IFERROR(1/(1/IF($B48="Residential",SUMIFS(INDEX('Oxford Economics'!$A$7:$AZ$1000,0,IFERROR(MATCH(AA$5,'Oxford Economics'!$A$6:$AZ$6,0),MATCH(AA$5&amp;"",'Oxford Economics'!$A$6:$AZ$6,0))),'Oxford Economics'!$A$7:$A$1000,$C48,'Oxford Economics'!$B$7:$B$1000,Settings!$B$12)-SUMIFS(INDEX('Oxford Economics'!$A$7:$AZ$1000,0,IFERROR(MATCH(AA$5,'Oxford Economics'!$A$6:$AZ$6,0),MATCH(AA$5&amp;"",'Oxford Economics'!$A$6:$AZ$6,0))),'Oxford Economics'!$A$7:$A$1000,$C48,'Oxford Economics'!$B$7:$B$1000,Settings!$B$14),SUMIFS(INDEX('Oxford Economics'!$A$7:$AZ$1000,0,IFERROR(MATCH(AA$5,'Oxford Economics'!$A$6:$AZ$6,0),MATCH(AA$5&amp;"",'Oxford Economics'!$A$6:$AZ$6,0))),'Oxford Economics'!$A$7:$A$1000,$C48,'Oxford Economics'!$B$7:$B$1000,Settings!$B$14)+SUMIFS(INDEX('Oxford Economics'!$A$7:$AZ$1000,0,IFERROR(MATCH(AA$5,'Oxford Economics'!$A$6:$AZ$6,0),MATCH(AA$5&amp;"",'Oxford Economics'!$A$6:$AZ$6,0))),'Oxford Economics'!$A$7:$A$1000,$C48,'Oxford Economics'!$B$7:$B$1000,Settings!$B$16)+IF(Settings!$B$18="",0,SUMIFS(INDEX('Oxford Economics'!$A$7:$AZ$1000,0,IFERROR(MATCH(AA$5,'Oxford Economics'!$A$6:$AZ$6,0),MATCH(AA$5&amp;"",'Oxford Economics'!$A$6:$AZ$6,0))),'Oxford Economics'!$A$7:$A$1000,$C48,'Oxford Economics'!$B$7:$B$1000,Settings!$B$18)))),""))</f>
        <v/>
      </c>
      <c r="AB48" s="37" t="str">
        <f aca="false">IF($A48="","",IFERROR(1/(1/IF($B48="Residential",SUMIFS(INDEX('Oxford Economics'!$A$7:$AZ$1000,0,IFERROR(MATCH(AB$5,'Oxford Economics'!$A$6:$AZ$6,0),MATCH(AB$5&amp;"",'Oxford Economics'!$A$6:$AZ$6,0))),'Oxford Economics'!$A$7:$A$1000,$C48,'Oxford Economics'!$B$7:$B$1000,Settings!$B$11)-SUMIFS(INDEX('Oxford Economics'!$A$7:$AZ$1000,0,IFERROR(MATCH(AB$5,'Oxford Economics'!$A$6:$AZ$6,0),MATCH(AB$5&amp;"",'Oxford Economics'!$A$6:$AZ$6,0))),'Oxford Economics'!$A$7:$A$1000,$C48,'Oxford Economics'!$B$7:$B$1000,Settings!$B$13),SUMIFS(INDEX('Oxford Economics'!$A$7:$AZ$1000,0,IFERROR(MATCH(AB$5,'Oxford Economics'!$A$6:$AZ$6,0),MATCH(AB$5&amp;"",'Oxford Economics'!$A$6:$AZ$6,0))),'Oxford Economics'!$A$7:$A$1000,$C48,'Oxford Economics'!$B$7:$B$1000,Settings!$B$13)+SUMIFS(INDEX('Oxford Economics'!$A$7:$AZ$1000,0,IFERROR(MATCH(AB$5,'Oxford Economics'!$A$6:$AZ$6,0),MATCH(AB$5&amp;"",'Oxford Economics'!$A$6:$AZ$6,0))),'Oxford Economics'!$A$7:$A$1000,$C48,'Oxford Economics'!$B$7:$B$1000,Settings!$B$15)+IF(Settings!$B$17="",0,SUMIFS(INDEX('Oxford Economics'!$A$7:$AZ$1000,0,IFERROR(MATCH(AB$5,'Oxford Economics'!$A$6:$AZ$6,0),MATCH(AB$5&amp;"",'Oxford Economics'!$A$6:$AZ$6,0))),'Oxford Economics'!$A$7:$A$1000,$C48,'Oxford Economics'!$B$7:$B$1000,Settings!$B$17)))),""))</f>
        <v/>
      </c>
      <c r="AC48" s="37" t="str">
        <f aca="false">IF($A48="","",IFERROR(1/(1/IF($B48="Residential",SUMIFS(INDEX('Oxford Economics'!$A$7:$AZ$1000,0,IFERROR(MATCH(AC$5,'Oxford Economics'!$A$6:$AZ$6,0),MATCH(AC$5&amp;"",'Oxford Economics'!$A$6:$AZ$6,0))),'Oxford Economics'!$A$7:$A$1000,$C48,'Oxford Economics'!$B$7:$B$1000,Settings!$B$11)-SUMIFS(INDEX('Oxford Economics'!$A$7:$AZ$1000,0,IFERROR(MATCH(AC$5,'Oxford Economics'!$A$6:$AZ$6,0),MATCH(AC$5&amp;"",'Oxford Economics'!$A$6:$AZ$6,0))),'Oxford Economics'!$A$7:$A$1000,$C48,'Oxford Economics'!$B$7:$B$1000,Settings!$B$13),SUMIFS(INDEX('Oxford Economics'!$A$7:$AZ$1000,0,IFERROR(MATCH(AC$5,'Oxford Economics'!$A$6:$AZ$6,0),MATCH(AC$5&amp;"",'Oxford Economics'!$A$6:$AZ$6,0))),'Oxford Economics'!$A$7:$A$1000,$C48,'Oxford Economics'!$B$7:$B$1000,Settings!$B$13)+SUMIFS(INDEX('Oxford Economics'!$A$7:$AZ$1000,0,IFERROR(MATCH(AC$5,'Oxford Economics'!$A$6:$AZ$6,0),MATCH(AC$5&amp;"",'Oxford Economics'!$A$6:$AZ$6,0))),'Oxford Economics'!$A$7:$A$1000,$C48,'Oxford Economics'!$B$7:$B$1000,Settings!$B$15)+IF(Settings!$B$17="",0,SUMIFS(INDEX('Oxford Economics'!$A$7:$AZ$1000,0,IFERROR(MATCH(AC$5,'Oxford Economics'!$A$6:$AZ$6,0),MATCH(AC$5&amp;"",'Oxford Economics'!$A$6:$AZ$6,0))),'Oxford Economics'!$A$7:$A$1000,$C48,'Oxford Economics'!$B$7:$B$1000,Settings!$B$17)))),""))</f>
        <v/>
      </c>
      <c r="AD48" s="37" t="str">
        <f aca="false">IF($A48="","",IFERROR(1/(1/IF($B48="Residential",SUMIFS(INDEX('Oxford Economics'!$A$7:$AZ$1000,0,IFERROR(MATCH(AD$5,'Oxford Economics'!$A$6:$AZ$6,0),MATCH(AD$5&amp;"",'Oxford Economics'!$A$6:$AZ$6,0))),'Oxford Economics'!$A$7:$A$1000,$C48,'Oxford Economics'!$B$7:$B$1000,Settings!$B$11)-SUMIFS(INDEX('Oxford Economics'!$A$7:$AZ$1000,0,IFERROR(MATCH(AD$5,'Oxford Economics'!$A$6:$AZ$6,0),MATCH(AD$5&amp;"",'Oxford Economics'!$A$6:$AZ$6,0))),'Oxford Economics'!$A$7:$A$1000,$C48,'Oxford Economics'!$B$7:$B$1000,Settings!$B$13),SUMIFS(INDEX('Oxford Economics'!$A$7:$AZ$1000,0,IFERROR(MATCH(AD$5,'Oxford Economics'!$A$6:$AZ$6,0),MATCH(AD$5&amp;"",'Oxford Economics'!$A$6:$AZ$6,0))),'Oxford Economics'!$A$7:$A$1000,$C48,'Oxford Economics'!$B$7:$B$1000,Settings!$B$13)+SUMIFS(INDEX('Oxford Economics'!$A$7:$AZ$1000,0,IFERROR(MATCH(AD$5,'Oxford Economics'!$A$6:$AZ$6,0),MATCH(AD$5&amp;"",'Oxford Economics'!$A$6:$AZ$6,0))),'Oxford Economics'!$A$7:$A$1000,$C48,'Oxford Economics'!$B$7:$B$1000,Settings!$B$15)+IF(Settings!$B$17="",0,SUMIFS(INDEX('Oxford Economics'!$A$7:$AZ$1000,0,IFERROR(MATCH(AD$5,'Oxford Economics'!$A$6:$AZ$6,0),MATCH(AD$5&amp;"",'Oxford Economics'!$A$6:$AZ$6,0))),'Oxford Economics'!$A$7:$A$1000,$C48,'Oxford Economics'!$B$7:$B$1000,Settings!$B$17)))),""))</f>
        <v/>
      </c>
      <c r="AE48" s="37" t="str">
        <f aca="false">IF($A48="","",IFERROR(1/(1/IF($B48="Residential",SUMIFS(INDEX('Oxford Economics'!$A$7:$AZ$1000,0,IFERROR(MATCH(AE$5,'Oxford Economics'!$A$6:$AZ$6,0),MATCH(AE$5&amp;"",'Oxford Economics'!$A$6:$AZ$6,0))),'Oxford Economics'!$A$7:$A$1000,$C48,'Oxford Economics'!$B$7:$B$1000,Settings!$B$11)-SUMIFS(INDEX('Oxford Economics'!$A$7:$AZ$1000,0,IFERROR(MATCH(AE$5,'Oxford Economics'!$A$6:$AZ$6,0),MATCH(AE$5&amp;"",'Oxford Economics'!$A$6:$AZ$6,0))),'Oxford Economics'!$A$7:$A$1000,$C48,'Oxford Economics'!$B$7:$B$1000,Settings!$B$13),SUMIFS(INDEX('Oxford Economics'!$A$7:$AZ$1000,0,IFERROR(MATCH(AE$5,'Oxford Economics'!$A$6:$AZ$6,0),MATCH(AE$5&amp;"",'Oxford Economics'!$A$6:$AZ$6,0))),'Oxford Economics'!$A$7:$A$1000,$C48,'Oxford Economics'!$B$7:$B$1000,Settings!$B$13)+SUMIFS(INDEX('Oxford Economics'!$A$7:$AZ$1000,0,IFERROR(MATCH(AE$5,'Oxford Economics'!$A$6:$AZ$6,0),MATCH(AE$5&amp;"",'Oxford Economics'!$A$6:$AZ$6,0))),'Oxford Economics'!$A$7:$A$1000,$C48,'Oxford Economics'!$B$7:$B$1000,Settings!$B$15)+IF(Settings!$B$17="",0,SUMIFS(INDEX('Oxford Economics'!$A$7:$AZ$1000,0,IFERROR(MATCH(AE$5,'Oxford Economics'!$A$6:$AZ$6,0),MATCH(AE$5&amp;"",'Oxford Economics'!$A$6:$AZ$6,0))),'Oxford Economics'!$A$7:$A$1000,$C48,'Oxford Economics'!$B$7:$B$1000,Settings!$B$17)))),""))</f>
        <v/>
      </c>
      <c r="AF48" s="37" t="str">
        <f aca="false">IF($A48="","",IFERROR(1/(1/IF($B48="Residential",SUMIFS(INDEX('Oxford Economics'!$A$7:$AZ$1000,0,IFERROR(MATCH(AF$5,'Oxford Economics'!$A$6:$AZ$6,0),MATCH(AF$5&amp;"",'Oxford Economics'!$A$6:$AZ$6,0))),'Oxford Economics'!$A$7:$A$1000,$C48,'Oxford Economics'!$B$7:$B$1000,Settings!$B$11)-SUMIFS(INDEX('Oxford Economics'!$A$7:$AZ$1000,0,IFERROR(MATCH(AF$5,'Oxford Economics'!$A$6:$AZ$6,0),MATCH(AF$5&amp;"",'Oxford Economics'!$A$6:$AZ$6,0))),'Oxford Economics'!$A$7:$A$1000,$C48,'Oxford Economics'!$B$7:$B$1000,Settings!$B$13),SUMIFS(INDEX('Oxford Economics'!$A$7:$AZ$1000,0,IFERROR(MATCH(AF$5,'Oxford Economics'!$A$6:$AZ$6,0),MATCH(AF$5&amp;"",'Oxford Economics'!$A$6:$AZ$6,0))),'Oxford Economics'!$A$7:$A$1000,$C48,'Oxford Economics'!$B$7:$B$1000,Settings!$B$13)+SUMIFS(INDEX('Oxford Economics'!$A$7:$AZ$1000,0,IFERROR(MATCH(AF$5,'Oxford Economics'!$A$6:$AZ$6,0),MATCH(AF$5&amp;"",'Oxford Economics'!$A$6:$AZ$6,0))),'Oxford Economics'!$A$7:$A$1000,$C48,'Oxford Economics'!$B$7:$B$1000,Settings!$B$15)+IF(Settings!$B$17="",0,SUMIFS(INDEX('Oxford Economics'!$A$7:$AZ$1000,0,IFERROR(MATCH(AF$5,'Oxford Economics'!$A$6:$AZ$6,0),MATCH(AF$5&amp;"",'Oxford Economics'!$A$6:$AZ$6,0))),'Oxford Economics'!$A$7:$A$1000,$C48,'Oxford Economics'!$B$7:$B$1000,Settings!$B$17)))),""))</f>
        <v/>
      </c>
      <c r="AG48" s="37" t="str">
        <f aca="false">IF($A48="","",IFERROR(1/(1/IF($B48="Residential",SUMIFS(INDEX('Oxford Economics'!$A$7:$AZ$1000,0,IFERROR(MATCH(AG$5,'Oxford Economics'!$A$6:$AZ$6,0),MATCH(AG$5&amp;"",'Oxford Economics'!$A$6:$AZ$6,0))),'Oxford Economics'!$A$7:$A$1000,$C48,'Oxford Economics'!$B$7:$B$1000,Settings!$B$11)-SUMIFS(INDEX('Oxford Economics'!$A$7:$AZ$1000,0,IFERROR(MATCH(AG$5,'Oxford Economics'!$A$6:$AZ$6,0),MATCH(AG$5&amp;"",'Oxford Economics'!$A$6:$AZ$6,0))),'Oxford Economics'!$A$7:$A$1000,$C48,'Oxford Economics'!$B$7:$B$1000,Settings!$B$13),SUMIFS(INDEX('Oxford Economics'!$A$7:$AZ$1000,0,IFERROR(MATCH(AG$5,'Oxford Economics'!$A$6:$AZ$6,0),MATCH(AG$5&amp;"",'Oxford Economics'!$A$6:$AZ$6,0))),'Oxford Economics'!$A$7:$A$1000,$C48,'Oxford Economics'!$B$7:$B$1000,Settings!$B$13)+SUMIFS(INDEX('Oxford Economics'!$A$7:$AZ$1000,0,IFERROR(MATCH(AG$5,'Oxford Economics'!$A$6:$AZ$6,0),MATCH(AG$5&amp;"",'Oxford Economics'!$A$6:$AZ$6,0))),'Oxford Economics'!$A$7:$A$1000,$C48,'Oxford Economics'!$B$7:$B$1000,Settings!$B$15)+IF(Settings!$B$17="",0,SUMIFS(INDEX('Oxford Economics'!$A$7:$AZ$1000,0,IFERROR(MATCH(AG$5,'Oxford Economics'!$A$6:$AZ$6,0),MATCH(AG$5&amp;"",'Oxford Economics'!$A$6:$AZ$6,0))),'Oxford Economics'!$A$7:$A$1000,$C48,'Oxford Economics'!$B$7:$B$1000,Settings!$B$17)))),""))</f>
        <v/>
      </c>
      <c r="AH48" s="37" t="str">
        <f aca="false">IF($A48="","",IFERROR(1/(1/IF($B48="Residential",SUMIFS(INDEX('Oxford Economics'!$A$7:$AZ$1000,0,IFERROR(MATCH(AH$5,'Oxford Economics'!$A$6:$AZ$6,0),MATCH(AH$5&amp;"",'Oxford Economics'!$A$6:$AZ$6,0))),'Oxford Economics'!$A$7:$A$1000,$C48,'Oxford Economics'!$B$7:$B$1000,Settings!$B$11)-SUMIFS(INDEX('Oxford Economics'!$A$7:$AZ$1000,0,IFERROR(MATCH(AH$5,'Oxford Economics'!$A$6:$AZ$6,0),MATCH(AH$5&amp;"",'Oxford Economics'!$A$6:$AZ$6,0))),'Oxford Economics'!$A$7:$A$1000,$C48,'Oxford Economics'!$B$7:$B$1000,Settings!$B$13),SUMIFS(INDEX('Oxford Economics'!$A$7:$AZ$1000,0,IFERROR(MATCH(AH$5,'Oxford Economics'!$A$6:$AZ$6,0),MATCH(AH$5&amp;"",'Oxford Economics'!$A$6:$AZ$6,0))),'Oxford Economics'!$A$7:$A$1000,$C48,'Oxford Economics'!$B$7:$B$1000,Settings!$B$13)+SUMIFS(INDEX('Oxford Economics'!$A$7:$AZ$1000,0,IFERROR(MATCH(AH$5,'Oxford Economics'!$A$6:$AZ$6,0),MATCH(AH$5&amp;"",'Oxford Economics'!$A$6:$AZ$6,0))),'Oxford Economics'!$A$7:$A$1000,$C48,'Oxford Economics'!$B$7:$B$1000,Settings!$B$15)+IF(Settings!$B$17="",0,SUMIFS(INDEX('Oxford Economics'!$A$7:$AZ$1000,0,IFERROR(MATCH(AH$5,'Oxford Economics'!$A$6:$AZ$6,0),MATCH(AH$5&amp;"",'Oxford Economics'!$A$6:$AZ$6,0))),'Oxford Economics'!$A$7:$A$1000,$C48,'Oxford Economics'!$B$7:$B$1000,Settings!$B$17)))),""))</f>
        <v/>
      </c>
      <c r="AI48" s="37" t="str">
        <f aca="false">IF($A48="","",IFERROR(1/(1/IF($B48="Residential",SUMIFS(INDEX('Oxford Economics'!$A$7:$AZ$1000,0,IFERROR(MATCH(AI$5,'Oxford Economics'!$A$6:$AZ$6,0),MATCH(AI$5&amp;"",'Oxford Economics'!$A$6:$AZ$6,0))),'Oxford Economics'!$A$7:$A$1000,$C48,'Oxford Economics'!$B$7:$B$1000,Settings!$B$11)-SUMIFS(INDEX('Oxford Economics'!$A$7:$AZ$1000,0,IFERROR(MATCH(AI$5,'Oxford Economics'!$A$6:$AZ$6,0),MATCH(AI$5&amp;"",'Oxford Economics'!$A$6:$AZ$6,0))),'Oxford Economics'!$A$7:$A$1000,$C48,'Oxford Economics'!$B$7:$B$1000,Settings!$B$13),SUMIFS(INDEX('Oxford Economics'!$A$7:$AZ$1000,0,IFERROR(MATCH(AI$5,'Oxford Economics'!$A$6:$AZ$6,0),MATCH(AI$5&amp;"",'Oxford Economics'!$A$6:$AZ$6,0))),'Oxford Economics'!$A$7:$A$1000,$C48,'Oxford Economics'!$B$7:$B$1000,Settings!$B$13)+SUMIFS(INDEX('Oxford Economics'!$A$7:$AZ$1000,0,IFERROR(MATCH(AI$5,'Oxford Economics'!$A$6:$AZ$6,0),MATCH(AI$5&amp;"",'Oxford Economics'!$A$6:$AZ$6,0))),'Oxford Economics'!$A$7:$A$1000,$C48,'Oxford Economics'!$B$7:$B$1000,Settings!$B$15)+IF(Settings!$B$17="",0,SUMIFS(INDEX('Oxford Economics'!$A$7:$AZ$1000,0,IFERROR(MATCH(AI$5,'Oxford Economics'!$A$6:$AZ$6,0),MATCH(AI$5&amp;"",'Oxford Economics'!$A$6:$AZ$6,0))),'Oxford Economics'!$A$7:$A$1000,$C48,'Oxford Economics'!$B$7:$B$1000,Settings!$B$17)))),""))</f>
        <v/>
      </c>
      <c r="AJ48" s="37" t="str">
        <f aca="false">IF($A48="","",IFERROR(1/(1/IF($B48="Residential",SUMIFS(INDEX('Oxford Economics'!$A$7:$AZ$1000,0,IFERROR(MATCH(AJ$5,'Oxford Economics'!$A$6:$AZ$6,0),MATCH(AJ$5&amp;"",'Oxford Economics'!$A$6:$AZ$6,0))),'Oxford Economics'!$A$7:$A$1000,$C48,'Oxford Economics'!$B$7:$B$1000,Settings!$B$11)-SUMIFS(INDEX('Oxford Economics'!$A$7:$AZ$1000,0,IFERROR(MATCH(AJ$5,'Oxford Economics'!$A$6:$AZ$6,0),MATCH(AJ$5&amp;"",'Oxford Economics'!$A$6:$AZ$6,0))),'Oxford Economics'!$A$7:$A$1000,$C48,'Oxford Economics'!$B$7:$B$1000,Settings!$B$13),SUMIFS(INDEX('Oxford Economics'!$A$7:$AZ$1000,0,IFERROR(MATCH(AJ$5,'Oxford Economics'!$A$6:$AZ$6,0),MATCH(AJ$5&amp;"",'Oxford Economics'!$A$6:$AZ$6,0))),'Oxford Economics'!$A$7:$A$1000,$C48,'Oxford Economics'!$B$7:$B$1000,Settings!$B$13)+SUMIFS(INDEX('Oxford Economics'!$A$7:$AZ$1000,0,IFERROR(MATCH(AJ$5,'Oxford Economics'!$A$6:$AZ$6,0),MATCH(AJ$5&amp;"",'Oxford Economics'!$A$6:$AZ$6,0))),'Oxford Economics'!$A$7:$A$1000,$C48,'Oxford Economics'!$B$7:$B$1000,Settings!$B$15)+IF(Settings!$B$17="",0,SUMIFS(INDEX('Oxford Economics'!$A$7:$AZ$1000,0,IFERROR(MATCH(AJ$5,'Oxford Economics'!$A$6:$AZ$6,0),MATCH(AJ$5&amp;"",'Oxford Economics'!$A$6:$AZ$6,0))),'Oxford Economics'!$A$7:$A$1000,$C48,'Oxford Economics'!$B$7:$B$1000,Settings!$B$17)))),""))</f>
        <v/>
      </c>
      <c r="AK48" s="37" t="str">
        <f aca="false">IF($A48="","",IFERROR(1/(1/IF($B48="Residential",SUMIFS(INDEX('Oxford Economics'!$A$7:$AZ$1000,0,IFERROR(MATCH(AK$5,'Oxford Economics'!$A$6:$AZ$6,0),MATCH(AK$5&amp;"",'Oxford Economics'!$A$6:$AZ$6,0))),'Oxford Economics'!$A$7:$A$1000,$C48,'Oxford Economics'!$B$7:$B$1000,Settings!$B$11)-SUMIFS(INDEX('Oxford Economics'!$A$7:$AZ$1000,0,IFERROR(MATCH(AK$5,'Oxford Economics'!$A$6:$AZ$6,0),MATCH(AK$5&amp;"",'Oxford Economics'!$A$6:$AZ$6,0))),'Oxford Economics'!$A$7:$A$1000,$C48,'Oxford Economics'!$B$7:$B$1000,Settings!$B$13),SUMIFS(INDEX('Oxford Economics'!$A$7:$AZ$1000,0,IFERROR(MATCH(AK$5,'Oxford Economics'!$A$6:$AZ$6,0),MATCH(AK$5&amp;"",'Oxford Economics'!$A$6:$AZ$6,0))),'Oxford Economics'!$A$7:$A$1000,$C48,'Oxford Economics'!$B$7:$B$1000,Settings!$B$13)+SUMIFS(INDEX('Oxford Economics'!$A$7:$AZ$1000,0,IFERROR(MATCH(AK$5,'Oxford Economics'!$A$6:$AZ$6,0),MATCH(AK$5&amp;"",'Oxford Economics'!$A$6:$AZ$6,0))),'Oxford Economics'!$A$7:$A$1000,$C48,'Oxford Economics'!$B$7:$B$1000,Settings!$B$15)+IF(Settings!$B$17="",0,SUMIFS(INDEX('Oxford Economics'!$A$7:$AZ$1000,0,IFERROR(MATCH(AK$5,'Oxford Economics'!$A$6:$AZ$6,0),MATCH(AK$5&amp;"",'Oxford Economics'!$A$6:$AZ$6,0))),'Oxford Economics'!$A$7:$A$1000,$C48,'Oxford Economics'!$B$7:$B$1000,Settings!$B$17)))),""))</f>
        <v/>
      </c>
      <c r="AL48" s="37" t="str">
        <f aca="false">IF($A48="","",IFERROR(1/(1/IF($B48="Residential",SUMIFS(INDEX('Oxford Economics'!$A$7:$AZ$1000,0,IFERROR(MATCH(AL$5,'Oxford Economics'!$A$6:$AZ$6,0),MATCH(AL$5&amp;"",'Oxford Economics'!$A$6:$AZ$6,0))),'Oxford Economics'!$A$7:$A$1000,$C48,'Oxford Economics'!$B$7:$B$1000,Settings!$B$11)-SUMIFS(INDEX('Oxford Economics'!$A$7:$AZ$1000,0,IFERROR(MATCH(AL$5,'Oxford Economics'!$A$6:$AZ$6,0),MATCH(AL$5&amp;"",'Oxford Economics'!$A$6:$AZ$6,0))),'Oxford Economics'!$A$7:$A$1000,$C48,'Oxford Economics'!$B$7:$B$1000,Settings!$B$13),SUMIFS(INDEX('Oxford Economics'!$A$7:$AZ$1000,0,IFERROR(MATCH(AL$5,'Oxford Economics'!$A$6:$AZ$6,0),MATCH(AL$5&amp;"",'Oxford Economics'!$A$6:$AZ$6,0))),'Oxford Economics'!$A$7:$A$1000,$C48,'Oxford Economics'!$B$7:$B$1000,Settings!$B$13)+SUMIFS(INDEX('Oxford Economics'!$A$7:$AZ$1000,0,IFERROR(MATCH(AL$5,'Oxford Economics'!$A$6:$AZ$6,0),MATCH(AL$5&amp;"",'Oxford Economics'!$A$6:$AZ$6,0))),'Oxford Economics'!$A$7:$A$1000,$C48,'Oxford Economics'!$B$7:$B$1000,Settings!$B$15)+IF(Settings!$B$17="",0,SUMIFS(INDEX('Oxford Economics'!$A$7:$AZ$1000,0,IFERROR(MATCH(AL$5,'Oxford Economics'!$A$6:$AZ$6,0),MATCH(AL$5&amp;"",'Oxford Economics'!$A$6:$AZ$6,0))),'Oxford Economics'!$A$7:$A$1000,$C48,'Oxford Economics'!$B$7:$B$1000,Settings!$B$17)))),""))</f>
        <v/>
      </c>
      <c r="AM48" s="37" t="str">
        <f aca="false">IF($A48="","",IFERROR(1/(1/IF($B48="Residential",SUMIFS(INDEX('Oxford Economics'!$A$7:$AZ$1000,0,IFERROR(MATCH(AM$5,'Oxford Economics'!$A$6:$AZ$6,0),MATCH(AM$5&amp;"",'Oxford Economics'!$A$6:$AZ$6,0))),'Oxford Economics'!$A$7:$A$1000,$C48,'Oxford Economics'!$B$7:$B$1000,Settings!$B$11)-SUMIFS(INDEX('Oxford Economics'!$A$7:$AZ$1000,0,IFERROR(MATCH(AM$5,'Oxford Economics'!$A$6:$AZ$6,0),MATCH(AM$5&amp;"",'Oxford Economics'!$A$6:$AZ$6,0))),'Oxford Economics'!$A$7:$A$1000,$C48,'Oxford Economics'!$B$7:$B$1000,Settings!$B$13),SUMIFS(INDEX('Oxford Economics'!$A$7:$AZ$1000,0,IFERROR(MATCH(AM$5,'Oxford Economics'!$A$6:$AZ$6,0),MATCH(AM$5&amp;"",'Oxford Economics'!$A$6:$AZ$6,0))),'Oxford Economics'!$A$7:$A$1000,$C48,'Oxford Economics'!$B$7:$B$1000,Settings!$B$13)+SUMIFS(INDEX('Oxford Economics'!$A$7:$AZ$1000,0,IFERROR(MATCH(AM$5,'Oxford Economics'!$A$6:$AZ$6,0),MATCH(AM$5&amp;"",'Oxford Economics'!$A$6:$AZ$6,0))),'Oxford Economics'!$A$7:$A$1000,$C48,'Oxford Economics'!$B$7:$B$1000,Settings!$B$15)+IF(Settings!$B$17="",0,SUMIFS(INDEX('Oxford Economics'!$A$7:$AZ$1000,0,IFERROR(MATCH(AM$5,'Oxford Economics'!$A$6:$AZ$6,0),MATCH(AM$5&amp;"",'Oxford Economics'!$A$6:$AZ$6,0))),'Oxford Economics'!$A$7:$A$1000,$C48,'Oxford Economics'!$B$7:$B$1000,Settings!$B$17)))),""))</f>
        <v/>
      </c>
    </row>
    <row r="49" customFormat="false" ht="15" hidden="false" customHeight="false" outlineLevel="0" collapsed="false">
      <c r="A49" s="36" t="str">
        <f aca="false">IF('Raw data'!$A49="","",'Raw data'!$A49)</f>
        <v/>
      </c>
      <c r="B49" s="36" t="str">
        <f aca="false">IF($A49="","",'Raw data'!$C49)</f>
        <v/>
      </c>
      <c r="C49" s="36" t="str">
        <f aca="false">IF($A49="","",IF('Raw data'!$D49="",$A49,'Raw data'!$D49))</f>
        <v/>
      </c>
      <c r="D49" s="37" t="str">
        <f aca="false">IF($A49="","",IF(AND(ISNUMBER(P49),ISNUMBER(AB49)),P49+AB49,""))</f>
        <v/>
      </c>
      <c r="E49" s="37" t="str">
        <f aca="false">IF($A49="","",IF(AND(ISNUMBER(Q49),ISNUMBER(AC49)),Q49+AC49,""))</f>
        <v/>
      </c>
      <c r="F49" s="37" t="str">
        <f aca="false">IF($A49="","",IF(AND(ISNUMBER(R49),ISNUMBER(AD49)),R49+AD49,""))</f>
        <v/>
      </c>
      <c r="G49" s="37" t="str">
        <f aca="false">IF($A49="","",IF(AND(ISNUMBER(S49),ISNUMBER(AE49)),S49+AE49,""))</f>
        <v/>
      </c>
      <c r="H49" s="37" t="str">
        <f aca="false">IF($A49="","",IF(AND(ISNUMBER(T49),ISNUMBER(AF49)),T49+AF49,""))</f>
        <v/>
      </c>
      <c r="I49" s="37" t="str">
        <f aca="false">IF($A49="","",IF(AND(ISNUMBER(U49),ISNUMBER(AG49)),U49+AG49,""))</f>
        <v/>
      </c>
      <c r="J49" s="37" t="str">
        <f aca="false">IF($A49="","",IF(AND(ISNUMBER(V49),ISNUMBER(AH49)),V49+AH49,""))</f>
        <v/>
      </c>
      <c r="K49" s="37" t="str">
        <f aca="false">IF($A49="","",IF(AND(ISNUMBER(W49),ISNUMBER(AI49)),W49+AI49,""))</f>
        <v/>
      </c>
      <c r="L49" s="37" t="str">
        <f aca="false">IF($A49="","",IF(AND(ISNUMBER(X49),ISNUMBER(AJ49)),X49+AJ49,""))</f>
        <v/>
      </c>
      <c r="M49" s="37" t="str">
        <f aca="false">IF($A49="","",IF(AND(ISNUMBER(Y49),ISNUMBER(AK49)),Y49+AK49,""))</f>
        <v/>
      </c>
      <c r="N49" s="37" t="str">
        <f aca="false">IF($A49="","",IF(AND(ISNUMBER(Z49),ISNUMBER(AL49)),Z49+AL49,""))</f>
        <v/>
      </c>
      <c r="O49" s="37" t="str">
        <f aca="false">IF($A49="","",IF(AND(ISNUMBER(AA49),ISNUMBER(AM49)),AA49+AM49,""))</f>
        <v/>
      </c>
      <c r="P49" s="37" t="str">
        <f aca="false">IF($A49="","",IFERROR(1/(1/IF($B49="Residential",SUMIFS(INDEX('Oxford Economics'!$A$7:$AZ$1000,0,IFERROR(MATCH(P$5,'Oxford Economics'!$A$6:$AZ$6,0),MATCH(P$5&amp;"",'Oxford Economics'!$A$6:$AZ$6,0))),'Oxford Economics'!$A$7:$A$1000,$C49,'Oxford Economics'!$B$7:$B$1000,Settings!$B$12)-SUMIFS(INDEX('Oxford Economics'!$A$7:$AZ$1000,0,IFERROR(MATCH(P$5,'Oxford Economics'!$A$6:$AZ$6,0),MATCH(P$5&amp;"",'Oxford Economics'!$A$6:$AZ$6,0))),'Oxford Economics'!$A$7:$A$1000,$C49,'Oxford Economics'!$B$7:$B$1000,Settings!$B$14),SUMIFS(INDEX('Oxford Economics'!$A$7:$AZ$1000,0,IFERROR(MATCH(P$5,'Oxford Economics'!$A$6:$AZ$6,0),MATCH(P$5&amp;"",'Oxford Economics'!$A$6:$AZ$6,0))),'Oxford Economics'!$A$7:$A$1000,$C49,'Oxford Economics'!$B$7:$B$1000,Settings!$B$14)+SUMIFS(INDEX('Oxford Economics'!$A$7:$AZ$1000,0,IFERROR(MATCH(P$5,'Oxford Economics'!$A$6:$AZ$6,0),MATCH(P$5&amp;"",'Oxford Economics'!$A$6:$AZ$6,0))),'Oxford Economics'!$A$7:$A$1000,$C49,'Oxford Economics'!$B$7:$B$1000,Settings!$B$16)+IF(Settings!$B$18="",0,SUMIFS(INDEX('Oxford Economics'!$A$7:$AZ$1000,0,IFERROR(MATCH(P$5,'Oxford Economics'!$A$6:$AZ$6,0),MATCH(P$5&amp;"",'Oxford Economics'!$A$6:$AZ$6,0))),'Oxford Economics'!$A$7:$A$1000,$C49,'Oxford Economics'!$B$7:$B$1000,Settings!$B$18)))),""))</f>
        <v/>
      </c>
      <c r="Q49" s="37" t="str">
        <f aca="false">IF($A49="","",IFERROR(1/(1/IF($B49="Residential",SUMIFS(INDEX('Oxford Economics'!$A$7:$AZ$1000,0,IFERROR(MATCH(Q$5,'Oxford Economics'!$A$6:$AZ$6,0),MATCH(Q$5&amp;"",'Oxford Economics'!$A$6:$AZ$6,0))),'Oxford Economics'!$A$7:$A$1000,$C49,'Oxford Economics'!$B$7:$B$1000,Settings!$B$12)-SUMIFS(INDEX('Oxford Economics'!$A$7:$AZ$1000,0,IFERROR(MATCH(Q$5,'Oxford Economics'!$A$6:$AZ$6,0),MATCH(Q$5&amp;"",'Oxford Economics'!$A$6:$AZ$6,0))),'Oxford Economics'!$A$7:$A$1000,$C49,'Oxford Economics'!$B$7:$B$1000,Settings!$B$14),SUMIFS(INDEX('Oxford Economics'!$A$7:$AZ$1000,0,IFERROR(MATCH(Q$5,'Oxford Economics'!$A$6:$AZ$6,0),MATCH(Q$5&amp;"",'Oxford Economics'!$A$6:$AZ$6,0))),'Oxford Economics'!$A$7:$A$1000,$C49,'Oxford Economics'!$B$7:$B$1000,Settings!$B$14)+SUMIFS(INDEX('Oxford Economics'!$A$7:$AZ$1000,0,IFERROR(MATCH(Q$5,'Oxford Economics'!$A$6:$AZ$6,0),MATCH(Q$5&amp;"",'Oxford Economics'!$A$6:$AZ$6,0))),'Oxford Economics'!$A$7:$A$1000,$C49,'Oxford Economics'!$B$7:$B$1000,Settings!$B$16)+IF(Settings!$B$18="",0,SUMIFS(INDEX('Oxford Economics'!$A$7:$AZ$1000,0,IFERROR(MATCH(Q$5,'Oxford Economics'!$A$6:$AZ$6,0),MATCH(Q$5&amp;"",'Oxford Economics'!$A$6:$AZ$6,0))),'Oxford Economics'!$A$7:$A$1000,$C49,'Oxford Economics'!$B$7:$B$1000,Settings!$B$18)))),""))</f>
        <v/>
      </c>
      <c r="R49" s="37" t="str">
        <f aca="false">IF($A49="","",IFERROR(1/(1/IF($B49="Residential",SUMIFS(INDEX('Oxford Economics'!$A$7:$AZ$1000,0,IFERROR(MATCH(R$5,'Oxford Economics'!$A$6:$AZ$6,0),MATCH(R$5&amp;"",'Oxford Economics'!$A$6:$AZ$6,0))),'Oxford Economics'!$A$7:$A$1000,$C49,'Oxford Economics'!$B$7:$B$1000,Settings!$B$12)-SUMIFS(INDEX('Oxford Economics'!$A$7:$AZ$1000,0,IFERROR(MATCH(R$5,'Oxford Economics'!$A$6:$AZ$6,0),MATCH(R$5&amp;"",'Oxford Economics'!$A$6:$AZ$6,0))),'Oxford Economics'!$A$7:$A$1000,$C49,'Oxford Economics'!$B$7:$B$1000,Settings!$B$14),SUMIFS(INDEX('Oxford Economics'!$A$7:$AZ$1000,0,IFERROR(MATCH(R$5,'Oxford Economics'!$A$6:$AZ$6,0),MATCH(R$5&amp;"",'Oxford Economics'!$A$6:$AZ$6,0))),'Oxford Economics'!$A$7:$A$1000,$C49,'Oxford Economics'!$B$7:$B$1000,Settings!$B$14)+SUMIFS(INDEX('Oxford Economics'!$A$7:$AZ$1000,0,IFERROR(MATCH(R$5,'Oxford Economics'!$A$6:$AZ$6,0),MATCH(R$5&amp;"",'Oxford Economics'!$A$6:$AZ$6,0))),'Oxford Economics'!$A$7:$A$1000,$C49,'Oxford Economics'!$B$7:$B$1000,Settings!$B$16)+IF(Settings!$B$18="",0,SUMIFS(INDEX('Oxford Economics'!$A$7:$AZ$1000,0,IFERROR(MATCH(R$5,'Oxford Economics'!$A$6:$AZ$6,0),MATCH(R$5&amp;"",'Oxford Economics'!$A$6:$AZ$6,0))),'Oxford Economics'!$A$7:$A$1000,$C49,'Oxford Economics'!$B$7:$B$1000,Settings!$B$18)))),""))</f>
        <v/>
      </c>
      <c r="S49" s="37" t="str">
        <f aca="false">IF($A49="","",IFERROR(1/(1/IF($B49="Residential",SUMIFS(INDEX('Oxford Economics'!$A$7:$AZ$1000,0,IFERROR(MATCH(S$5,'Oxford Economics'!$A$6:$AZ$6,0),MATCH(S$5&amp;"",'Oxford Economics'!$A$6:$AZ$6,0))),'Oxford Economics'!$A$7:$A$1000,$C49,'Oxford Economics'!$B$7:$B$1000,Settings!$B$12)-SUMIFS(INDEX('Oxford Economics'!$A$7:$AZ$1000,0,IFERROR(MATCH(S$5,'Oxford Economics'!$A$6:$AZ$6,0),MATCH(S$5&amp;"",'Oxford Economics'!$A$6:$AZ$6,0))),'Oxford Economics'!$A$7:$A$1000,$C49,'Oxford Economics'!$B$7:$B$1000,Settings!$B$14),SUMIFS(INDEX('Oxford Economics'!$A$7:$AZ$1000,0,IFERROR(MATCH(S$5,'Oxford Economics'!$A$6:$AZ$6,0),MATCH(S$5&amp;"",'Oxford Economics'!$A$6:$AZ$6,0))),'Oxford Economics'!$A$7:$A$1000,$C49,'Oxford Economics'!$B$7:$B$1000,Settings!$B$14)+SUMIFS(INDEX('Oxford Economics'!$A$7:$AZ$1000,0,IFERROR(MATCH(S$5,'Oxford Economics'!$A$6:$AZ$6,0),MATCH(S$5&amp;"",'Oxford Economics'!$A$6:$AZ$6,0))),'Oxford Economics'!$A$7:$A$1000,$C49,'Oxford Economics'!$B$7:$B$1000,Settings!$B$16)+IF(Settings!$B$18="",0,SUMIFS(INDEX('Oxford Economics'!$A$7:$AZ$1000,0,IFERROR(MATCH(S$5,'Oxford Economics'!$A$6:$AZ$6,0),MATCH(S$5&amp;"",'Oxford Economics'!$A$6:$AZ$6,0))),'Oxford Economics'!$A$7:$A$1000,$C49,'Oxford Economics'!$B$7:$B$1000,Settings!$B$18)))),""))</f>
        <v/>
      </c>
      <c r="T49" s="37" t="str">
        <f aca="false">IF($A49="","",IFERROR(1/(1/IF($B49="Residential",SUMIFS(INDEX('Oxford Economics'!$A$7:$AZ$1000,0,IFERROR(MATCH(T$5,'Oxford Economics'!$A$6:$AZ$6,0),MATCH(T$5&amp;"",'Oxford Economics'!$A$6:$AZ$6,0))),'Oxford Economics'!$A$7:$A$1000,$C49,'Oxford Economics'!$B$7:$B$1000,Settings!$B$12)-SUMIFS(INDEX('Oxford Economics'!$A$7:$AZ$1000,0,IFERROR(MATCH(T$5,'Oxford Economics'!$A$6:$AZ$6,0),MATCH(T$5&amp;"",'Oxford Economics'!$A$6:$AZ$6,0))),'Oxford Economics'!$A$7:$A$1000,$C49,'Oxford Economics'!$B$7:$B$1000,Settings!$B$14),SUMIFS(INDEX('Oxford Economics'!$A$7:$AZ$1000,0,IFERROR(MATCH(T$5,'Oxford Economics'!$A$6:$AZ$6,0),MATCH(T$5&amp;"",'Oxford Economics'!$A$6:$AZ$6,0))),'Oxford Economics'!$A$7:$A$1000,$C49,'Oxford Economics'!$B$7:$B$1000,Settings!$B$14)+SUMIFS(INDEX('Oxford Economics'!$A$7:$AZ$1000,0,IFERROR(MATCH(T$5,'Oxford Economics'!$A$6:$AZ$6,0),MATCH(T$5&amp;"",'Oxford Economics'!$A$6:$AZ$6,0))),'Oxford Economics'!$A$7:$A$1000,$C49,'Oxford Economics'!$B$7:$B$1000,Settings!$B$16)+IF(Settings!$B$18="",0,SUMIFS(INDEX('Oxford Economics'!$A$7:$AZ$1000,0,IFERROR(MATCH(T$5,'Oxford Economics'!$A$6:$AZ$6,0),MATCH(T$5&amp;"",'Oxford Economics'!$A$6:$AZ$6,0))),'Oxford Economics'!$A$7:$A$1000,$C49,'Oxford Economics'!$B$7:$B$1000,Settings!$B$18)))),""))</f>
        <v/>
      </c>
      <c r="U49" s="37" t="str">
        <f aca="false">IF($A49="","",IFERROR(1/(1/IF($B49="Residential",SUMIFS(INDEX('Oxford Economics'!$A$7:$AZ$1000,0,IFERROR(MATCH(U$5,'Oxford Economics'!$A$6:$AZ$6,0),MATCH(U$5&amp;"",'Oxford Economics'!$A$6:$AZ$6,0))),'Oxford Economics'!$A$7:$A$1000,$C49,'Oxford Economics'!$B$7:$B$1000,Settings!$B$12)-SUMIFS(INDEX('Oxford Economics'!$A$7:$AZ$1000,0,IFERROR(MATCH(U$5,'Oxford Economics'!$A$6:$AZ$6,0),MATCH(U$5&amp;"",'Oxford Economics'!$A$6:$AZ$6,0))),'Oxford Economics'!$A$7:$A$1000,$C49,'Oxford Economics'!$B$7:$B$1000,Settings!$B$14),SUMIFS(INDEX('Oxford Economics'!$A$7:$AZ$1000,0,IFERROR(MATCH(U$5,'Oxford Economics'!$A$6:$AZ$6,0),MATCH(U$5&amp;"",'Oxford Economics'!$A$6:$AZ$6,0))),'Oxford Economics'!$A$7:$A$1000,$C49,'Oxford Economics'!$B$7:$B$1000,Settings!$B$14)+SUMIFS(INDEX('Oxford Economics'!$A$7:$AZ$1000,0,IFERROR(MATCH(U$5,'Oxford Economics'!$A$6:$AZ$6,0),MATCH(U$5&amp;"",'Oxford Economics'!$A$6:$AZ$6,0))),'Oxford Economics'!$A$7:$A$1000,$C49,'Oxford Economics'!$B$7:$B$1000,Settings!$B$16)+IF(Settings!$B$18="",0,SUMIFS(INDEX('Oxford Economics'!$A$7:$AZ$1000,0,IFERROR(MATCH(U$5,'Oxford Economics'!$A$6:$AZ$6,0),MATCH(U$5&amp;"",'Oxford Economics'!$A$6:$AZ$6,0))),'Oxford Economics'!$A$7:$A$1000,$C49,'Oxford Economics'!$B$7:$B$1000,Settings!$B$18)))),""))</f>
        <v/>
      </c>
      <c r="V49" s="37" t="str">
        <f aca="false">IF($A49="","",IFERROR(1/(1/IF($B49="Residential",SUMIFS(INDEX('Oxford Economics'!$A$7:$AZ$1000,0,IFERROR(MATCH(V$5,'Oxford Economics'!$A$6:$AZ$6,0),MATCH(V$5&amp;"",'Oxford Economics'!$A$6:$AZ$6,0))),'Oxford Economics'!$A$7:$A$1000,$C49,'Oxford Economics'!$B$7:$B$1000,Settings!$B$12)-SUMIFS(INDEX('Oxford Economics'!$A$7:$AZ$1000,0,IFERROR(MATCH(V$5,'Oxford Economics'!$A$6:$AZ$6,0),MATCH(V$5&amp;"",'Oxford Economics'!$A$6:$AZ$6,0))),'Oxford Economics'!$A$7:$A$1000,$C49,'Oxford Economics'!$B$7:$B$1000,Settings!$B$14),SUMIFS(INDEX('Oxford Economics'!$A$7:$AZ$1000,0,IFERROR(MATCH(V$5,'Oxford Economics'!$A$6:$AZ$6,0),MATCH(V$5&amp;"",'Oxford Economics'!$A$6:$AZ$6,0))),'Oxford Economics'!$A$7:$A$1000,$C49,'Oxford Economics'!$B$7:$B$1000,Settings!$B$14)+SUMIFS(INDEX('Oxford Economics'!$A$7:$AZ$1000,0,IFERROR(MATCH(V$5,'Oxford Economics'!$A$6:$AZ$6,0),MATCH(V$5&amp;"",'Oxford Economics'!$A$6:$AZ$6,0))),'Oxford Economics'!$A$7:$A$1000,$C49,'Oxford Economics'!$B$7:$B$1000,Settings!$B$16)+IF(Settings!$B$18="",0,SUMIFS(INDEX('Oxford Economics'!$A$7:$AZ$1000,0,IFERROR(MATCH(V$5,'Oxford Economics'!$A$6:$AZ$6,0),MATCH(V$5&amp;"",'Oxford Economics'!$A$6:$AZ$6,0))),'Oxford Economics'!$A$7:$A$1000,$C49,'Oxford Economics'!$B$7:$B$1000,Settings!$B$18)))),""))</f>
        <v/>
      </c>
      <c r="W49" s="37" t="str">
        <f aca="false">IF($A49="","",IFERROR(1/(1/IF($B49="Residential",SUMIFS(INDEX('Oxford Economics'!$A$7:$AZ$1000,0,IFERROR(MATCH(W$5,'Oxford Economics'!$A$6:$AZ$6,0),MATCH(W$5&amp;"",'Oxford Economics'!$A$6:$AZ$6,0))),'Oxford Economics'!$A$7:$A$1000,$C49,'Oxford Economics'!$B$7:$B$1000,Settings!$B$12)-SUMIFS(INDEX('Oxford Economics'!$A$7:$AZ$1000,0,IFERROR(MATCH(W$5,'Oxford Economics'!$A$6:$AZ$6,0),MATCH(W$5&amp;"",'Oxford Economics'!$A$6:$AZ$6,0))),'Oxford Economics'!$A$7:$A$1000,$C49,'Oxford Economics'!$B$7:$B$1000,Settings!$B$14),SUMIFS(INDEX('Oxford Economics'!$A$7:$AZ$1000,0,IFERROR(MATCH(W$5,'Oxford Economics'!$A$6:$AZ$6,0),MATCH(W$5&amp;"",'Oxford Economics'!$A$6:$AZ$6,0))),'Oxford Economics'!$A$7:$A$1000,$C49,'Oxford Economics'!$B$7:$B$1000,Settings!$B$14)+SUMIFS(INDEX('Oxford Economics'!$A$7:$AZ$1000,0,IFERROR(MATCH(W$5,'Oxford Economics'!$A$6:$AZ$6,0),MATCH(W$5&amp;"",'Oxford Economics'!$A$6:$AZ$6,0))),'Oxford Economics'!$A$7:$A$1000,$C49,'Oxford Economics'!$B$7:$B$1000,Settings!$B$16)+IF(Settings!$B$18="",0,SUMIFS(INDEX('Oxford Economics'!$A$7:$AZ$1000,0,IFERROR(MATCH(W$5,'Oxford Economics'!$A$6:$AZ$6,0),MATCH(W$5&amp;"",'Oxford Economics'!$A$6:$AZ$6,0))),'Oxford Economics'!$A$7:$A$1000,$C49,'Oxford Economics'!$B$7:$B$1000,Settings!$B$18)))),""))</f>
        <v/>
      </c>
      <c r="X49" s="37" t="str">
        <f aca="false">IF($A49="","",IFERROR(1/(1/IF($B49="Residential",SUMIFS(INDEX('Oxford Economics'!$A$7:$AZ$1000,0,IFERROR(MATCH(X$5,'Oxford Economics'!$A$6:$AZ$6,0),MATCH(X$5&amp;"",'Oxford Economics'!$A$6:$AZ$6,0))),'Oxford Economics'!$A$7:$A$1000,$C49,'Oxford Economics'!$B$7:$B$1000,Settings!$B$12)-SUMIFS(INDEX('Oxford Economics'!$A$7:$AZ$1000,0,IFERROR(MATCH(X$5,'Oxford Economics'!$A$6:$AZ$6,0),MATCH(X$5&amp;"",'Oxford Economics'!$A$6:$AZ$6,0))),'Oxford Economics'!$A$7:$A$1000,$C49,'Oxford Economics'!$B$7:$B$1000,Settings!$B$14),SUMIFS(INDEX('Oxford Economics'!$A$7:$AZ$1000,0,IFERROR(MATCH(X$5,'Oxford Economics'!$A$6:$AZ$6,0),MATCH(X$5&amp;"",'Oxford Economics'!$A$6:$AZ$6,0))),'Oxford Economics'!$A$7:$A$1000,$C49,'Oxford Economics'!$B$7:$B$1000,Settings!$B$14)+SUMIFS(INDEX('Oxford Economics'!$A$7:$AZ$1000,0,IFERROR(MATCH(X$5,'Oxford Economics'!$A$6:$AZ$6,0),MATCH(X$5&amp;"",'Oxford Economics'!$A$6:$AZ$6,0))),'Oxford Economics'!$A$7:$A$1000,$C49,'Oxford Economics'!$B$7:$B$1000,Settings!$B$16)+IF(Settings!$B$18="",0,SUMIFS(INDEX('Oxford Economics'!$A$7:$AZ$1000,0,IFERROR(MATCH(X$5,'Oxford Economics'!$A$6:$AZ$6,0),MATCH(X$5&amp;"",'Oxford Economics'!$A$6:$AZ$6,0))),'Oxford Economics'!$A$7:$A$1000,$C49,'Oxford Economics'!$B$7:$B$1000,Settings!$B$18)))),""))</f>
        <v/>
      </c>
      <c r="Y49" s="37" t="str">
        <f aca="false">IF($A49="","",IFERROR(1/(1/IF($B49="Residential",SUMIFS(INDEX('Oxford Economics'!$A$7:$AZ$1000,0,IFERROR(MATCH(Y$5,'Oxford Economics'!$A$6:$AZ$6,0),MATCH(Y$5&amp;"",'Oxford Economics'!$A$6:$AZ$6,0))),'Oxford Economics'!$A$7:$A$1000,$C49,'Oxford Economics'!$B$7:$B$1000,Settings!$B$12)-SUMIFS(INDEX('Oxford Economics'!$A$7:$AZ$1000,0,IFERROR(MATCH(Y$5,'Oxford Economics'!$A$6:$AZ$6,0),MATCH(Y$5&amp;"",'Oxford Economics'!$A$6:$AZ$6,0))),'Oxford Economics'!$A$7:$A$1000,$C49,'Oxford Economics'!$B$7:$B$1000,Settings!$B$14),SUMIFS(INDEX('Oxford Economics'!$A$7:$AZ$1000,0,IFERROR(MATCH(Y$5,'Oxford Economics'!$A$6:$AZ$6,0),MATCH(Y$5&amp;"",'Oxford Economics'!$A$6:$AZ$6,0))),'Oxford Economics'!$A$7:$A$1000,$C49,'Oxford Economics'!$B$7:$B$1000,Settings!$B$14)+SUMIFS(INDEX('Oxford Economics'!$A$7:$AZ$1000,0,IFERROR(MATCH(Y$5,'Oxford Economics'!$A$6:$AZ$6,0),MATCH(Y$5&amp;"",'Oxford Economics'!$A$6:$AZ$6,0))),'Oxford Economics'!$A$7:$A$1000,$C49,'Oxford Economics'!$B$7:$B$1000,Settings!$B$16)+IF(Settings!$B$18="",0,SUMIFS(INDEX('Oxford Economics'!$A$7:$AZ$1000,0,IFERROR(MATCH(Y$5,'Oxford Economics'!$A$6:$AZ$6,0),MATCH(Y$5&amp;"",'Oxford Economics'!$A$6:$AZ$6,0))),'Oxford Economics'!$A$7:$A$1000,$C49,'Oxford Economics'!$B$7:$B$1000,Settings!$B$18)))),""))</f>
        <v/>
      </c>
      <c r="Z49" s="37" t="str">
        <f aca="false">IF($A49="","",IFERROR(1/(1/IF($B49="Residential",SUMIFS(INDEX('Oxford Economics'!$A$7:$AZ$1000,0,IFERROR(MATCH(Z$5,'Oxford Economics'!$A$6:$AZ$6,0),MATCH(Z$5&amp;"",'Oxford Economics'!$A$6:$AZ$6,0))),'Oxford Economics'!$A$7:$A$1000,$C49,'Oxford Economics'!$B$7:$B$1000,Settings!$B$12)-SUMIFS(INDEX('Oxford Economics'!$A$7:$AZ$1000,0,IFERROR(MATCH(Z$5,'Oxford Economics'!$A$6:$AZ$6,0),MATCH(Z$5&amp;"",'Oxford Economics'!$A$6:$AZ$6,0))),'Oxford Economics'!$A$7:$A$1000,$C49,'Oxford Economics'!$B$7:$B$1000,Settings!$B$14),SUMIFS(INDEX('Oxford Economics'!$A$7:$AZ$1000,0,IFERROR(MATCH(Z$5,'Oxford Economics'!$A$6:$AZ$6,0),MATCH(Z$5&amp;"",'Oxford Economics'!$A$6:$AZ$6,0))),'Oxford Economics'!$A$7:$A$1000,$C49,'Oxford Economics'!$B$7:$B$1000,Settings!$B$14)+SUMIFS(INDEX('Oxford Economics'!$A$7:$AZ$1000,0,IFERROR(MATCH(Z$5,'Oxford Economics'!$A$6:$AZ$6,0),MATCH(Z$5&amp;"",'Oxford Economics'!$A$6:$AZ$6,0))),'Oxford Economics'!$A$7:$A$1000,$C49,'Oxford Economics'!$B$7:$B$1000,Settings!$B$16)+IF(Settings!$B$18="",0,SUMIFS(INDEX('Oxford Economics'!$A$7:$AZ$1000,0,IFERROR(MATCH(Z$5,'Oxford Economics'!$A$6:$AZ$6,0),MATCH(Z$5&amp;"",'Oxford Economics'!$A$6:$AZ$6,0))),'Oxford Economics'!$A$7:$A$1000,$C49,'Oxford Economics'!$B$7:$B$1000,Settings!$B$18)))),""))</f>
        <v/>
      </c>
      <c r="AA49" s="37" t="str">
        <f aca="false">IF($A49="","",IFERROR(1/(1/IF($B49="Residential",SUMIFS(INDEX('Oxford Economics'!$A$7:$AZ$1000,0,IFERROR(MATCH(AA$5,'Oxford Economics'!$A$6:$AZ$6,0),MATCH(AA$5&amp;"",'Oxford Economics'!$A$6:$AZ$6,0))),'Oxford Economics'!$A$7:$A$1000,$C49,'Oxford Economics'!$B$7:$B$1000,Settings!$B$12)-SUMIFS(INDEX('Oxford Economics'!$A$7:$AZ$1000,0,IFERROR(MATCH(AA$5,'Oxford Economics'!$A$6:$AZ$6,0),MATCH(AA$5&amp;"",'Oxford Economics'!$A$6:$AZ$6,0))),'Oxford Economics'!$A$7:$A$1000,$C49,'Oxford Economics'!$B$7:$B$1000,Settings!$B$14),SUMIFS(INDEX('Oxford Economics'!$A$7:$AZ$1000,0,IFERROR(MATCH(AA$5,'Oxford Economics'!$A$6:$AZ$6,0),MATCH(AA$5&amp;"",'Oxford Economics'!$A$6:$AZ$6,0))),'Oxford Economics'!$A$7:$A$1000,$C49,'Oxford Economics'!$B$7:$B$1000,Settings!$B$14)+SUMIFS(INDEX('Oxford Economics'!$A$7:$AZ$1000,0,IFERROR(MATCH(AA$5,'Oxford Economics'!$A$6:$AZ$6,0),MATCH(AA$5&amp;"",'Oxford Economics'!$A$6:$AZ$6,0))),'Oxford Economics'!$A$7:$A$1000,$C49,'Oxford Economics'!$B$7:$B$1000,Settings!$B$16)+IF(Settings!$B$18="",0,SUMIFS(INDEX('Oxford Economics'!$A$7:$AZ$1000,0,IFERROR(MATCH(AA$5,'Oxford Economics'!$A$6:$AZ$6,0),MATCH(AA$5&amp;"",'Oxford Economics'!$A$6:$AZ$6,0))),'Oxford Economics'!$A$7:$A$1000,$C49,'Oxford Economics'!$B$7:$B$1000,Settings!$B$18)))),""))</f>
        <v/>
      </c>
      <c r="AB49" s="37" t="str">
        <f aca="false">IF($A49="","",IFERROR(1/(1/IF($B49="Residential",SUMIFS(INDEX('Oxford Economics'!$A$7:$AZ$1000,0,IFERROR(MATCH(AB$5,'Oxford Economics'!$A$6:$AZ$6,0),MATCH(AB$5&amp;"",'Oxford Economics'!$A$6:$AZ$6,0))),'Oxford Economics'!$A$7:$A$1000,$C49,'Oxford Economics'!$B$7:$B$1000,Settings!$B$11)-SUMIFS(INDEX('Oxford Economics'!$A$7:$AZ$1000,0,IFERROR(MATCH(AB$5,'Oxford Economics'!$A$6:$AZ$6,0),MATCH(AB$5&amp;"",'Oxford Economics'!$A$6:$AZ$6,0))),'Oxford Economics'!$A$7:$A$1000,$C49,'Oxford Economics'!$B$7:$B$1000,Settings!$B$13),SUMIFS(INDEX('Oxford Economics'!$A$7:$AZ$1000,0,IFERROR(MATCH(AB$5,'Oxford Economics'!$A$6:$AZ$6,0),MATCH(AB$5&amp;"",'Oxford Economics'!$A$6:$AZ$6,0))),'Oxford Economics'!$A$7:$A$1000,$C49,'Oxford Economics'!$B$7:$B$1000,Settings!$B$13)+SUMIFS(INDEX('Oxford Economics'!$A$7:$AZ$1000,0,IFERROR(MATCH(AB$5,'Oxford Economics'!$A$6:$AZ$6,0),MATCH(AB$5&amp;"",'Oxford Economics'!$A$6:$AZ$6,0))),'Oxford Economics'!$A$7:$A$1000,$C49,'Oxford Economics'!$B$7:$B$1000,Settings!$B$15)+IF(Settings!$B$17="",0,SUMIFS(INDEX('Oxford Economics'!$A$7:$AZ$1000,0,IFERROR(MATCH(AB$5,'Oxford Economics'!$A$6:$AZ$6,0),MATCH(AB$5&amp;"",'Oxford Economics'!$A$6:$AZ$6,0))),'Oxford Economics'!$A$7:$A$1000,$C49,'Oxford Economics'!$B$7:$B$1000,Settings!$B$17)))),""))</f>
        <v/>
      </c>
      <c r="AC49" s="37" t="str">
        <f aca="false">IF($A49="","",IFERROR(1/(1/IF($B49="Residential",SUMIFS(INDEX('Oxford Economics'!$A$7:$AZ$1000,0,IFERROR(MATCH(AC$5,'Oxford Economics'!$A$6:$AZ$6,0),MATCH(AC$5&amp;"",'Oxford Economics'!$A$6:$AZ$6,0))),'Oxford Economics'!$A$7:$A$1000,$C49,'Oxford Economics'!$B$7:$B$1000,Settings!$B$11)-SUMIFS(INDEX('Oxford Economics'!$A$7:$AZ$1000,0,IFERROR(MATCH(AC$5,'Oxford Economics'!$A$6:$AZ$6,0),MATCH(AC$5&amp;"",'Oxford Economics'!$A$6:$AZ$6,0))),'Oxford Economics'!$A$7:$A$1000,$C49,'Oxford Economics'!$B$7:$B$1000,Settings!$B$13),SUMIFS(INDEX('Oxford Economics'!$A$7:$AZ$1000,0,IFERROR(MATCH(AC$5,'Oxford Economics'!$A$6:$AZ$6,0),MATCH(AC$5&amp;"",'Oxford Economics'!$A$6:$AZ$6,0))),'Oxford Economics'!$A$7:$A$1000,$C49,'Oxford Economics'!$B$7:$B$1000,Settings!$B$13)+SUMIFS(INDEX('Oxford Economics'!$A$7:$AZ$1000,0,IFERROR(MATCH(AC$5,'Oxford Economics'!$A$6:$AZ$6,0),MATCH(AC$5&amp;"",'Oxford Economics'!$A$6:$AZ$6,0))),'Oxford Economics'!$A$7:$A$1000,$C49,'Oxford Economics'!$B$7:$B$1000,Settings!$B$15)+IF(Settings!$B$17="",0,SUMIFS(INDEX('Oxford Economics'!$A$7:$AZ$1000,0,IFERROR(MATCH(AC$5,'Oxford Economics'!$A$6:$AZ$6,0),MATCH(AC$5&amp;"",'Oxford Economics'!$A$6:$AZ$6,0))),'Oxford Economics'!$A$7:$A$1000,$C49,'Oxford Economics'!$B$7:$B$1000,Settings!$B$17)))),""))</f>
        <v/>
      </c>
      <c r="AD49" s="37" t="str">
        <f aca="false">IF($A49="","",IFERROR(1/(1/IF($B49="Residential",SUMIFS(INDEX('Oxford Economics'!$A$7:$AZ$1000,0,IFERROR(MATCH(AD$5,'Oxford Economics'!$A$6:$AZ$6,0),MATCH(AD$5&amp;"",'Oxford Economics'!$A$6:$AZ$6,0))),'Oxford Economics'!$A$7:$A$1000,$C49,'Oxford Economics'!$B$7:$B$1000,Settings!$B$11)-SUMIFS(INDEX('Oxford Economics'!$A$7:$AZ$1000,0,IFERROR(MATCH(AD$5,'Oxford Economics'!$A$6:$AZ$6,0),MATCH(AD$5&amp;"",'Oxford Economics'!$A$6:$AZ$6,0))),'Oxford Economics'!$A$7:$A$1000,$C49,'Oxford Economics'!$B$7:$B$1000,Settings!$B$13),SUMIFS(INDEX('Oxford Economics'!$A$7:$AZ$1000,0,IFERROR(MATCH(AD$5,'Oxford Economics'!$A$6:$AZ$6,0),MATCH(AD$5&amp;"",'Oxford Economics'!$A$6:$AZ$6,0))),'Oxford Economics'!$A$7:$A$1000,$C49,'Oxford Economics'!$B$7:$B$1000,Settings!$B$13)+SUMIFS(INDEX('Oxford Economics'!$A$7:$AZ$1000,0,IFERROR(MATCH(AD$5,'Oxford Economics'!$A$6:$AZ$6,0),MATCH(AD$5&amp;"",'Oxford Economics'!$A$6:$AZ$6,0))),'Oxford Economics'!$A$7:$A$1000,$C49,'Oxford Economics'!$B$7:$B$1000,Settings!$B$15)+IF(Settings!$B$17="",0,SUMIFS(INDEX('Oxford Economics'!$A$7:$AZ$1000,0,IFERROR(MATCH(AD$5,'Oxford Economics'!$A$6:$AZ$6,0),MATCH(AD$5&amp;"",'Oxford Economics'!$A$6:$AZ$6,0))),'Oxford Economics'!$A$7:$A$1000,$C49,'Oxford Economics'!$B$7:$B$1000,Settings!$B$17)))),""))</f>
        <v/>
      </c>
      <c r="AE49" s="37" t="str">
        <f aca="false">IF($A49="","",IFERROR(1/(1/IF($B49="Residential",SUMIFS(INDEX('Oxford Economics'!$A$7:$AZ$1000,0,IFERROR(MATCH(AE$5,'Oxford Economics'!$A$6:$AZ$6,0),MATCH(AE$5&amp;"",'Oxford Economics'!$A$6:$AZ$6,0))),'Oxford Economics'!$A$7:$A$1000,$C49,'Oxford Economics'!$B$7:$B$1000,Settings!$B$11)-SUMIFS(INDEX('Oxford Economics'!$A$7:$AZ$1000,0,IFERROR(MATCH(AE$5,'Oxford Economics'!$A$6:$AZ$6,0),MATCH(AE$5&amp;"",'Oxford Economics'!$A$6:$AZ$6,0))),'Oxford Economics'!$A$7:$A$1000,$C49,'Oxford Economics'!$B$7:$B$1000,Settings!$B$13),SUMIFS(INDEX('Oxford Economics'!$A$7:$AZ$1000,0,IFERROR(MATCH(AE$5,'Oxford Economics'!$A$6:$AZ$6,0),MATCH(AE$5&amp;"",'Oxford Economics'!$A$6:$AZ$6,0))),'Oxford Economics'!$A$7:$A$1000,$C49,'Oxford Economics'!$B$7:$B$1000,Settings!$B$13)+SUMIFS(INDEX('Oxford Economics'!$A$7:$AZ$1000,0,IFERROR(MATCH(AE$5,'Oxford Economics'!$A$6:$AZ$6,0),MATCH(AE$5&amp;"",'Oxford Economics'!$A$6:$AZ$6,0))),'Oxford Economics'!$A$7:$A$1000,$C49,'Oxford Economics'!$B$7:$B$1000,Settings!$B$15)+IF(Settings!$B$17="",0,SUMIFS(INDEX('Oxford Economics'!$A$7:$AZ$1000,0,IFERROR(MATCH(AE$5,'Oxford Economics'!$A$6:$AZ$6,0),MATCH(AE$5&amp;"",'Oxford Economics'!$A$6:$AZ$6,0))),'Oxford Economics'!$A$7:$A$1000,$C49,'Oxford Economics'!$B$7:$B$1000,Settings!$B$17)))),""))</f>
        <v/>
      </c>
      <c r="AF49" s="37" t="str">
        <f aca="false">IF($A49="","",IFERROR(1/(1/IF($B49="Residential",SUMIFS(INDEX('Oxford Economics'!$A$7:$AZ$1000,0,IFERROR(MATCH(AF$5,'Oxford Economics'!$A$6:$AZ$6,0),MATCH(AF$5&amp;"",'Oxford Economics'!$A$6:$AZ$6,0))),'Oxford Economics'!$A$7:$A$1000,$C49,'Oxford Economics'!$B$7:$B$1000,Settings!$B$11)-SUMIFS(INDEX('Oxford Economics'!$A$7:$AZ$1000,0,IFERROR(MATCH(AF$5,'Oxford Economics'!$A$6:$AZ$6,0),MATCH(AF$5&amp;"",'Oxford Economics'!$A$6:$AZ$6,0))),'Oxford Economics'!$A$7:$A$1000,$C49,'Oxford Economics'!$B$7:$B$1000,Settings!$B$13),SUMIFS(INDEX('Oxford Economics'!$A$7:$AZ$1000,0,IFERROR(MATCH(AF$5,'Oxford Economics'!$A$6:$AZ$6,0),MATCH(AF$5&amp;"",'Oxford Economics'!$A$6:$AZ$6,0))),'Oxford Economics'!$A$7:$A$1000,$C49,'Oxford Economics'!$B$7:$B$1000,Settings!$B$13)+SUMIFS(INDEX('Oxford Economics'!$A$7:$AZ$1000,0,IFERROR(MATCH(AF$5,'Oxford Economics'!$A$6:$AZ$6,0),MATCH(AF$5&amp;"",'Oxford Economics'!$A$6:$AZ$6,0))),'Oxford Economics'!$A$7:$A$1000,$C49,'Oxford Economics'!$B$7:$B$1000,Settings!$B$15)+IF(Settings!$B$17="",0,SUMIFS(INDEX('Oxford Economics'!$A$7:$AZ$1000,0,IFERROR(MATCH(AF$5,'Oxford Economics'!$A$6:$AZ$6,0),MATCH(AF$5&amp;"",'Oxford Economics'!$A$6:$AZ$6,0))),'Oxford Economics'!$A$7:$A$1000,$C49,'Oxford Economics'!$B$7:$B$1000,Settings!$B$17)))),""))</f>
        <v/>
      </c>
      <c r="AG49" s="37" t="str">
        <f aca="false">IF($A49="","",IFERROR(1/(1/IF($B49="Residential",SUMIFS(INDEX('Oxford Economics'!$A$7:$AZ$1000,0,IFERROR(MATCH(AG$5,'Oxford Economics'!$A$6:$AZ$6,0),MATCH(AG$5&amp;"",'Oxford Economics'!$A$6:$AZ$6,0))),'Oxford Economics'!$A$7:$A$1000,$C49,'Oxford Economics'!$B$7:$B$1000,Settings!$B$11)-SUMIFS(INDEX('Oxford Economics'!$A$7:$AZ$1000,0,IFERROR(MATCH(AG$5,'Oxford Economics'!$A$6:$AZ$6,0),MATCH(AG$5&amp;"",'Oxford Economics'!$A$6:$AZ$6,0))),'Oxford Economics'!$A$7:$A$1000,$C49,'Oxford Economics'!$B$7:$B$1000,Settings!$B$13),SUMIFS(INDEX('Oxford Economics'!$A$7:$AZ$1000,0,IFERROR(MATCH(AG$5,'Oxford Economics'!$A$6:$AZ$6,0),MATCH(AG$5&amp;"",'Oxford Economics'!$A$6:$AZ$6,0))),'Oxford Economics'!$A$7:$A$1000,$C49,'Oxford Economics'!$B$7:$B$1000,Settings!$B$13)+SUMIFS(INDEX('Oxford Economics'!$A$7:$AZ$1000,0,IFERROR(MATCH(AG$5,'Oxford Economics'!$A$6:$AZ$6,0),MATCH(AG$5&amp;"",'Oxford Economics'!$A$6:$AZ$6,0))),'Oxford Economics'!$A$7:$A$1000,$C49,'Oxford Economics'!$B$7:$B$1000,Settings!$B$15)+IF(Settings!$B$17="",0,SUMIFS(INDEX('Oxford Economics'!$A$7:$AZ$1000,0,IFERROR(MATCH(AG$5,'Oxford Economics'!$A$6:$AZ$6,0),MATCH(AG$5&amp;"",'Oxford Economics'!$A$6:$AZ$6,0))),'Oxford Economics'!$A$7:$A$1000,$C49,'Oxford Economics'!$B$7:$B$1000,Settings!$B$17)))),""))</f>
        <v/>
      </c>
      <c r="AH49" s="37" t="str">
        <f aca="false">IF($A49="","",IFERROR(1/(1/IF($B49="Residential",SUMIFS(INDEX('Oxford Economics'!$A$7:$AZ$1000,0,IFERROR(MATCH(AH$5,'Oxford Economics'!$A$6:$AZ$6,0),MATCH(AH$5&amp;"",'Oxford Economics'!$A$6:$AZ$6,0))),'Oxford Economics'!$A$7:$A$1000,$C49,'Oxford Economics'!$B$7:$B$1000,Settings!$B$11)-SUMIFS(INDEX('Oxford Economics'!$A$7:$AZ$1000,0,IFERROR(MATCH(AH$5,'Oxford Economics'!$A$6:$AZ$6,0),MATCH(AH$5&amp;"",'Oxford Economics'!$A$6:$AZ$6,0))),'Oxford Economics'!$A$7:$A$1000,$C49,'Oxford Economics'!$B$7:$B$1000,Settings!$B$13),SUMIFS(INDEX('Oxford Economics'!$A$7:$AZ$1000,0,IFERROR(MATCH(AH$5,'Oxford Economics'!$A$6:$AZ$6,0),MATCH(AH$5&amp;"",'Oxford Economics'!$A$6:$AZ$6,0))),'Oxford Economics'!$A$7:$A$1000,$C49,'Oxford Economics'!$B$7:$B$1000,Settings!$B$13)+SUMIFS(INDEX('Oxford Economics'!$A$7:$AZ$1000,0,IFERROR(MATCH(AH$5,'Oxford Economics'!$A$6:$AZ$6,0),MATCH(AH$5&amp;"",'Oxford Economics'!$A$6:$AZ$6,0))),'Oxford Economics'!$A$7:$A$1000,$C49,'Oxford Economics'!$B$7:$B$1000,Settings!$B$15)+IF(Settings!$B$17="",0,SUMIFS(INDEX('Oxford Economics'!$A$7:$AZ$1000,0,IFERROR(MATCH(AH$5,'Oxford Economics'!$A$6:$AZ$6,0),MATCH(AH$5&amp;"",'Oxford Economics'!$A$6:$AZ$6,0))),'Oxford Economics'!$A$7:$A$1000,$C49,'Oxford Economics'!$B$7:$B$1000,Settings!$B$17)))),""))</f>
        <v/>
      </c>
      <c r="AI49" s="37" t="str">
        <f aca="false">IF($A49="","",IFERROR(1/(1/IF($B49="Residential",SUMIFS(INDEX('Oxford Economics'!$A$7:$AZ$1000,0,IFERROR(MATCH(AI$5,'Oxford Economics'!$A$6:$AZ$6,0),MATCH(AI$5&amp;"",'Oxford Economics'!$A$6:$AZ$6,0))),'Oxford Economics'!$A$7:$A$1000,$C49,'Oxford Economics'!$B$7:$B$1000,Settings!$B$11)-SUMIFS(INDEX('Oxford Economics'!$A$7:$AZ$1000,0,IFERROR(MATCH(AI$5,'Oxford Economics'!$A$6:$AZ$6,0),MATCH(AI$5&amp;"",'Oxford Economics'!$A$6:$AZ$6,0))),'Oxford Economics'!$A$7:$A$1000,$C49,'Oxford Economics'!$B$7:$B$1000,Settings!$B$13),SUMIFS(INDEX('Oxford Economics'!$A$7:$AZ$1000,0,IFERROR(MATCH(AI$5,'Oxford Economics'!$A$6:$AZ$6,0),MATCH(AI$5&amp;"",'Oxford Economics'!$A$6:$AZ$6,0))),'Oxford Economics'!$A$7:$A$1000,$C49,'Oxford Economics'!$B$7:$B$1000,Settings!$B$13)+SUMIFS(INDEX('Oxford Economics'!$A$7:$AZ$1000,0,IFERROR(MATCH(AI$5,'Oxford Economics'!$A$6:$AZ$6,0),MATCH(AI$5&amp;"",'Oxford Economics'!$A$6:$AZ$6,0))),'Oxford Economics'!$A$7:$A$1000,$C49,'Oxford Economics'!$B$7:$B$1000,Settings!$B$15)+IF(Settings!$B$17="",0,SUMIFS(INDEX('Oxford Economics'!$A$7:$AZ$1000,0,IFERROR(MATCH(AI$5,'Oxford Economics'!$A$6:$AZ$6,0),MATCH(AI$5&amp;"",'Oxford Economics'!$A$6:$AZ$6,0))),'Oxford Economics'!$A$7:$A$1000,$C49,'Oxford Economics'!$B$7:$B$1000,Settings!$B$17)))),""))</f>
        <v/>
      </c>
      <c r="AJ49" s="37" t="str">
        <f aca="false">IF($A49="","",IFERROR(1/(1/IF($B49="Residential",SUMIFS(INDEX('Oxford Economics'!$A$7:$AZ$1000,0,IFERROR(MATCH(AJ$5,'Oxford Economics'!$A$6:$AZ$6,0),MATCH(AJ$5&amp;"",'Oxford Economics'!$A$6:$AZ$6,0))),'Oxford Economics'!$A$7:$A$1000,$C49,'Oxford Economics'!$B$7:$B$1000,Settings!$B$11)-SUMIFS(INDEX('Oxford Economics'!$A$7:$AZ$1000,0,IFERROR(MATCH(AJ$5,'Oxford Economics'!$A$6:$AZ$6,0),MATCH(AJ$5&amp;"",'Oxford Economics'!$A$6:$AZ$6,0))),'Oxford Economics'!$A$7:$A$1000,$C49,'Oxford Economics'!$B$7:$B$1000,Settings!$B$13),SUMIFS(INDEX('Oxford Economics'!$A$7:$AZ$1000,0,IFERROR(MATCH(AJ$5,'Oxford Economics'!$A$6:$AZ$6,0),MATCH(AJ$5&amp;"",'Oxford Economics'!$A$6:$AZ$6,0))),'Oxford Economics'!$A$7:$A$1000,$C49,'Oxford Economics'!$B$7:$B$1000,Settings!$B$13)+SUMIFS(INDEX('Oxford Economics'!$A$7:$AZ$1000,0,IFERROR(MATCH(AJ$5,'Oxford Economics'!$A$6:$AZ$6,0),MATCH(AJ$5&amp;"",'Oxford Economics'!$A$6:$AZ$6,0))),'Oxford Economics'!$A$7:$A$1000,$C49,'Oxford Economics'!$B$7:$B$1000,Settings!$B$15)+IF(Settings!$B$17="",0,SUMIFS(INDEX('Oxford Economics'!$A$7:$AZ$1000,0,IFERROR(MATCH(AJ$5,'Oxford Economics'!$A$6:$AZ$6,0),MATCH(AJ$5&amp;"",'Oxford Economics'!$A$6:$AZ$6,0))),'Oxford Economics'!$A$7:$A$1000,$C49,'Oxford Economics'!$B$7:$B$1000,Settings!$B$17)))),""))</f>
        <v/>
      </c>
      <c r="AK49" s="37" t="str">
        <f aca="false">IF($A49="","",IFERROR(1/(1/IF($B49="Residential",SUMIFS(INDEX('Oxford Economics'!$A$7:$AZ$1000,0,IFERROR(MATCH(AK$5,'Oxford Economics'!$A$6:$AZ$6,0),MATCH(AK$5&amp;"",'Oxford Economics'!$A$6:$AZ$6,0))),'Oxford Economics'!$A$7:$A$1000,$C49,'Oxford Economics'!$B$7:$B$1000,Settings!$B$11)-SUMIFS(INDEX('Oxford Economics'!$A$7:$AZ$1000,0,IFERROR(MATCH(AK$5,'Oxford Economics'!$A$6:$AZ$6,0),MATCH(AK$5&amp;"",'Oxford Economics'!$A$6:$AZ$6,0))),'Oxford Economics'!$A$7:$A$1000,$C49,'Oxford Economics'!$B$7:$B$1000,Settings!$B$13),SUMIFS(INDEX('Oxford Economics'!$A$7:$AZ$1000,0,IFERROR(MATCH(AK$5,'Oxford Economics'!$A$6:$AZ$6,0),MATCH(AK$5&amp;"",'Oxford Economics'!$A$6:$AZ$6,0))),'Oxford Economics'!$A$7:$A$1000,$C49,'Oxford Economics'!$B$7:$B$1000,Settings!$B$13)+SUMIFS(INDEX('Oxford Economics'!$A$7:$AZ$1000,0,IFERROR(MATCH(AK$5,'Oxford Economics'!$A$6:$AZ$6,0),MATCH(AK$5&amp;"",'Oxford Economics'!$A$6:$AZ$6,0))),'Oxford Economics'!$A$7:$A$1000,$C49,'Oxford Economics'!$B$7:$B$1000,Settings!$B$15)+IF(Settings!$B$17="",0,SUMIFS(INDEX('Oxford Economics'!$A$7:$AZ$1000,0,IFERROR(MATCH(AK$5,'Oxford Economics'!$A$6:$AZ$6,0),MATCH(AK$5&amp;"",'Oxford Economics'!$A$6:$AZ$6,0))),'Oxford Economics'!$A$7:$A$1000,$C49,'Oxford Economics'!$B$7:$B$1000,Settings!$B$17)))),""))</f>
        <v/>
      </c>
      <c r="AL49" s="37" t="str">
        <f aca="false">IF($A49="","",IFERROR(1/(1/IF($B49="Residential",SUMIFS(INDEX('Oxford Economics'!$A$7:$AZ$1000,0,IFERROR(MATCH(AL$5,'Oxford Economics'!$A$6:$AZ$6,0),MATCH(AL$5&amp;"",'Oxford Economics'!$A$6:$AZ$6,0))),'Oxford Economics'!$A$7:$A$1000,$C49,'Oxford Economics'!$B$7:$B$1000,Settings!$B$11)-SUMIFS(INDEX('Oxford Economics'!$A$7:$AZ$1000,0,IFERROR(MATCH(AL$5,'Oxford Economics'!$A$6:$AZ$6,0),MATCH(AL$5&amp;"",'Oxford Economics'!$A$6:$AZ$6,0))),'Oxford Economics'!$A$7:$A$1000,$C49,'Oxford Economics'!$B$7:$B$1000,Settings!$B$13),SUMIFS(INDEX('Oxford Economics'!$A$7:$AZ$1000,0,IFERROR(MATCH(AL$5,'Oxford Economics'!$A$6:$AZ$6,0),MATCH(AL$5&amp;"",'Oxford Economics'!$A$6:$AZ$6,0))),'Oxford Economics'!$A$7:$A$1000,$C49,'Oxford Economics'!$B$7:$B$1000,Settings!$B$13)+SUMIFS(INDEX('Oxford Economics'!$A$7:$AZ$1000,0,IFERROR(MATCH(AL$5,'Oxford Economics'!$A$6:$AZ$6,0),MATCH(AL$5&amp;"",'Oxford Economics'!$A$6:$AZ$6,0))),'Oxford Economics'!$A$7:$A$1000,$C49,'Oxford Economics'!$B$7:$B$1000,Settings!$B$15)+IF(Settings!$B$17="",0,SUMIFS(INDEX('Oxford Economics'!$A$7:$AZ$1000,0,IFERROR(MATCH(AL$5,'Oxford Economics'!$A$6:$AZ$6,0),MATCH(AL$5&amp;"",'Oxford Economics'!$A$6:$AZ$6,0))),'Oxford Economics'!$A$7:$A$1000,$C49,'Oxford Economics'!$B$7:$B$1000,Settings!$B$17)))),""))</f>
        <v/>
      </c>
      <c r="AM49" s="37" t="str">
        <f aca="false">IF($A49="","",IFERROR(1/(1/IF($B49="Residential",SUMIFS(INDEX('Oxford Economics'!$A$7:$AZ$1000,0,IFERROR(MATCH(AM$5,'Oxford Economics'!$A$6:$AZ$6,0),MATCH(AM$5&amp;"",'Oxford Economics'!$A$6:$AZ$6,0))),'Oxford Economics'!$A$7:$A$1000,$C49,'Oxford Economics'!$B$7:$B$1000,Settings!$B$11)-SUMIFS(INDEX('Oxford Economics'!$A$7:$AZ$1000,0,IFERROR(MATCH(AM$5,'Oxford Economics'!$A$6:$AZ$6,0),MATCH(AM$5&amp;"",'Oxford Economics'!$A$6:$AZ$6,0))),'Oxford Economics'!$A$7:$A$1000,$C49,'Oxford Economics'!$B$7:$B$1000,Settings!$B$13),SUMIFS(INDEX('Oxford Economics'!$A$7:$AZ$1000,0,IFERROR(MATCH(AM$5,'Oxford Economics'!$A$6:$AZ$6,0),MATCH(AM$5&amp;"",'Oxford Economics'!$A$6:$AZ$6,0))),'Oxford Economics'!$A$7:$A$1000,$C49,'Oxford Economics'!$B$7:$B$1000,Settings!$B$13)+SUMIFS(INDEX('Oxford Economics'!$A$7:$AZ$1000,0,IFERROR(MATCH(AM$5,'Oxford Economics'!$A$6:$AZ$6,0),MATCH(AM$5&amp;"",'Oxford Economics'!$A$6:$AZ$6,0))),'Oxford Economics'!$A$7:$A$1000,$C49,'Oxford Economics'!$B$7:$B$1000,Settings!$B$15)+IF(Settings!$B$17="",0,SUMIFS(INDEX('Oxford Economics'!$A$7:$AZ$1000,0,IFERROR(MATCH(AM$5,'Oxford Economics'!$A$6:$AZ$6,0),MATCH(AM$5&amp;"",'Oxford Economics'!$A$6:$AZ$6,0))),'Oxford Economics'!$A$7:$A$1000,$C49,'Oxford Economics'!$B$7:$B$1000,Settings!$B$17)))),""))</f>
        <v/>
      </c>
    </row>
    <row r="50" customFormat="false" ht="15" hidden="false" customHeight="false" outlineLevel="0" collapsed="false">
      <c r="A50" s="36" t="str">
        <f aca="false">IF('Raw data'!$A50="","",'Raw data'!$A50)</f>
        <v/>
      </c>
      <c r="B50" s="36" t="str">
        <f aca="false">IF($A50="","",'Raw data'!$C50)</f>
        <v/>
      </c>
      <c r="C50" s="36" t="str">
        <f aca="false">IF($A50="","",IF('Raw data'!$D50="",$A50,'Raw data'!$D50))</f>
        <v/>
      </c>
      <c r="D50" s="37" t="str">
        <f aca="false">IF($A50="","",IF(AND(ISNUMBER(P50),ISNUMBER(AB50)),P50+AB50,""))</f>
        <v/>
      </c>
      <c r="E50" s="37" t="str">
        <f aca="false">IF($A50="","",IF(AND(ISNUMBER(Q50),ISNUMBER(AC50)),Q50+AC50,""))</f>
        <v/>
      </c>
      <c r="F50" s="37" t="str">
        <f aca="false">IF($A50="","",IF(AND(ISNUMBER(R50),ISNUMBER(AD50)),R50+AD50,""))</f>
        <v/>
      </c>
      <c r="G50" s="37" t="str">
        <f aca="false">IF($A50="","",IF(AND(ISNUMBER(S50),ISNUMBER(AE50)),S50+AE50,""))</f>
        <v/>
      </c>
      <c r="H50" s="37" t="str">
        <f aca="false">IF($A50="","",IF(AND(ISNUMBER(T50),ISNUMBER(AF50)),T50+AF50,""))</f>
        <v/>
      </c>
      <c r="I50" s="37" t="str">
        <f aca="false">IF($A50="","",IF(AND(ISNUMBER(U50),ISNUMBER(AG50)),U50+AG50,""))</f>
        <v/>
      </c>
      <c r="J50" s="37" t="str">
        <f aca="false">IF($A50="","",IF(AND(ISNUMBER(V50),ISNUMBER(AH50)),V50+AH50,""))</f>
        <v/>
      </c>
      <c r="K50" s="37" t="str">
        <f aca="false">IF($A50="","",IF(AND(ISNUMBER(W50),ISNUMBER(AI50)),W50+AI50,""))</f>
        <v/>
      </c>
      <c r="L50" s="37" t="str">
        <f aca="false">IF($A50="","",IF(AND(ISNUMBER(X50),ISNUMBER(AJ50)),X50+AJ50,""))</f>
        <v/>
      </c>
      <c r="M50" s="37" t="str">
        <f aca="false">IF($A50="","",IF(AND(ISNUMBER(Y50),ISNUMBER(AK50)),Y50+AK50,""))</f>
        <v/>
      </c>
      <c r="N50" s="37" t="str">
        <f aca="false">IF($A50="","",IF(AND(ISNUMBER(Z50),ISNUMBER(AL50)),Z50+AL50,""))</f>
        <v/>
      </c>
      <c r="O50" s="37" t="str">
        <f aca="false">IF($A50="","",IF(AND(ISNUMBER(AA50),ISNUMBER(AM50)),AA50+AM50,""))</f>
        <v/>
      </c>
      <c r="P50" s="37" t="str">
        <f aca="false">IF($A50="","",IFERROR(1/(1/IF($B50="Residential",SUMIFS(INDEX('Oxford Economics'!$A$7:$AZ$1000,0,IFERROR(MATCH(P$5,'Oxford Economics'!$A$6:$AZ$6,0),MATCH(P$5&amp;"",'Oxford Economics'!$A$6:$AZ$6,0))),'Oxford Economics'!$A$7:$A$1000,$C50,'Oxford Economics'!$B$7:$B$1000,Settings!$B$12)-SUMIFS(INDEX('Oxford Economics'!$A$7:$AZ$1000,0,IFERROR(MATCH(P$5,'Oxford Economics'!$A$6:$AZ$6,0),MATCH(P$5&amp;"",'Oxford Economics'!$A$6:$AZ$6,0))),'Oxford Economics'!$A$7:$A$1000,$C50,'Oxford Economics'!$B$7:$B$1000,Settings!$B$14),SUMIFS(INDEX('Oxford Economics'!$A$7:$AZ$1000,0,IFERROR(MATCH(P$5,'Oxford Economics'!$A$6:$AZ$6,0),MATCH(P$5&amp;"",'Oxford Economics'!$A$6:$AZ$6,0))),'Oxford Economics'!$A$7:$A$1000,$C50,'Oxford Economics'!$B$7:$B$1000,Settings!$B$14)+SUMIFS(INDEX('Oxford Economics'!$A$7:$AZ$1000,0,IFERROR(MATCH(P$5,'Oxford Economics'!$A$6:$AZ$6,0),MATCH(P$5&amp;"",'Oxford Economics'!$A$6:$AZ$6,0))),'Oxford Economics'!$A$7:$A$1000,$C50,'Oxford Economics'!$B$7:$B$1000,Settings!$B$16)+IF(Settings!$B$18="",0,SUMIFS(INDEX('Oxford Economics'!$A$7:$AZ$1000,0,IFERROR(MATCH(P$5,'Oxford Economics'!$A$6:$AZ$6,0),MATCH(P$5&amp;"",'Oxford Economics'!$A$6:$AZ$6,0))),'Oxford Economics'!$A$7:$A$1000,$C50,'Oxford Economics'!$B$7:$B$1000,Settings!$B$18)))),""))</f>
        <v/>
      </c>
      <c r="Q50" s="37" t="str">
        <f aca="false">IF($A50="","",IFERROR(1/(1/IF($B50="Residential",SUMIFS(INDEX('Oxford Economics'!$A$7:$AZ$1000,0,IFERROR(MATCH(Q$5,'Oxford Economics'!$A$6:$AZ$6,0),MATCH(Q$5&amp;"",'Oxford Economics'!$A$6:$AZ$6,0))),'Oxford Economics'!$A$7:$A$1000,$C50,'Oxford Economics'!$B$7:$B$1000,Settings!$B$12)-SUMIFS(INDEX('Oxford Economics'!$A$7:$AZ$1000,0,IFERROR(MATCH(Q$5,'Oxford Economics'!$A$6:$AZ$6,0),MATCH(Q$5&amp;"",'Oxford Economics'!$A$6:$AZ$6,0))),'Oxford Economics'!$A$7:$A$1000,$C50,'Oxford Economics'!$B$7:$B$1000,Settings!$B$14),SUMIFS(INDEX('Oxford Economics'!$A$7:$AZ$1000,0,IFERROR(MATCH(Q$5,'Oxford Economics'!$A$6:$AZ$6,0),MATCH(Q$5&amp;"",'Oxford Economics'!$A$6:$AZ$6,0))),'Oxford Economics'!$A$7:$A$1000,$C50,'Oxford Economics'!$B$7:$B$1000,Settings!$B$14)+SUMIFS(INDEX('Oxford Economics'!$A$7:$AZ$1000,0,IFERROR(MATCH(Q$5,'Oxford Economics'!$A$6:$AZ$6,0),MATCH(Q$5&amp;"",'Oxford Economics'!$A$6:$AZ$6,0))),'Oxford Economics'!$A$7:$A$1000,$C50,'Oxford Economics'!$B$7:$B$1000,Settings!$B$16)+IF(Settings!$B$18="",0,SUMIFS(INDEX('Oxford Economics'!$A$7:$AZ$1000,0,IFERROR(MATCH(Q$5,'Oxford Economics'!$A$6:$AZ$6,0),MATCH(Q$5&amp;"",'Oxford Economics'!$A$6:$AZ$6,0))),'Oxford Economics'!$A$7:$A$1000,$C50,'Oxford Economics'!$B$7:$B$1000,Settings!$B$18)))),""))</f>
        <v/>
      </c>
      <c r="R50" s="37" t="str">
        <f aca="false">IF($A50="","",IFERROR(1/(1/IF($B50="Residential",SUMIFS(INDEX('Oxford Economics'!$A$7:$AZ$1000,0,IFERROR(MATCH(R$5,'Oxford Economics'!$A$6:$AZ$6,0),MATCH(R$5&amp;"",'Oxford Economics'!$A$6:$AZ$6,0))),'Oxford Economics'!$A$7:$A$1000,$C50,'Oxford Economics'!$B$7:$B$1000,Settings!$B$12)-SUMIFS(INDEX('Oxford Economics'!$A$7:$AZ$1000,0,IFERROR(MATCH(R$5,'Oxford Economics'!$A$6:$AZ$6,0),MATCH(R$5&amp;"",'Oxford Economics'!$A$6:$AZ$6,0))),'Oxford Economics'!$A$7:$A$1000,$C50,'Oxford Economics'!$B$7:$B$1000,Settings!$B$14),SUMIFS(INDEX('Oxford Economics'!$A$7:$AZ$1000,0,IFERROR(MATCH(R$5,'Oxford Economics'!$A$6:$AZ$6,0),MATCH(R$5&amp;"",'Oxford Economics'!$A$6:$AZ$6,0))),'Oxford Economics'!$A$7:$A$1000,$C50,'Oxford Economics'!$B$7:$B$1000,Settings!$B$14)+SUMIFS(INDEX('Oxford Economics'!$A$7:$AZ$1000,0,IFERROR(MATCH(R$5,'Oxford Economics'!$A$6:$AZ$6,0),MATCH(R$5&amp;"",'Oxford Economics'!$A$6:$AZ$6,0))),'Oxford Economics'!$A$7:$A$1000,$C50,'Oxford Economics'!$B$7:$B$1000,Settings!$B$16)+IF(Settings!$B$18="",0,SUMIFS(INDEX('Oxford Economics'!$A$7:$AZ$1000,0,IFERROR(MATCH(R$5,'Oxford Economics'!$A$6:$AZ$6,0),MATCH(R$5&amp;"",'Oxford Economics'!$A$6:$AZ$6,0))),'Oxford Economics'!$A$7:$A$1000,$C50,'Oxford Economics'!$B$7:$B$1000,Settings!$B$18)))),""))</f>
        <v/>
      </c>
      <c r="S50" s="37" t="str">
        <f aca="false">IF($A50="","",IFERROR(1/(1/IF($B50="Residential",SUMIFS(INDEX('Oxford Economics'!$A$7:$AZ$1000,0,IFERROR(MATCH(S$5,'Oxford Economics'!$A$6:$AZ$6,0),MATCH(S$5&amp;"",'Oxford Economics'!$A$6:$AZ$6,0))),'Oxford Economics'!$A$7:$A$1000,$C50,'Oxford Economics'!$B$7:$B$1000,Settings!$B$12)-SUMIFS(INDEX('Oxford Economics'!$A$7:$AZ$1000,0,IFERROR(MATCH(S$5,'Oxford Economics'!$A$6:$AZ$6,0),MATCH(S$5&amp;"",'Oxford Economics'!$A$6:$AZ$6,0))),'Oxford Economics'!$A$7:$A$1000,$C50,'Oxford Economics'!$B$7:$B$1000,Settings!$B$14),SUMIFS(INDEX('Oxford Economics'!$A$7:$AZ$1000,0,IFERROR(MATCH(S$5,'Oxford Economics'!$A$6:$AZ$6,0),MATCH(S$5&amp;"",'Oxford Economics'!$A$6:$AZ$6,0))),'Oxford Economics'!$A$7:$A$1000,$C50,'Oxford Economics'!$B$7:$B$1000,Settings!$B$14)+SUMIFS(INDEX('Oxford Economics'!$A$7:$AZ$1000,0,IFERROR(MATCH(S$5,'Oxford Economics'!$A$6:$AZ$6,0),MATCH(S$5&amp;"",'Oxford Economics'!$A$6:$AZ$6,0))),'Oxford Economics'!$A$7:$A$1000,$C50,'Oxford Economics'!$B$7:$B$1000,Settings!$B$16)+IF(Settings!$B$18="",0,SUMIFS(INDEX('Oxford Economics'!$A$7:$AZ$1000,0,IFERROR(MATCH(S$5,'Oxford Economics'!$A$6:$AZ$6,0),MATCH(S$5&amp;"",'Oxford Economics'!$A$6:$AZ$6,0))),'Oxford Economics'!$A$7:$A$1000,$C50,'Oxford Economics'!$B$7:$B$1000,Settings!$B$18)))),""))</f>
        <v/>
      </c>
      <c r="T50" s="37" t="str">
        <f aca="false">IF($A50="","",IFERROR(1/(1/IF($B50="Residential",SUMIFS(INDEX('Oxford Economics'!$A$7:$AZ$1000,0,IFERROR(MATCH(T$5,'Oxford Economics'!$A$6:$AZ$6,0),MATCH(T$5&amp;"",'Oxford Economics'!$A$6:$AZ$6,0))),'Oxford Economics'!$A$7:$A$1000,$C50,'Oxford Economics'!$B$7:$B$1000,Settings!$B$12)-SUMIFS(INDEX('Oxford Economics'!$A$7:$AZ$1000,0,IFERROR(MATCH(T$5,'Oxford Economics'!$A$6:$AZ$6,0),MATCH(T$5&amp;"",'Oxford Economics'!$A$6:$AZ$6,0))),'Oxford Economics'!$A$7:$A$1000,$C50,'Oxford Economics'!$B$7:$B$1000,Settings!$B$14),SUMIFS(INDEX('Oxford Economics'!$A$7:$AZ$1000,0,IFERROR(MATCH(T$5,'Oxford Economics'!$A$6:$AZ$6,0),MATCH(T$5&amp;"",'Oxford Economics'!$A$6:$AZ$6,0))),'Oxford Economics'!$A$7:$A$1000,$C50,'Oxford Economics'!$B$7:$B$1000,Settings!$B$14)+SUMIFS(INDEX('Oxford Economics'!$A$7:$AZ$1000,0,IFERROR(MATCH(T$5,'Oxford Economics'!$A$6:$AZ$6,0),MATCH(T$5&amp;"",'Oxford Economics'!$A$6:$AZ$6,0))),'Oxford Economics'!$A$7:$A$1000,$C50,'Oxford Economics'!$B$7:$B$1000,Settings!$B$16)+IF(Settings!$B$18="",0,SUMIFS(INDEX('Oxford Economics'!$A$7:$AZ$1000,0,IFERROR(MATCH(T$5,'Oxford Economics'!$A$6:$AZ$6,0),MATCH(T$5&amp;"",'Oxford Economics'!$A$6:$AZ$6,0))),'Oxford Economics'!$A$7:$A$1000,$C50,'Oxford Economics'!$B$7:$B$1000,Settings!$B$18)))),""))</f>
        <v/>
      </c>
      <c r="U50" s="37" t="str">
        <f aca="false">IF($A50="","",IFERROR(1/(1/IF($B50="Residential",SUMIFS(INDEX('Oxford Economics'!$A$7:$AZ$1000,0,IFERROR(MATCH(U$5,'Oxford Economics'!$A$6:$AZ$6,0),MATCH(U$5&amp;"",'Oxford Economics'!$A$6:$AZ$6,0))),'Oxford Economics'!$A$7:$A$1000,$C50,'Oxford Economics'!$B$7:$B$1000,Settings!$B$12)-SUMIFS(INDEX('Oxford Economics'!$A$7:$AZ$1000,0,IFERROR(MATCH(U$5,'Oxford Economics'!$A$6:$AZ$6,0),MATCH(U$5&amp;"",'Oxford Economics'!$A$6:$AZ$6,0))),'Oxford Economics'!$A$7:$A$1000,$C50,'Oxford Economics'!$B$7:$B$1000,Settings!$B$14),SUMIFS(INDEX('Oxford Economics'!$A$7:$AZ$1000,0,IFERROR(MATCH(U$5,'Oxford Economics'!$A$6:$AZ$6,0),MATCH(U$5&amp;"",'Oxford Economics'!$A$6:$AZ$6,0))),'Oxford Economics'!$A$7:$A$1000,$C50,'Oxford Economics'!$B$7:$B$1000,Settings!$B$14)+SUMIFS(INDEX('Oxford Economics'!$A$7:$AZ$1000,0,IFERROR(MATCH(U$5,'Oxford Economics'!$A$6:$AZ$6,0),MATCH(U$5&amp;"",'Oxford Economics'!$A$6:$AZ$6,0))),'Oxford Economics'!$A$7:$A$1000,$C50,'Oxford Economics'!$B$7:$B$1000,Settings!$B$16)+IF(Settings!$B$18="",0,SUMIFS(INDEX('Oxford Economics'!$A$7:$AZ$1000,0,IFERROR(MATCH(U$5,'Oxford Economics'!$A$6:$AZ$6,0),MATCH(U$5&amp;"",'Oxford Economics'!$A$6:$AZ$6,0))),'Oxford Economics'!$A$7:$A$1000,$C50,'Oxford Economics'!$B$7:$B$1000,Settings!$B$18)))),""))</f>
        <v/>
      </c>
      <c r="V50" s="37" t="str">
        <f aca="false">IF($A50="","",IFERROR(1/(1/IF($B50="Residential",SUMIFS(INDEX('Oxford Economics'!$A$7:$AZ$1000,0,IFERROR(MATCH(V$5,'Oxford Economics'!$A$6:$AZ$6,0),MATCH(V$5&amp;"",'Oxford Economics'!$A$6:$AZ$6,0))),'Oxford Economics'!$A$7:$A$1000,$C50,'Oxford Economics'!$B$7:$B$1000,Settings!$B$12)-SUMIFS(INDEX('Oxford Economics'!$A$7:$AZ$1000,0,IFERROR(MATCH(V$5,'Oxford Economics'!$A$6:$AZ$6,0),MATCH(V$5&amp;"",'Oxford Economics'!$A$6:$AZ$6,0))),'Oxford Economics'!$A$7:$A$1000,$C50,'Oxford Economics'!$B$7:$B$1000,Settings!$B$14),SUMIFS(INDEX('Oxford Economics'!$A$7:$AZ$1000,0,IFERROR(MATCH(V$5,'Oxford Economics'!$A$6:$AZ$6,0),MATCH(V$5&amp;"",'Oxford Economics'!$A$6:$AZ$6,0))),'Oxford Economics'!$A$7:$A$1000,$C50,'Oxford Economics'!$B$7:$B$1000,Settings!$B$14)+SUMIFS(INDEX('Oxford Economics'!$A$7:$AZ$1000,0,IFERROR(MATCH(V$5,'Oxford Economics'!$A$6:$AZ$6,0),MATCH(V$5&amp;"",'Oxford Economics'!$A$6:$AZ$6,0))),'Oxford Economics'!$A$7:$A$1000,$C50,'Oxford Economics'!$B$7:$B$1000,Settings!$B$16)+IF(Settings!$B$18="",0,SUMIFS(INDEX('Oxford Economics'!$A$7:$AZ$1000,0,IFERROR(MATCH(V$5,'Oxford Economics'!$A$6:$AZ$6,0),MATCH(V$5&amp;"",'Oxford Economics'!$A$6:$AZ$6,0))),'Oxford Economics'!$A$7:$A$1000,$C50,'Oxford Economics'!$B$7:$B$1000,Settings!$B$18)))),""))</f>
        <v/>
      </c>
      <c r="W50" s="37" t="str">
        <f aca="false">IF($A50="","",IFERROR(1/(1/IF($B50="Residential",SUMIFS(INDEX('Oxford Economics'!$A$7:$AZ$1000,0,IFERROR(MATCH(W$5,'Oxford Economics'!$A$6:$AZ$6,0),MATCH(W$5&amp;"",'Oxford Economics'!$A$6:$AZ$6,0))),'Oxford Economics'!$A$7:$A$1000,$C50,'Oxford Economics'!$B$7:$B$1000,Settings!$B$12)-SUMIFS(INDEX('Oxford Economics'!$A$7:$AZ$1000,0,IFERROR(MATCH(W$5,'Oxford Economics'!$A$6:$AZ$6,0),MATCH(W$5&amp;"",'Oxford Economics'!$A$6:$AZ$6,0))),'Oxford Economics'!$A$7:$A$1000,$C50,'Oxford Economics'!$B$7:$B$1000,Settings!$B$14),SUMIFS(INDEX('Oxford Economics'!$A$7:$AZ$1000,0,IFERROR(MATCH(W$5,'Oxford Economics'!$A$6:$AZ$6,0),MATCH(W$5&amp;"",'Oxford Economics'!$A$6:$AZ$6,0))),'Oxford Economics'!$A$7:$A$1000,$C50,'Oxford Economics'!$B$7:$B$1000,Settings!$B$14)+SUMIFS(INDEX('Oxford Economics'!$A$7:$AZ$1000,0,IFERROR(MATCH(W$5,'Oxford Economics'!$A$6:$AZ$6,0),MATCH(W$5&amp;"",'Oxford Economics'!$A$6:$AZ$6,0))),'Oxford Economics'!$A$7:$A$1000,$C50,'Oxford Economics'!$B$7:$B$1000,Settings!$B$16)+IF(Settings!$B$18="",0,SUMIFS(INDEX('Oxford Economics'!$A$7:$AZ$1000,0,IFERROR(MATCH(W$5,'Oxford Economics'!$A$6:$AZ$6,0),MATCH(W$5&amp;"",'Oxford Economics'!$A$6:$AZ$6,0))),'Oxford Economics'!$A$7:$A$1000,$C50,'Oxford Economics'!$B$7:$B$1000,Settings!$B$18)))),""))</f>
        <v/>
      </c>
      <c r="X50" s="37" t="str">
        <f aca="false">IF($A50="","",IFERROR(1/(1/IF($B50="Residential",SUMIFS(INDEX('Oxford Economics'!$A$7:$AZ$1000,0,IFERROR(MATCH(X$5,'Oxford Economics'!$A$6:$AZ$6,0),MATCH(X$5&amp;"",'Oxford Economics'!$A$6:$AZ$6,0))),'Oxford Economics'!$A$7:$A$1000,$C50,'Oxford Economics'!$B$7:$B$1000,Settings!$B$12)-SUMIFS(INDEX('Oxford Economics'!$A$7:$AZ$1000,0,IFERROR(MATCH(X$5,'Oxford Economics'!$A$6:$AZ$6,0),MATCH(X$5&amp;"",'Oxford Economics'!$A$6:$AZ$6,0))),'Oxford Economics'!$A$7:$A$1000,$C50,'Oxford Economics'!$B$7:$B$1000,Settings!$B$14),SUMIFS(INDEX('Oxford Economics'!$A$7:$AZ$1000,0,IFERROR(MATCH(X$5,'Oxford Economics'!$A$6:$AZ$6,0),MATCH(X$5&amp;"",'Oxford Economics'!$A$6:$AZ$6,0))),'Oxford Economics'!$A$7:$A$1000,$C50,'Oxford Economics'!$B$7:$B$1000,Settings!$B$14)+SUMIFS(INDEX('Oxford Economics'!$A$7:$AZ$1000,0,IFERROR(MATCH(X$5,'Oxford Economics'!$A$6:$AZ$6,0),MATCH(X$5&amp;"",'Oxford Economics'!$A$6:$AZ$6,0))),'Oxford Economics'!$A$7:$A$1000,$C50,'Oxford Economics'!$B$7:$B$1000,Settings!$B$16)+IF(Settings!$B$18="",0,SUMIFS(INDEX('Oxford Economics'!$A$7:$AZ$1000,0,IFERROR(MATCH(X$5,'Oxford Economics'!$A$6:$AZ$6,0),MATCH(X$5&amp;"",'Oxford Economics'!$A$6:$AZ$6,0))),'Oxford Economics'!$A$7:$A$1000,$C50,'Oxford Economics'!$B$7:$B$1000,Settings!$B$18)))),""))</f>
        <v/>
      </c>
      <c r="Y50" s="37" t="str">
        <f aca="false">IF($A50="","",IFERROR(1/(1/IF($B50="Residential",SUMIFS(INDEX('Oxford Economics'!$A$7:$AZ$1000,0,IFERROR(MATCH(Y$5,'Oxford Economics'!$A$6:$AZ$6,0),MATCH(Y$5&amp;"",'Oxford Economics'!$A$6:$AZ$6,0))),'Oxford Economics'!$A$7:$A$1000,$C50,'Oxford Economics'!$B$7:$B$1000,Settings!$B$12)-SUMIFS(INDEX('Oxford Economics'!$A$7:$AZ$1000,0,IFERROR(MATCH(Y$5,'Oxford Economics'!$A$6:$AZ$6,0),MATCH(Y$5&amp;"",'Oxford Economics'!$A$6:$AZ$6,0))),'Oxford Economics'!$A$7:$A$1000,$C50,'Oxford Economics'!$B$7:$B$1000,Settings!$B$14),SUMIFS(INDEX('Oxford Economics'!$A$7:$AZ$1000,0,IFERROR(MATCH(Y$5,'Oxford Economics'!$A$6:$AZ$6,0),MATCH(Y$5&amp;"",'Oxford Economics'!$A$6:$AZ$6,0))),'Oxford Economics'!$A$7:$A$1000,$C50,'Oxford Economics'!$B$7:$B$1000,Settings!$B$14)+SUMIFS(INDEX('Oxford Economics'!$A$7:$AZ$1000,0,IFERROR(MATCH(Y$5,'Oxford Economics'!$A$6:$AZ$6,0),MATCH(Y$5&amp;"",'Oxford Economics'!$A$6:$AZ$6,0))),'Oxford Economics'!$A$7:$A$1000,$C50,'Oxford Economics'!$B$7:$B$1000,Settings!$B$16)+IF(Settings!$B$18="",0,SUMIFS(INDEX('Oxford Economics'!$A$7:$AZ$1000,0,IFERROR(MATCH(Y$5,'Oxford Economics'!$A$6:$AZ$6,0),MATCH(Y$5&amp;"",'Oxford Economics'!$A$6:$AZ$6,0))),'Oxford Economics'!$A$7:$A$1000,$C50,'Oxford Economics'!$B$7:$B$1000,Settings!$B$18)))),""))</f>
        <v/>
      </c>
      <c r="Z50" s="37" t="str">
        <f aca="false">IF($A50="","",IFERROR(1/(1/IF($B50="Residential",SUMIFS(INDEX('Oxford Economics'!$A$7:$AZ$1000,0,IFERROR(MATCH(Z$5,'Oxford Economics'!$A$6:$AZ$6,0),MATCH(Z$5&amp;"",'Oxford Economics'!$A$6:$AZ$6,0))),'Oxford Economics'!$A$7:$A$1000,$C50,'Oxford Economics'!$B$7:$B$1000,Settings!$B$12)-SUMIFS(INDEX('Oxford Economics'!$A$7:$AZ$1000,0,IFERROR(MATCH(Z$5,'Oxford Economics'!$A$6:$AZ$6,0),MATCH(Z$5&amp;"",'Oxford Economics'!$A$6:$AZ$6,0))),'Oxford Economics'!$A$7:$A$1000,$C50,'Oxford Economics'!$B$7:$B$1000,Settings!$B$14),SUMIFS(INDEX('Oxford Economics'!$A$7:$AZ$1000,0,IFERROR(MATCH(Z$5,'Oxford Economics'!$A$6:$AZ$6,0),MATCH(Z$5&amp;"",'Oxford Economics'!$A$6:$AZ$6,0))),'Oxford Economics'!$A$7:$A$1000,$C50,'Oxford Economics'!$B$7:$B$1000,Settings!$B$14)+SUMIFS(INDEX('Oxford Economics'!$A$7:$AZ$1000,0,IFERROR(MATCH(Z$5,'Oxford Economics'!$A$6:$AZ$6,0),MATCH(Z$5&amp;"",'Oxford Economics'!$A$6:$AZ$6,0))),'Oxford Economics'!$A$7:$A$1000,$C50,'Oxford Economics'!$B$7:$B$1000,Settings!$B$16)+IF(Settings!$B$18="",0,SUMIFS(INDEX('Oxford Economics'!$A$7:$AZ$1000,0,IFERROR(MATCH(Z$5,'Oxford Economics'!$A$6:$AZ$6,0),MATCH(Z$5&amp;"",'Oxford Economics'!$A$6:$AZ$6,0))),'Oxford Economics'!$A$7:$A$1000,$C50,'Oxford Economics'!$B$7:$B$1000,Settings!$B$18)))),""))</f>
        <v/>
      </c>
      <c r="AA50" s="37" t="str">
        <f aca="false">IF($A50="","",IFERROR(1/(1/IF($B50="Residential",SUMIFS(INDEX('Oxford Economics'!$A$7:$AZ$1000,0,IFERROR(MATCH(AA$5,'Oxford Economics'!$A$6:$AZ$6,0),MATCH(AA$5&amp;"",'Oxford Economics'!$A$6:$AZ$6,0))),'Oxford Economics'!$A$7:$A$1000,$C50,'Oxford Economics'!$B$7:$B$1000,Settings!$B$12)-SUMIFS(INDEX('Oxford Economics'!$A$7:$AZ$1000,0,IFERROR(MATCH(AA$5,'Oxford Economics'!$A$6:$AZ$6,0),MATCH(AA$5&amp;"",'Oxford Economics'!$A$6:$AZ$6,0))),'Oxford Economics'!$A$7:$A$1000,$C50,'Oxford Economics'!$B$7:$B$1000,Settings!$B$14),SUMIFS(INDEX('Oxford Economics'!$A$7:$AZ$1000,0,IFERROR(MATCH(AA$5,'Oxford Economics'!$A$6:$AZ$6,0),MATCH(AA$5&amp;"",'Oxford Economics'!$A$6:$AZ$6,0))),'Oxford Economics'!$A$7:$A$1000,$C50,'Oxford Economics'!$B$7:$B$1000,Settings!$B$14)+SUMIFS(INDEX('Oxford Economics'!$A$7:$AZ$1000,0,IFERROR(MATCH(AA$5,'Oxford Economics'!$A$6:$AZ$6,0),MATCH(AA$5&amp;"",'Oxford Economics'!$A$6:$AZ$6,0))),'Oxford Economics'!$A$7:$A$1000,$C50,'Oxford Economics'!$B$7:$B$1000,Settings!$B$16)+IF(Settings!$B$18="",0,SUMIFS(INDEX('Oxford Economics'!$A$7:$AZ$1000,0,IFERROR(MATCH(AA$5,'Oxford Economics'!$A$6:$AZ$6,0),MATCH(AA$5&amp;"",'Oxford Economics'!$A$6:$AZ$6,0))),'Oxford Economics'!$A$7:$A$1000,$C50,'Oxford Economics'!$B$7:$B$1000,Settings!$B$18)))),""))</f>
        <v/>
      </c>
      <c r="AB50" s="37" t="str">
        <f aca="false">IF($A50="","",IFERROR(1/(1/IF($B50="Residential",SUMIFS(INDEX('Oxford Economics'!$A$7:$AZ$1000,0,IFERROR(MATCH(AB$5,'Oxford Economics'!$A$6:$AZ$6,0),MATCH(AB$5&amp;"",'Oxford Economics'!$A$6:$AZ$6,0))),'Oxford Economics'!$A$7:$A$1000,$C50,'Oxford Economics'!$B$7:$B$1000,Settings!$B$11)-SUMIFS(INDEX('Oxford Economics'!$A$7:$AZ$1000,0,IFERROR(MATCH(AB$5,'Oxford Economics'!$A$6:$AZ$6,0),MATCH(AB$5&amp;"",'Oxford Economics'!$A$6:$AZ$6,0))),'Oxford Economics'!$A$7:$A$1000,$C50,'Oxford Economics'!$B$7:$B$1000,Settings!$B$13),SUMIFS(INDEX('Oxford Economics'!$A$7:$AZ$1000,0,IFERROR(MATCH(AB$5,'Oxford Economics'!$A$6:$AZ$6,0),MATCH(AB$5&amp;"",'Oxford Economics'!$A$6:$AZ$6,0))),'Oxford Economics'!$A$7:$A$1000,$C50,'Oxford Economics'!$B$7:$B$1000,Settings!$B$13)+SUMIFS(INDEX('Oxford Economics'!$A$7:$AZ$1000,0,IFERROR(MATCH(AB$5,'Oxford Economics'!$A$6:$AZ$6,0),MATCH(AB$5&amp;"",'Oxford Economics'!$A$6:$AZ$6,0))),'Oxford Economics'!$A$7:$A$1000,$C50,'Oxford Economics'!$B$7:$B$1000,Settings!$B$15)+IF(Settings!$B$17="",0,SUMIFS(INDEX('Oxford Economics'!$A$7:$AZ$1000,0,IFERROR(MATCH(AB$5,'Oxford Economics'!$A$6:$AZ$6,0),MATCH(AB$5&amp;"",'Oxford Economics'!$A$6:$AZ$6,0))),'Oxford Economics'!$A$7:$A$1000,$C50,'Oxford Economics'!$B$7:$B$1000,Settings!$B$17)))),""))</f>
        <v/>
      </c>
      <c r="AC50" s="37" t="str">
        <f aca="false">IF($A50="","",IFERROR(1/(1/IF($B50="Residential",SUMIFS(INDEX('Oxford Economics'!$A$7:$AZ$1000,0,IFERROR(MATCH(AC$5,'Oxford Economics'!$A$6:$AZ$6,0),MATCH(AC$5&amp;"",'Oxford Economics'!$A$6:$AZ$6,0))),'Oxford Economics'!$A$7:$A$1000,$C50,'Oxford Economics'!$B$7:$B$1000,Settings!$B$11)-SUMIFS(INDEX('Oxford Economics'!$A$7:$AZ$1000,0,IFERROR(MATCH(AC$5,'Oxford Economics'!$A$6:$AZ$6,0),MATCH(AC$5&amp;"",'Oxford Economics'!$A$6:$AZ$6,0))),'Oxford Economics'!$A$7:$A$1000,$C50,'Oxford Economics'!$B$7:$B$1000,Settings!$B$13),SUMIFS(INDEX('Oxford Economics'!$A$7:$AZ$1000,0,IFERROR(MATCH(AC$5,'Oxford Economics'!$A$6:$AZ$6,0),MATCH(AC$5&amp;"",'Oxford Economics'!$A$6:$AZ$6,0))),'Oxford Economics'!$A$7:$A$1000,$C50,'Oxford Economics'!$B$7:$B$1000,Settings!$B$13)+SUMIFS(INDEX('Oxford Economics'!$A$7:$AZ$1000,0,IFERROR(MATCH(AC$5,'Oxford Economics'!$A$6:$AZ$6,0),MATCH(AC$5&amp;"",'Oxford Economics'!$A$6:$AZ$6,0))),'Oxford Economics'!$A$7:$A$1000,$C50,'Oxford Economics'!$B$7:$B$1000,Settings!$B$15)+IF(Settings!$B$17="",0,SUMIFS(INDEX('Oxford Economics'!$A$7:$AZ$1000,0,IFERROR(MATCH(AC$5,'Oxford Economics'!$A$6:$AZ$6,0),MATCH(AC$5&amp;"",'Oxford Economics'!$A$6:$AZ$6,0))),'Oxford Economics'!$A$7:$A$1000,$C50,'Oxford Economics'!$B$7:$B$1000,Settings!$B$17)))),""))</f>
        <v/>
      </c>
      <c r="AD50" s="37" t="str">
        <f aca="false">IF($A50="","",IFERROR(1/(1/IF($B50="Residential",SUMIFS(INDEX('Oxford Economics'!$A$7:$AZ$1000,0,IFERROR(MATCH(AD$5,'Oxford Economics'!$A$6:$AZ$6,0),MATCH(AD$5&amp;"",'Oxford Economics'!$A$6:$AZ$6,0))),'Oxford Economics'!$A$7:$A$1000,$C50,'Oxford Economics'!$B$7:$B$1000,Settings!$B$11)-SUMIFS(INDEX('Oxford Economics'!$A$7:$AZ$1000,0,IFERROR(MATCH(AD$5,'Oxford Economics'!$A$6:$AZ$6,0),MATCH(AD$5&amp;"",'Oxford Economics'!$A$6:$AZ$6,0))),'Oxford Economics'!$A$7:$A$1000,$C50,'Oxford Economics'!$B$7:$B$1000,Settings!$B$13),SUMIFS(INDEX('Oxford Economics'!$A$7:$AZ$1000,0,IFERROR(MATCH(AD$5,'Oxford Economics'!$A$6:$AZ$6,0),MATCH(AD$5&amp;"",'Oxford Economics'!$A$6:$AZ$6,0))),'Oxford Economics'!$A$7:$A$1000,$C50,'Oxford Economics'!$B$7:$B$1000,Settings!$B$13)+SUMIFS(INDEX('Oxford Economics'!$A$7:$AZ$1000,0,IFERROR(MATCH(AD$5,'Oxford Economics'!$A$6:$AZ$6,0),MATCH(AD$5&amp;"",'Oxford Economics'!$A$6:$AZ$6,0))),'Oxford Economics'!$A$7:$A$1000,$C50,'Oxford Economics'!$B$7:$B$1000,Settings!$B$15)+IF(Settings!$B$17="",0,SUMIFS(INDEX('Oxford Economics'!$A$7:$AZ$1000,0,IFERROR(MATCH(AD$5,'Oxford Economics'!$A$6:$AZ$6,0),MATCH(AD$5&amp;"",'Oxford Economics'!$A$6:$AZ$6,0))),'Oxford Economics'!$A$7:$A$1000,$C50,'Oxford Economics'!$B$7:$B$1000,Settings!$B$17)))),""))</f>
        <v/>
      </c>
      <c r="AE50" s="37" t="str">
        <f aca="false">IF($A50="","",IFERROR(1/(1/IF($B50="Residential",SUMIFS(INDEX('Oxford Economics'!$A$7:$AZ$1000,0,IFERROR(MATCH(AE$5,'Oxford Economics'!$A$6:$AZ$6,0),MATCH(AE$5&amp;"",'Oxford Economics'!$A$6:$AZ$6,0))),'Oxford Economics'!$A$7:$A$1000,$C50,'Oxford Economics'!$B$7:$B$1000,Settings!$B$11)-SUMIFS(INDEX('Oxford Economics'!$A$7:$AZ$1000,0,IFERROR(MATCH(AE$5,'Oxford Economics'!$A$6:$AZ$6,0),MATCH(AE$5&amp;"",'Oxford Economics'!$A$6:$AZ$6,0))),'Oxford Economics'!$A$7:$A$1000,$C50,'Oxford Economics'!$B$7:$B$1000,Settings!$B$13),SUMIFS(INDEX('Oxford Economics'!$A$7:$AZ$1000,0,IFERROR(MATCH(AE$5,'Oxford Economics'!$A$6:$AZ$6,0),MATCH(AE$5&amp;"",'Oxford Economics'!$A$6:$AZ$6,0))),'Oxford Economics'!$A$7:$A$1000,$C50,'Oxford Economics'!$B$7:$B$1000,Settings!$B$13)+SUMIFS(INDEX('Oxford Economics'!$A$7:$AZ$1000,0,IFERROR(MATCH(AE$5,'Oxford Economics'!$A$6:$AZ$6,0),MATCH(AE$5&amp;"",'Oxford Economics'!$A$6:$AZ$6,0))),'Oxford Economics'!$A$7:$A$1000,$C50,'Oxford Economics'!$B$7:$B$1000,Settings!$B$15)+IF(Settings!$B$17="",0,SUMIFS(INDEX('Oxford Economics'!$A$7:$AZ$1000,0,IFERROR(MATCH(AE$5,'Oxford Economics'!$A$6:$AZ$6,0),MATCH(AE$5&amp;"",'Oxford Economics'!$A$6:$AZ$6,0))),'Oxford Economics'!$A$7:$A$1000,$C50,'Oxford Economics'!$B$7:$B$1000,Settings!$B$17)))),""))</f>
        <v/>
      </c>
      <c r="AF50" s="37" t="str">
        <f aca="false">IF($A50="","",IFERROR(1/(1/IF($B50="Residential",SUMIFS(INDEX('Oxford Economics'!$A$7:$AZ$1000,0,IFERROR(MATCH(AF$5,'Oxford Economics'!$A$6:$AZ$6,0),MATCH(AF$5&amp;"",'Oxford Economics'!$A$6:$AZ$6,0))),'Oxford Economics'!$A$7:$A$1000,$C50,'Oxford Economics'!$B$7:$B$1000,Settings!$B$11)-SUMIFS(INDEX('Oxford Economics'!$A$7:$AZ$1000,0,IFERROR(MATCH(AF$5,'Oxford Economics'!$A$6:$AZ$6,0),MATCH(AF$5&amp;"",'Oxford Economics'!$A$6:$AZ$6,0))),'Oxford Economics'!$A$7:$A$1000,$C50,'Oxford Economics'!$B$7:$B$1000,Settings!$B$13),SUMIFS(INDEX('Oxford Economics'!$A$7:$AZ$1000,0,IFERROR(MATCH(AF$5,'Oxford Economics'!$A$6:$AZ$6,0),MATCH(AF$5&amp;"",'Oxford Economics'!$A$6:$AZ$6,0))),'Oxford Economics'!$A$7:$A$1000,$C50,'Oxford Economics'!$B$7:$B$1000,Settings!$B$13)+SUMIFS(INDEX('Oxford Economics'!$A$7:$AZ$1000,0,IFERROR(MATCH(AF$5,'Oxford Economics'!$A$6:$AZ$6,0),MATCH(AF$5&amp;"",'Oxford Economics'!$A$6:$AZ$6,0))),'Oxford Economics'!$A$7:$A$1000,$C50,'Oxford Economics'!$B$7:$B$1000,Settings!$B$15)+IF(Settings!$B$17="",0,SUMIFS(INDEX('Oxford Economics'!$A$7:$AZ$1000,0,IFERROR(MATCH(AF$5,'Oxford Economics'!$A$6:$AZ$6,0),MATCH(AF$5&amp;"",'Oxford Economics'!$A$6:$AZ$6,0))),'Oxford Economics'!$A$7:$A$1000,$C50,'Oxford Economics'!$B$7:$B$1000,Settings!$B$17)))),""))</f>
        <v/>
      </c>
      <c r="AG50" s="37" t="str">
        <f aca="false">IF($A50="","",IFERROR(1/(1/IF($B50="Residential",SUMIFS(INDEX('Oxford Economics'!$A$7:$AZ$1000,0,IFERROR(MATCH(AG$5,'Oxford Economics'!$A$6:$AZ$6,0),MATCH(AG$5&amp;"",'Oxford Economics'!$A$6:$AZ$6,0))),'Oxford Economics'!$A$7:$A$1000,$C50,'Oxford Economics'!$B$7:$B$1000,Settings!$B$11)-SUMIFS(INDEX('Oxford Economics'!$A$7:$AZ$1000,0,IFERROR(MATCH(AG$5,'Oxford Economics'!$A$6:$AZ$6,0),MATCH(AG$5&amp;"",'Oxford Economics'!$A$6:$AZ$6,0))),'Oxford Economics'!$A$7:$A$1000,$C50,'Oxford Economics'!$B$7:$B$1000,Settings!$B$13),SUMIFS(INDEX('Oxford Economics'!$A$7:$AZ$1000,0,IFERROR(MATCH(AG$5,'Oxford Economics'!$A$6:$AZ$6,0),MATCH(AG$5&amp;"",'Oxford Economics'!$A$6:$AZ$6,0))),'Oxford Economics'!$A$7:$A$1000,$C50,'Oxford Economics'!$B$7:$B$1000,Settings!$B$13)+SUMIFS(INDEX('Oxford Economics'!$A$7:$AZ$1000,0,IFERROR(MATCH(AG$5,'Oxford Economics'!$A$6:$AZ$6,0),MATCH(AG$5&amp;"",'Oxford Economics'!$A$6:$AZ$6,0))),'Oxford Economics'!$A$7:$A$1000,$C50,'Oxford Economics'!$B$7:$B$1000,Settings!$B$15)+IF(Settings!$B$17="",0,SUMIFS(INDEX('Oxford Economics'!$A$7:$AZ$1000,0,IFERROR(MATCH(AG$5,'Oxford Economics'!$A$6:$AZ$6,0),MATCH(AG$5&amp;"",'Oxford Economics'!$A$6:$AZ$6,0))),'Oxford Economics'!$A$7:$A$1000,$C50,'Oxford Economics'!$B$7:$B$1000,Settings!$B$17)))),""))</f>
        <v/>
      </c>
      <c r="AH50" s="37" t="str">
        <f aca="false">IF($A50="","",IFERROR(1/(1/IF($B50="Residential",SUMIFS(INDEX('Oxford Economics'!$A$7:$AZ$1000,0,IFERROR(MATCH(AH$5,'Oxford Economics'!$A$6:$AZ$6,0),MATCH(AH$5&amp;"",'Oxford Economics'!$A$6:$AZ$6,0))),'Oxford Economics'!$A$7:$A$1000,$C50,'Oxford Economics'!$B$7:$B$1000,Settings!$B$11)-SUMIFS(INDEX('Oxford Economics'!$A$7:$AZ$1000,0,IFERROR(MATCH(AH$5,'Oxford Economics'!$A$6:$AZ$6,0),MATCH(AH$5&amp;"",'Oxford Economics'!$A$6:$AZ$6,0))),'Oxford Economics'!$A$7:$A$1000,$C50,'Oxford Economics'!$B$7:$B$1000,Settings!$B$13),SUMIFS(INDEX('Oxford Economics'!$A$7:$AZ$1000,0,IFERROR(MATCH(AH$5,'Oxford Economics'!$A$6:$AZ$6,0),MATCH(AH$5&amp;"",'Oxford Economics'!$A$6:$AZ$6,0))),'Oxford Economics'!$A$7:$A$1000,$C50,'Oxford Economics'!$B$7:$B$1000,Settings!$B$13)+SUMIFS(INDEX('Oxford Economics'!$A$7:$AZ$1000,0,IFERROR(MATCH(AH$5,'Oxford Economics'!$A$6:$AZ$6,0),MATCH(AH$5&amp;"",'Oxford Economics'!$A$6:$AZ$6,0))),'Oxford Economics'!$A$7:$A$1000,$C50,'Oxford Economics'!$B$7:$B$1000,Settings!$B$15)+IF(Settings!$B$17="",0,SUMIFS(INDEX('Oxford Economics'!$A$7:$AZ$1000,0,IFERROR(MATCH(AH$5,'Oxford Economics'!$A$6:$AZ$6,0),MATCH(AH$5&amp;"",'Oxford Economics'!$A$6:$AZ$6,0))),'Oxford Economics'!$A$7:$A$1000,$C50,'Oxford Economics'!$B$7:$B$1000,Settings!$B$17)))),""))</f>
        <v/>
      </c>
      <c r="AI50" s="37" t="str">
        <f aca="false">IF($A50="","",IFERROR(1/(1/IF($B50="Residential",SUMIFS(INDEX('Oxford Economics'!$A$7:$AZ$1000,0,IFERROR(MATCH(AI$5,'Oxford Economics'!$A$6:$AZ$6,0),MATCH(AI$5&amp;"",'Oxford Economics'!$A$6:$AZ$6,0))),'Oxford Economics'!$A$7:$A$1000,$C50,'Oxford Economics'!$B$7:$B$1000,Settings!$B$11)-SUMIFS(INDEX('Oxford Economics'!$A$7:$AZ$1000,0,IFERROR(MATCH(AI$5,'Oxford Economics'!$A$6:$AZ$6,0),MATCH(AI$5&amp;"",'Oxford Economics'!$A$6:$AZ$6,0))),'Oxford Economics'!$A$7:$A$1000,$C50,'Oxford Economics'!$B$7:$B$1000,Settings!$B$13),SUMIFS(INDEX('Oxford Economics'!$A$7:$AZ$1000,0,IFERROR(MATCH(AI$5,'Oxford Economics'!$A$6:$AZ$6,0),MATCH(AI$5&amp;"",'Oxford Economics'!$A$6:$AZ$6,0))),'Oxford Economics'!$A$7:$A$1000,$C50,'Oxford Economics'!$B$7:$B$1000,Settings!$B$13)+SUMIFS(INDEX('Oxford Economics'!$A$7:$AZ$1000,0,IFERROR(MATCH(AI$5,'Oxford Economics'!$A$6:$AZ$6,0),MATCH(AI$5&amp;"",'Oxford Economics'!$A$6:$AZ$6,0))),'Oxford Economics'!$A$7:$A$1000,$C50,'Oxford Economics'!$B$7:$B$1000,Settings!$B$15)+IF(Settings!$B$17="",0,SUMIFS(INDEX('Oxford Economics'!$A$7:$AZ$1000,0,IFERROR(MATCH(AI$5,'Oxford Economics'!$A$6:$AZ$6,0),MATCH(AI$5&amp;"",'Oxford Economics'!$A$6:$AZ$6,0))),'Oxford Economics'!$A$7:$A$1000,$C50,'Oxford Economics'!$B$7:$B$1000,Settings!$B$17)))),""))</f>
        <v/>
      </c>
      <c r="AJ50" s="37" t="str">
        <f aca="false">IF($A50="","",IFERROR(1/(1/IF($B50="Residential",SUMIFS(INDEX('Oxford Economics'!$A$7:$AZ$1000,0,IFERROR(MATCH(AJ$5,'Oxford Economics'!$A$6:$AZ$6,0),MATCH(AJ$5&amp;"",'Oxford Economics'!$A$6:$AZ$6,0))),'Oxford Economics'!$A$7:$A$1000,$C50,'Oxford Economics'!$B$7:$B$1000,Settings!$B$11)-SUMIFS(INDEX('Oxford Economics'!$A$7:$AZ$1000,0,IFERROR(MATCH(AJ$5,'Oxford Economics'!$A$6:$AZ$6,0),MATCH(AJ$5&amp;"",'Oxford Economics'!$A$6:$AZ$6,0))),'Oxford Economics'!$A$7:$A$1000,$C50,'Oxford Economics'!$B$7:$B$1000,Settings!$B$13),SUMIFS(INDEX('Oxford Economics'!$A$7:$AZ$1000,0,IFERROR(MATCH(AJ$5,'Oxford Economics'!$A$6:$AZ$6,0),MATCH(AJ$5&amp;"",'Oxford Economics'!$A$6:$AZ$6,0))),'Oxford Economics'!$A$7:$A$1000,$C50,'Oxford Economics'!$B$7:$B$1000,Settings!$B$13)+SUMIFS(INDEX('Oxford Economics'!$A$7:$AZ$1000,0,IFERROR(MATCH(AJ$5,'Oxford Economics'!$A$6:$AZ$6,0),MATCH(AJ$5&amp;"",'Oxford Economics'!$A$6:$AZ$6,0))),'Oxford Economics'!$A$7:$A$1000,$C50,'Oxford Economics'!$B$7:$B$1000,Settings!$B$15)+IF(Settings!$B$17="",0,SUMIFS(INDEX('Oxford Economics'!$A$7:$AZ$1000,0,IFERROR(MATCH(AJ$5,'Oxford Economics'!$A$6:$AZ$6,0),MATCH(AJ$5&amp;"",'Oxford Economics'!$A$6:$AZ$6,0))),'Oxford Economics'!$A$7:$A$1000,$C50,'Oxford Economics'!$B$7:$B$1000,Settings!$B$17)))),""))</f>
        <v/>
      </c>
      <c r="AK50" s="37" t="str">
        <f aca="false">IF($A50="","",IFERROR(1/(1/IF($B50="Residential",SUMIFS(INDEX('Oxford Economics'!$A$7:$AZ$1000,0,IFERROR(MATCH(AK$5,'Oxford Economics'!$A$6:$AZ$6,0),MATCH(AK$5&amp;"",'Oxford Economics'!$A$6:$AZ$6,0))),'Oxford Economics'!$A$7:$A$1000,$C50,'Oxford Economics'!$B$7:$B$1000,Settings!$B$11)-SUMIFS(INDEX('Oxford Economics'!$A$7:$AZ$1000,0,IFERROR(MATCH(AK$5,'Oxford Economics'!$A$6:$AZ$6,0),MATCH(AK$5&amp;"",'Oxford Economics'!$A$6:$AZ$6,0))),'Oxford Economics'!$A$7:$A$1000,$C50,'Oxford Economics'!$B$7:$B$1000,Settings!$B$13),SUMIFS(INDEX('Oxford Economics'!$A$7:$AZ$1000,0,IFERROR(MATCH(AK$5,'Oxford Economics'!$A$6:$AZ$6,0),MATCH(AK$5&amp;"",'Oxford Economics'!$A$6:$AZ$6,0))),'Oxford Economics'!$A$7:$A$1000,$C50,'Oxford Economics'!$B$7:$B$1000,Settings!$B$13)+SUMIFS(INDEX('Oxford Economics'!$A$7:$AZ$1000,0,IFERROR(MATCH(AK$5,'Oxford Economics'!$A$6:$AZ$6,0),MATCH(AK$5&amp;"",'Oxford Economics'!$A$6:$AZ$6,0))),'Oxford Economics'!$A$7:$A$1000,$C50,'Oxford Economics'!$B$7:$B$1000,Settings!$B$15)+IF(Settings!$B$17="",0,SUMIFS(INDEX('Oxford Economics'!$A$7:$AZ$1000,0,IFERROR(MATCH(AK$5,'Oxford Economics'!$A$6:$AZ$6,0),MATCH(AK$5&amp;"",'Oxford Economics'!$A$6:$AZ$6,0))),'Oxford Economics'!$A$7:$A$1000,$C50,'Oxford Economics'!$B$7:$B$1000,Settings!$B$17)))),""))</f>
        <v/>
      </c>
      <c r="AL50" s="37" t="str">
        <f aca="false">IF($A50="","",IFERROR(1/(1/IF($B50="Residential",SUMIFS(INDEX('Oxford Economics'!$A$7:$AZ$1000,0,IFERROR(MATCH(AL$5,'Oxford Economics'!$A$6:$AZ$6,0),MATCH(AL$5&amp;"",'Oxford Economics'!$A$6:$AZ$6,0))),'Oxford Economics'!$A$7:$A$1000,$C50,'Oxford Economics'!$B$7:$B$1000,Settings!$B$11)-SUMIFS(INDEX('Oxford Economics'!$A$7:$AZ$1000,0,IFERROR(MATCH(AL$5,'Oxford Economics'!$A$6:$AZ$6,0),MATCH(AL$5&amp;"",'Oxford Economics'!$A$6:$AZ$6,0))),'Oxford Economics'!$A$7:$A$1000,$C50,'Oxford Economics'!$B$7:$B$1000,Settings!$B$13),SUMIFS(INDEX('Oxford Economics'!$A$7:$AZ$1000,0,IFERROR(MATCH(AL$5,'Oxford Economics'!$A$6:$AZ$6,0),MATCH(AL$5&amp;"",'Oxford Economics'!$A$6:$AZ$6,0))),'Oxford Economics'!$A$7:$A$1000,$C50,'Oxford Economics'!$B$7:$B$1000,Settings!$B$13)+SUMIFS(INDEX('Oxford Economics'!$A$7:$AZ$1000,0,IFERROR(MATCH(AL$5,'Oxford Economics'!$A$6:$AZ$6,0),MATCH(AL$5&amp;"",'Oxford Economics'!$A$6:$AZ$6,0))),'Oxford Economics'!$A$7:$A$1000,$C50,'Oxford Economics'!$B$7:$B$1000,Settings!$B$15)+IF(Settings!$B$17="",0,SUMIFS(INDEX('Oxford Economics'!$A$7:$AZ$1000,0,IFERROR(MATCH(AL$5,'Oxford Economics'!$A$6:$AZ$6,0),MATCH(AL$5&amp;"",'Oxford Economics'!$A$6:$AZ$6,0))),'Oxford Economics'!$A$7:$A$1000,$C50,'Oxford Economics'!$B$7:$B$1000,Settings!$B$17)))),""))</f>
        <v/>
      </c>
      <c r="AM50" s="37" t="str">
        <f aca="false">IF($A50="","",IFERROR(1/(1/IF($B50="Residential",SUMIFS(INDEX('Oxford Economics'!$A$7:$AZ$1000,0,IFERROR(MATCH(AM$5,'Oxford Economics'!$A$6:$AZ$6,0),MATCH(AM$5&amp;"",'Oxford Economics'!$A$6:$AZ$6,0))),'Oxford Economics'!$A$7:$A$1000,$C50,'Oxford Economics'!$B$7:$B$1000,Settings!$B$11)-SUMIFS(INDEX('Oxford Economics'!$A$7:$AZ$1000,0,IFERROR(MATCH(AM$5,'Oxford Economics'!$A$6:$AZ$6,0),MATCH(AM$5&amp;"",'Oxford Economics'!$A$6:$AZ$6,0))),'Oxford Economics'!$A$7:$A$1000,$C50,'Oxford Economics'!$B$7:$B$1000,Settings!$B$13),SUMIFS(INDEX('Oxford Economics'!$A$7:$AZ$1000,0,IFERROR(MATCH(AM$5,'Oxford Economics'!$A$6:$AZ$6,0),MATCH(AM$5&amp;"",'Oxford Economics'!$A$6:$AZ$6,0))),'Oxford Economics'!$A$7:$A$1000,$C50,'Oxford Economics'!$B$7:$B$1000,Settings!$B$13)+SUMIFS(INDEX('Oxford Economics'!$A$7:$AZ$1000,0,IFERROR(MATCH(AM$5,'Oxford Economics'!$A$6:$AZ$6,0),MATCH(AM$5&amp;"",'Oxford Economics'!$A$6:$AZ$6,0))),'Oxford Economics'!$A$7:$A$1000,$C50,'Oxford Economics'!$B$7:$B$1000,Settings!$B$15)+IF(Settings!$B$17="",0,SUMIFS(INDEX('Oxford Economics'!$A$7:$AZ$1000,0,IFERROR(MATCH(AM$5,'Oxford Economics'!$A$6:$AZ$6,0),MATCH(AM$5&amp;"",'Oxford Economics'!$A$6:$AZ$6,0))),'Oxford Economics'!$A$7:$A$1000,$C50,'Oxford Economics'!$B$7:$B$1000,Settings!$B$17)))),""))</f>
        <v/>
      </c>
    </row>
    <row r="51" customFormat="false" ht="15" hidden="false" customHeight="false" outlineLevel="0" collapsed="false">
      <c r="A51" s="36" t="str">
        <f aca="false">IF('Raw data'!$A51="","",'Raw data'!$A51)</f>
        <v/>
      </c>
      <c r="B51" s="36" t="str">
        <f aca="false">IF($A51="","",'Raw data'!$C51)</f>
        <v/>
      </c>
      <c r="C51" s="36" t="str">
        <f aca="false">IF($A51="","",IF('Raw data'!$D51="",$A51,'Raw data'!$D51))</f>
        <v/>
      </c>
      <c r="D51" s="37" t="str">
        <f aca="false">IF($A51="","",IF(AND(ISNUMBER(P51),ISNUMBER(AB51)),P51+AB51,""))</f>
        <v/>
      </c>
      <c r="E51" s="37" t="str">
        <f aca="false">IF($A51="","",IF(AND(ISNUMBER(Q51),ISNUMBER(AC51)),Q51+AC51,""))</f>
        <v/>
      </c>
      <c r="F51" s="37" t="str">
        <f aca="false">IF($A51="","",IF(AND(ISNUMBER(R51),ISNUMBER(AD51)),R51+AD51,""))</f>
        <v/>
      </c>
      <c r="G51" s="37" t="str">
        <f aca="false">IF($A51="","",IF(AND(ISNUMBER(S51),ISNUMBER(AE51)),S51+AE51,""))</f>
        <v/>
      </c>
      <c r="H51" s="37" t="str">
        <f aca="false">IF($A51="","",IF(AND(ISNUMBER(T51),ISNUMBER(AF51)),T51+AF51,""))</f>
        <v/>
      </c>
      <c r="I51" s="37" t="str">
        <f aca="false">IF($A51="","",IF(AND(ISNUMBER(U51),ISNUMBER(AG51)),U51+AG51,""))</f>
        <v/>
      </c>
      <c r="J51" s="37" t="str">
        <f aca="false">IF($A51="","",IF(AND(ISNUMBER(V51),ISNUMBER(AH51)),V51+AH51,""))</f>
        <v/>
      </c>
      <c r="K51" s="37" t="str">
        <f aca="false">IF($A51="","",IF(AND(ISNUMBER(W51),ISNUMBER(AI51)),W51+AI51,""))</f>
        <v/>
      </c>
      <c r="L51" s="37" t="str">
        <f aca="false">IF($A51="","",IF(AND(ISNUMBER(X51),ISNUMBER(AJ51)),X51+AJ51,""))</f>
        <v/>
      </c>
      <c r="M51" s="37" t="str">
        <f aca="false">IF($A51="","",IF(AND(ISNUMBER(Y51),ISNUMBER(AK51)),Y51+AK51,""))</f>
        <v/>
      </c>
      <c r="N51" s="37" t="str">
        <f aca="false">IF($A51="","",IF(AND(ISNUMBER(Z51),ISNUMBER(AL51)),Z51+AL51,""))</f>
        <v/>
      </c>
      <c r="O51" s="37" t="str">
        <f aca="false">IF($A51="","",IF(AND(ISNUMBER(AA51),ISNUMBER(AM51)),AA51+AM51,""))</f>
        <v/>
      </c>
      <c r="P51" s="37" t="str">
        <f aca="false">IF($A51="","",IFERROR(1/(1/IF($B51="Residential",SUMIFS(INDEX('Oxford Economics'!$A$7:$AZ$1000,0,IFERROR(MATCH(P$5,'Oxford Economics'!$A$6:$AZ$6,0),MATCH(P$5&amp;"",'Oxford Economics'!$A$6:$AZ$6,0))),'Oxford Economics'!$A$7:$A$1000,$C51,'Oxford Economics'!$B$7:$B$1000,Settings!$B$12)-SUMIFS(INDEX('Oxford Economics'!$A$7:$AZ$1000,0,IFERROR(MATCH(P$5,'Oxford Economics'!$A$6:$AZ$6,0),MATCH(P$5&amp;"",'Oxford Economics'!$A$6:$AZ$6,0))),'Oxford Economics'!$A$7:$A$1000,$C51,'Oxford Economics'!$B$7:$B$1000,Settings!$B$14),SUMIFS(INDEX('Oxford Economics'!$A$7:$AZ$1000,0,IFERROR(MATCH(P$5,'Oxford Economics'!$A$6:$AZ$6,0),MATCH(P$5&amp;"",'Oxford Economics'!$A$6:$AZ$6,0))),'Oxford Economics'!$A$7:$A$1000,$C51,'Oxford Economics'!$B$7:$B$1000,Settings!$B$14)+SUMIFS(INDEX('Oxford Economics'!$A$7:$AZ$1000,0,IFERROR(MATCH(P$5,'Oxford Economics'!$A$6:$AZ$6,0),MATCH(P$5&amp;"",'Oxford Economics'!$A$6:$AZ$6,0))),'Oxford Economics'!$A$7:$A$1000,$C51,'Oxford Economics'!$B$7:$B$1000,Settings!$B$16)+IF(Settings!$B$18="",0,SUMIFS(INDEX('Oxford Economics'!$A$7:$AZ$1000,0,IFERROR(MATCH(P$5,'Oxford Economics'!$A$6:$AZ$6,0),MATCH(P$5&amp;"",'Oxford Economics'!$A$6:$AZ$6,0))),'Oxford Economics'!$A$7:$A$1000,$C51,'Oxford Economics'!$B$7:$B$1000,Settings!$B$18)))),""))</f>
        <v/>
      </c>
      <c r="Q51" s="37" t="str">
        <f aca="false">IF($A51="","",IFERROR(1/(1/IF($B51="Residential",SUMIFS(INDEX('Oxford Economics'!$A$7:$AZ$1000,0,IFERROR(MATCH(Q$5,'Oxford Economics'!$A$6:$AZ$6,0),MATCH(Q$5&amp;"",'Oxford Economics'!$A$6:$AZ$6,0))),'Oxford Economics'!$A$7:$A$1000,$C51,'Oxford Economics'!$B$7:$B$1000,Settings!$B$12)-SUMIFS(INDEX('Oxford Economics'!$A$7:$AZ$1000,0,IFERROR(MATCH(Q$5,'Oxford Economics'!$A$6:$AZ$6,0),MATCH(Q$5&amp;"",'Oxford Economics'!$A$6:$AZ$6,0))),'Oxford Economics'!$A$7:$A$1000,$C51,'Oxford Economics'!$B$7:$B$1000,Settings!$B$14),SUMIFS(INDEX('Oxford Economics'!$A$7:$AZ$1000,0,IFERROR(MATCH(Q$5,'Oxford Economics'!$A$6:$AZ$6,0),MATCH(Q$5&amp;"",'Oxford Economics'!$A$6:$AZ$6,0))),'Oxford Economics'!$A$7:$A$1000,$C51,'Oxford Economics'!$B$7:$B$1000,Settings!$B$14)+SUMIFS(INDEX('Oxford Economics'!$A$7:$AZ$1000,0,IFERROR(MATCH(Q$5,'Oxford Economics'!$A$6:$AZ$6,0),MATCH(Q$5&amp;"",'Oxford Economics'!$A$6:$AZ$6,0))),'Oxford Economics'!$A$7:$A$1000,$C51,'Oxford Economics'!$B$7:$B$1000,Settings!$B$16)+IF(Settings!$B$18="",0,SUMIFS(INDEX('Oxford Economics'!$A$7:$AZ$1000,0,IFERROR(MATCH(Q$5,'Oxford Economics'!$A$6:$AZ$6,0),MATCH(Q$5&amp;"",'Oxford Economics'!$A$6:$AZ$6,0))),'Oxford Economics'!$A$7:$A$1000,$C51,'Oxford Economics'!$B$7:$B$1000,Settings!$B$18)))),""))</f>
        <v/>
      </c>
      <c r="R51" s="37" t="str">
        <f aca="false">IF($A51="","",IFERROR(1/(1/IF($B51="Residential",SUMIFS(INDEX('Oxford Economics'!$A$7:$AZ$1000,0,IFERROR(MATCH(R$5,'Oxford Economics'!$A$6:$AZ$6,0),MATCH(R$5&amp;"",'Oxford Economics'!$A$6:$AZ$6,0))),'Oxford Economics'!$A$7:$A$1000,$C51,'Oxford Economics'!$B$7:$B$1000,Settings!$B$12)-SUMIFS(INDEX('Oxford Economics'!$A$7:$AZ$1000,0,IFERROR(MATCH(R$5,'Oxford Economics'!$A$6:$AZ$6,0),MATCH(R$5&amp;"",'Oxford Economics'!$A$6:$AZ$6,0))),'Oxford Economics'!$A$7:$A$1000,$C51,'Oxford Economics'!$B$7:$B$1000,Settings!$B$14),SUMIFS(INDEX('Oxford Economics'!$A$7:$AZ$1000,0,IFERROR(MATCH(R$5,'Oxford Economics'!$A$6:$AZ$6,0),MATCH(R$5&amp;"",'Oxford Economics'!$A$6:$AZ$6,0))),'Oxford Economics'!$A$7:$A$1000,$C51,'Oxford Economics'!$B$7:$B$1000,Settings!$B$14)+SUMIFS(INDEX('Oxford Economics'!$A$7:$AZ$1000,0,IFERROR(MATCH(R$5,'Oxford Economics'!$A$6:$AZ$6,0),MATCH(R$5&amp;"",'Oxford Economics'!$A$6:$AZ$6,0))),'Oxford Economics'!$A$7:$A$1000,$C51,'Oxford Economics'!$B$7:$B$1000,Settings!$B$16)+IF(Settings!$B$18="",0,SUMIFS(INDEX('Oxford Economics'!$A$7:$AZ$1000,0,IFERROR(MATCH(R$5,'Oxford Economics'!$A$6:$AZ$6,0),MATCH(R$5&amp;"",'Oxford Economics'!$A$6:$AZ$6,0))),'Oxford Economics'!$A$7:$A$1000,$C51,'Oxford Economics'!$B$7:$B$1000,Settings!$B$18)))),""))</f>
        <v/>
      </c>
      <c r="S51" s="37" t="str">
        <f aca="false">IF($A51="","",IFERROR(1/(1/IF($B51="Residential",SUMIFS(INDEX('Oxford Economics'!$A$7:$AZ$1000,0,IFERROR(MATCH(S$5,'Oxford Economics'!$A$6:$AZ$6,0),MATCH(S$5&amp;"",'Oxford Economics'!$A$6:$AZ$6,0))),'Oxford Economics'!$A$7:$A$1000,$C51,'Oxford Economics'!$B$7:$B$1000,Settings!$B$12)-SUMIFS(INDEX('Oxford Economics'!$A$7:$AZ$1000,0,IFERROR(MATCH(S$5,'Oxford Economics'!$A$6:$AZ$6,0),MATCH(S$5&amp;"",'Oxford Economics'!$A$6:$AZ$6,0))),'Oxford Economics'!$A$7:$A$1000,$C51,'Oxford Economics'!$B$7:$B$1000,Settings!$B$14),SUMIFS(INDEX('Oxford Economics'!$A$7:$AZ$1000,0,IFERROR(MATCH(S$5,'Oxford Economics'!$A$6:$AZ$6,0),MATCH(S$5&amp;"",'Oxford Economics'!$A$6:$AZ$6,0))),'Oxford Economics'!$A$7:$A$1000,$C51,'Oxford Economics'!$B$7:$B$1000,Settings!$B$14)+SUMIFS(INDEX('Oxford Economics'!$A$7:$AZ$1000,0,IFERROR(MATCH(S$5,'Oxford Economics'!$A$6:$AZ$6,0),MATCH(S$5&amp;"",'Oxford Economics'!$A$6:$AZ$6,0))),'Oxford Economics'!$A$7:$A$1000,$C51,'Oxford Economics'!$B$7:$B$1000,Settings!$B$16)+IF(Settings!$B$18="",0,SUMIFS(INDEX('Oxford Economics'!$A$7:$AZ$1000,0,IFERROR(MATCH(S$5,'Oxford Economics'!$A$6:$AZ$6,0),MATCH(S$5&amp;"",'Oxford Economics'!$A$6:$AZ$6,0))),'Oxford Economics'!$A$7:$A$1000,$C51,'Oxford Economics'!$B$7:$B$1000,Settings!$B$18)))),""))</f>
        <v/>
      </c>
      <c r="T51" s="37" t="str">
        <f aca="false">IF($A51="","",IFERROR(1/(1/IF($B51="Residential",SUMIFS(INDEX('Oxford Economics'!$A$7:$AZ$1000,0,IFERROR(MATCH(T$5,'Oxford Economics'!$A$6:$AZ$6,0),MATCH(T$5&amp;"",'Oxford Economics'!$A$6:$AZ$6,0))),'Oxford Economics'!$A$7:$A$1000,$C51,'Oxford Economics'!$B$7:$B$1000,Settings!$B$12)-SUMIFS(INDEX('Oxford Economics'!$A$7:$AZ$1000,0,IFERROR(MATCH(T$5,'Oxford Economics'!$A$6:$AZ$6,0),MATCH(T$5&amp;"",'Oxford Economics'!$A$6:$AZ$6,0))),'Oxford Economics'!$A$7:$A$1000,$C51,'Oxford Economics'!$B$7:$B$1000,Settings!$B$14),SUMIFS(INDEX('Oxford Economics'!$A$7:$AZ$1000,0,IFERROR(MATCH(T$5,'Oxford Economics'!$A$6:$AZ$6,0),MATCH(T$5&amp;"",'Oxford Economics'!$A$6:$AZ$6,0))),'Oxford Economics'!$A$7:$A$1000,$C51,'Oxford Economics'!$B$7:$B$1000,Settings!$B$14)+SUMIFS(INDEX('Oxford Economics'!$A$7:$AZ$1000,0,IFERROR(MATCH(T$5,'Oxford Economics'!$A$6:$AZ$6,0),MATCH(T$5&amp;"",'Oxford Economics'!$A$6:$AZ$6,0))),'Oxford Economics'!$A$7:$A$1000,$C51,'Oxford Economics'!$B$7:$B$1000,Settings!$B$16)+IF(Settings!$B$18="",0,SUMIFS(INDEX('Oxford Economics'!$A$7:$AZ$1000,0,IFERROR(MATCH(T$5,'Oxford Economics'!$A$6:$AZ$6,0),MATCH(T$5&amp;"",'Oxford Economics'!$A$6:$AZ$6,0))),'Oxford Economics'!$A$7:$A$1000,$C51,'Oxford Economics'!$B$7:$B$1000,Settings!$B$18)))),""))</f>
        <v/>
      </c>
      <c r="U51" s="37" t="str">
        <f aca="false">IF($A51="","",IFERROR(1/(1/IF($B51="Residential",SUMIFS(INDEX('Oxford Economics'!$A$7:$AZ$1000,0,IFERROR(MATCH(U$5,'Oxford Economics'!$A$6:$AZ$6,0),MATCH(U$5&amp;"",'Oxford Economics'!$A$6:$AZ$6,0))),'Oxford Economics'!$A$7:$A$1000,$C51,'Oxford Economics'!$B$7:$B$1000,Settings!$B$12)-SUMIFS(INDEX('Oxford Economics'!$A$7:$AZ$1000,0,IFERROR(MATCH(U$5,'Oxford Economics'!$A$6:$AZ$6,0),MATCH(U$5&amp;"",'Oxford Economics'!$A$6:$AZ$6,0))),'Oxford Economics'!$A$7:$A$1000,$C51,'Oxford Economics'!$B$7:$B$1000,Settings!$B$14),SUMIFS(INDEX('Oxford Economics'!$A$7:$AZ$1000,0,IFERROR(MATCH(U$5,'Oxford Economics'!$A$6:$AZ$6,0),MATCH(U$5&amp;"",'Oxford Economics'!$A$6:$AZ$6,0))),'Oxford Economics'!$A$7:$A$1000,$C51,'Oxford Economics'!$B$7:$B$1000,Settings!$B$14)+SUMIFS(INDEX('Oxford Economics'!$A$7:$AZ$1000,0,IFERROR(MATCH(U$5,'Oxford Economics'!$A$6:$AZ$6,0),MATCH(U$5&amp;"",'Oxford Economics'!$A$6:$AZ$6,0))),'Oxford Economics'!$A$7:$A$1000,$C51,'Oxford Economics'!$B$7:$B$1000,Settings!$B$16)+IF(Settings!$B$18="",0,SUMIFS(INDEX('Oxford Economics'!$A$7:$AZ$1000,0,IFERROR(MATCH(U$5,'Oxford Economics'!$A$6:$AZ$6,0),MATCH(U$5&amp;"",'Oxford Economics'!$A$6:$AZ$6,0))),'Oxford Economics'!$A$7:$A$1000,$C51,'Oxford Economics'!$B$7:$B$1000,Settings!$B$18)))),""))</f>
        <v/>
      </c>
      <c r="V51" s="37" t="str">
        <f aca="false">IF($A51="","",IFERROR(1/(1/IF($B51="Residential",SUMIFS(INDEX('Oxford Economics'!$A$7:$AZ$1000,0,IFERROR(MATCH(V$5,'Oxford Economics'!$A$6:$AZ$6,0),MATCH(V$5&amp;"",'Oxford Economics'!$A$6:$AZ$6,0))),'Oxford Economics'!$A$7:$A$1000,$C51,'Oxford Economics'!$B$7:$B$1000,Settings!$B$12)-SUMIFS(INDEX('Oxford Economics'!$A$7:$AZ$1000,0,IFERROR(MATCH(V$5,'Oxford Economics'!$A$6:$AZ$6,0),MATCH(V$5&amp;"",'Oxford Economics'!$A$6:$AZ$6,0))),'Oxford Economics'!$A$7:$A$1000,$C51,'Oxford Economics'!$B$7:$B$1000,Settings!$B$14),SUMIFS(INDEX('Oxford Economics'!$A$7:$AZ$1000,0,IFERROR(MATCH(V$5,'Oxford Economics'!$A$6:$AZ$6,0),MATCH(V$5&amp;"",'Oxford Economics'!$A$6:$AZ$6,0))),'Oxford Economics'!$A$7:$A$1000,$C51,'Oxford Economics'!$B$7:$B$1000,Settings!$B$14)+SUMIFS(INDEX('Oxford Economics'!$A$7:$AZ$1000,0,IFERROR(MATCH(V$5,'Oxford Economics'!$A$6:$AZ$6,0),MATCH(V$5&amp;"",'Oxford Economics'!$A$6:$AZ$6,0))),'Oxford Economics'!$A$7:$A$1000,$C51,'Oxford Economics'!$B$7:$B$1000,Settings!$B$16)+IF(Settings!$B$18="",0,SUMIFS(INDEX('Oxford Economics'!$A$7:$AZ$1000,0,IFERROR(MATCH(V$5,'Oxford Economics'!$A$6:$AZ$6,0),MATCH(V$5&amp;"",'Oxford Economics'!$A$6:$AZ$6,0))),'Oxford Economics'!$A$7:$A$1000,$C51,'Oxford Economics'!$B$7:$B$1000,Settings!$B$18)))),""))</f>
        <v/>
      </c>
      <c r="W51" s="37" t="str">
        <f aca="false">IF($A51="","",IFERROR(1/(1/IF($B51="Residential",SUMIFS(INDEX('Oxford Economics'!$A$7:$AZ$1000,0,IFERROR(MATCH(W$5,'Oxford Economics'!$A$6:$AZ$6,0),MATCH(W$5&amp;"",'Oxford Economics'!$A$6:$AZ$6,0))),'Oxford Economics'!$A$7:$A$1000,$C51,'Oxford Economics'!$B$7:$B$1000,Settings!$B$12)-SUMIFS(INDEX('Oxford Economics'!$A$7:$AZ$1000,0,IFERROR(MATCH(W$5,'Oxford Economics'!$A$6:$AZ$6,0),MATCH(W$5&amp;"",'Oxford Economics'!$A$6:$AZ$6,0))),'Oxford Economics'!$A$7:$A$1000,$C51,'Oxford Economics'!$B$7:$B$1000,Settings!$B$14),SUMIFS(INDEX('Oxford Economics'!$A$7:$AZ$1000,0,IFERROR(MATCH(W$5,'Oxford Economics'!$A$6:$AZ$6,0),MATCH(W$5&amp;"",'Oxford Economics'!$A$6:$AZ$6,0))),'Oxford Economics'!$A$7:$A$1000,$C51,'Oxford Economics'!$B$7:$B$1000,Settings!$B$14)+SUMIFS(INDEX('Oxford Economics'!$A$7:$AZ$1000,0,IFERROR(MATCH(W$5,'Oxford Economics'!$A$6:$AZ$6,0),MATCH(W$5&amp;"",'Oxford Economics'!$A$6:$AZ$6,0))),'Oxford Economics'!$A$7:$A$1000,$C51,'Oxford Economics'!$B$7:$B$1000,Settings!$B$16)+IF(Settings!$B$18="",0,SUMIFS(INDEX('Oxford Economics'!$A$7:$AZ$1000,0,IFERROR(MATCH(W$5,'Oxford Economics'!$A$6:$AZ$6,0),MATCH(W$5&amp;"",'Oxford Economics'!$A$6:$AZ$6,0))),'Oxford Economics'!$A$7:$A$1000,$C51,'Oxford Economics'!$B$7:$B$1000,Settings!$B$18)))),""))</f>
        <v/>
      </c>
      <c r="X51" s="37" t="str">
        <f aca="false">IF($A51="","",IFERROR(1/(1/IF($B51="Residential",SUMIFS(INDEX('Oxford Economics'!$A$7:$AZ$1000,0,IFERROR(MATCH(X$5,'Oxford Economics'!$A$6:$AZ$6,0),MATCH(X$5&amp;"",'Oxford Economics'!$A$6:$AZ$6,0))),'Oxford Economics'!$A$7:$A$1000,$C51,'Oxford Economics'!$B$7:$B$1000,Settings!$B$12)-SUMIFS(INDEX('Oxford Economics'!$A$7:$AZ$1000,0,IFERROR(MATCH(X$5,'Oxford Economics'!$A$6:$AZ$6,0),MATCH(X$5&amp;"",'Oxford Economics'!$A$6:$AZ$6,0))),'Oxford Economics'!$A$7:$A$1000,$C51,'Oxford Economics'!$B$7:$B$1000,Settings!$B$14),SUMIFS(INDEX('Oxford Economics'!$A$7:$AZ$1000,0,IFERROR(MATCH(X$5,'Oxford Economics'!$A$6:$AZ$6,0),MATCH(X$5&amp;"",'Oxford Economics'!$A$6:$AZ$6,0))),'Oxford Economics'!$A$7:$A$1000,$C51,'Oxford Economics'!$B$7:$B$1000,Settings!$B$14)+SUMIFS(INDEX('Oxford Economics'!$A$7:$AZ$1000,0,IFERROR(MATCH(X$5,'Oxford Economics'!$A$6:$AZ$6,0),MATCH(X$5&amp;"",'Oxford Economics'!$A$6:$AZ$6,0))),'Oxford Economics'!$A$7:$A$1000,$C51,'Oxford Economics'!$B$7:$B$1000,Settings!$B$16)+IF(Settings!$B$18="",0,SUMIFS(INDEX('Oxford Economics'!$A$7:$AZ$1000,0,IFERROR(MATCH(X$5,'Oxford Economics'!$A$6:$AZ$6,0),MATCH(X$5&amp;"",'Oxford Economics'!$A$6:$AZ$6,0))),'Oxford Economics'!$A$7:$A$1000,$C51,'Oxford Economics'!$B$7:$B$1000,Settings!$B$18)))),""))</f>
        <v/>
      </c>
      <c r="Y51" s="37" t="str">
        <f aca="false">IF($A51="","",IFERROR(1/(1/IF($B51="Residential",SUMIFS(INDEX('Oxford Economics'!$A$7:$AZ$1000,0,IFERROR(MATCH(Y$5,'Oxford Economics'!$A$6:$AZ$6,0),MATCH(Y$5&amp;"",'Oxford Economics'!$A$6:$AZ$6,0))),'Oxford Economics'!$A$7:$A$1000,$C51,'Oxford Economics'!$B$7:$B$1000,Settings!$B$12)-SUMIFS(INDEX('Oxford Economics'!$A$7:$AZ$1000,0,IFERROR(MATCH(Y$5,'Oxford Economics'!$A$6:$AZ$6,0),MATCH(Y$5&amp;"",'Oxford Economics'!$A$6:$AZ$6,0))),'Oxford Economics'!$A$7:$A$1000,$C51,'Oxford Economics'!$B$7:$B$1000,Settings!$B$14),SUMIFS(INDEX('Oxford Economics'!$A$7:$AZ$1000,0,IFERROR(MATCH(Y$5,'Oxford Economics'!$A$6:$AZ$6,0),MATCH(Y$5&amp;"",'Oxford Economics'!$A$6:$AZ$6,0))),'Oxford Economics'!$A$7:$A$1000,$C51,'Oxford Economics'!$B$7:$B$1000,Settings!$B$14)+SUMIFS(INDEX('Oxford Economics'!$A$7:$AZ$1000,0,IFERROR(MATCH(Y$5,'Oxford Economics'!$A$6:$AZ$6,0),MATCH(Y$5&amp;"",'Oxford Economics'!$A$6:$AZ$6,0))),'Oxford Economics'!$A$7:$A$1000,$C51,'Oxford Economics'!$B$7:$B$1000,Settings!$B$16)+IF(Settings!$B$18="",0,SUMIFS(INDEX('Oxford Economics'!$A$7:$AZ$1000,0,IFERROR(MATCH(Y$5,'Oxford Economics'!$A$6:$AZ$6,0),MATCH(Y$5&amp;"",'Oxford Economics'!$A$6:$AZ$6,0))),'Oxford Economics'!$A$7:$A$1000,$C51,'Oxford Economics'!$B$7:$B$1000,Settings!$B$18)))),""))</f>
        <v/>
      </c>
      <c r="Z51" s="37" t="str">
        <f aca="false">IF($A51="","",IFERROR(1/(1/IF($B51="Residential",SUMIFS(INDEX('Oxford Economics'!$A$7:$AZ$1000,0,IFERROR(MATCH(Z$5,'Oxford Economics'!$A$6:$AZ$6,0),MATCH(Z$5&amp;"",'Oxford Economics'!$A$6:$AZ$6,0))),'Oxford Economics'!$A$7:$A$1000,$C51,'Oxford Economics'!$B$7:$B$1000,Settings!$B$12)-SUMIFS(INDEX('Oxford Economics'!$A$7:$AZ$1000,0,IFERROR(MATCH(Z$5,'Oxford Economics'!$A$6:$AZ$6,0),MATCH(Z$5&amp;"",'Oxford Economics'!$A$6:$AZ$6,0))),'Oxford Economics'!$A$7:$A$1000,$C51,'Oxford Economics'!$B$7:$B$1000,Settings!$B$14),SUMIFS(INDEX('Oxford Economics'!$A$7:$AZ$1000,0,IFERROR(MATCH(Z$5,'Oxford Economics'!$A$6:$AZ$6,0),MATCH(Z$5&amp;"",'Oxford Economics'!$A$6:$AZ$6,0))),'Oxford Economics'!$A$7:$A$1000,$C51,'Oxford Economics'!$B$7:$B$1000,Settings!$B$14)+SUMIFS(INDEX('Oxford Economics'!$A$7:$AZ$1000,0,IFERROR(MATCH(Z$5,'Oxford Economics'!$A$6:$AZ$6,0),MATCH(Z$5&amp;"",'Oxford Economics'!$A$6:$AZ$6,0))),'Oxford Economics'!$A$7:$A$1000,$C51,'Oxford Economics'!$B$7:$B$1000,Settings!$B$16)+IF(Settings!$B$18="",0,SUMIFS(INDEX('Oxford Economics'!$A$7:$AZ$1000,0,IFERROR(MATCH(Z$5,'Oxford Economics'!$A$6:$AZ$6,0),MATCH(Z$5&amp;"",'Oxford Economics'!$A$6:$AZ$6,0))),'Oxford Economics'!$A$7:$A$1000,$C51,'Oxford Economics'!$B$7:$B$1000,Settings!$B$18)))),""))</f>
        <v/>
      </c>
      <c r="AA51" s="37" t="str">
        <f aca="false">IF($A51="","",IFERROR(1/(1/IF($B51="Residential",SUMIFS(INDEX('Oxford Economics'!$A$7:$AZ$1000,0,IFERROR(MATCH(AA$5,'Oxford Economics'!$A$6:$AZ$6,0),MATCH(AA$5&amp;"",'Oxford Economics'!$A$6:$AZ$6,0))),'Oxford Economics'!$A$7:$A$1000,$C51,'Oxford Economics'!$B$7:$B$1000,Settings!$B$12)-SUMIFS(INDEX('Oxford Economics'!$A$7:$AZ$1000,0,IFERROR(MATCH(AA$5,'Oxford Economics'!$A$6:$AZ$6,0),MATCH(AA$5&amp;"",'Oxford Economics'!$A$6:$AZ$6,0))),'Oxford Economics'!$A$7:$A$1000,$C51,'Oxford Economics'!$B$7:$B$1000,Settings!$B$14),SUMIFS(INDEX('Oxford Economics'!$A$7:$AZ$1000,0,IFERROR(MATCH(AA$5,'Oxford Economics'!$A$6:$AZ$6,0),MATCH(AA$5&amp;"",'Oxford Economics'!$A$6:$AZ$6,0))),'Oxford Economics'!$A$7:$A$1000,$C51,'Oxford Economics'!$B$7:$B$1000,Settings!$B$14)+SUMIFS(INDEX('Oxford Economics'!$A$7:$AZ$1000,0,IFERROR(MATCH(AA$5,'Oxford Economics'!$A$6:$AZ$6,0),MATCH(AA$5&amp;"",'Oxford Economics'!$A$6:$AZ$6,0))),'Oxford Economics'!$A$7:$A$1000,$C51,'Oxford Economics'!$B$7:$B$1000,Settings!$B$16)+IF(Settings!$B$18="",0,SUMIFS(INDEX('Oxford Economics'!$A$7:$AZ$1000,0,IFERROR(MATCH(AA$5,'Oxford Economics'!$A$6:$AZ$6,0),MATCH(AA$5&amp;"",'Oxford Economics'!$A$6:$AZ$6,0))),'Oxford Economics'!$A$7:$A$1000,$C51,'Oxford Economics'!$B$7:$B$1000,Settings!$B$18)))),""))</f>
        <v/>
      </c>
      <c r="AB51" s="37" t="str">
        <f aca="false">IF($A51="","",IFERROR(1/(1/IF($B51="Residential",SUMIFS(INDEX('Oxford Economics'!$A$7:$AZ$1000,0,IFERROR(MATCH(AB$5,'Oxford Economics'!$A$6:$AZ$6,0),MATCH(AB$5&amp;"",'Oxford Economics'!$A$6:$AZ$6,0))),'Oxford Economics'!$A$7:$A$1000,$C51,'Oxford Economics'!$B$7:$B$1000,Settings!$B$11)-SUMIFS(INDEX('Oxford Economics'!$A$7:$AZ$1000,0,IFERROR(MATCH(AB$5,'Oxford Economics'!$A$6:$AZ$6,0),MATCH(AB$5&amp;"",'Oxford Economics'!$A$6:$AZ$6,0))),'Oxford Economics'!$A$7:$A$1000,$C51,'Oxford Economics'!$B$7:$B$1000,Settings!$B$13),SUMIFS(INDEX('Oxford Economics'!$A$7:$AZ$1000,0,IFERROR(MATCH(AB$5,'Oxford Economics'!$A$6:$AZ$6,0),MATCH(AB$5&amp;"",'Oxford Economics'!$A$6:$AZ$6,0))),'Oxford Economics'!$A$7:$A$1000,$C51,'Oxford Economics'!$B$7:$B$1000,Settings!$B$13)+SUMIFS(INDEX('Oxford Economics'!$A$7:$AZ$1000,0,IFERROR(MATCH(AB$5,'Oxford Economics'!$A$6:$AZ$6,0),MATCH(AB$5&amp;"",'Oxford Economics'!$A$6:$AZ$6,0))),'Oxford Economics'!$A$7:$A$1000,$C51,'Oxford Economics'!$B$7:$B$1000,Settings!$B$15)+IF(Settings!$B$17="",0,SUMIFS(INDEX('Oxford Economics'!$A$7:$AZ$1000,0,IFERROR(MATCH(AB$5,'Oxford Economics'!$A$6:$AZ$6,0),MATCH(AB$5&amp;"",'Oxford Economics'!$A$6:$AZ$6,0))),'Oxford Economics'!$A$7:$A$1000,$C51,'Oxford Economics'!$B$7:$B$1000,Settings!$B$17)))),""))</f>
        <v/>
      </c>
      <c r="AC51" s="37" t="str">
        <f aca="false">IF($A51="","",IFERROR(1/(1/IF($B51="Residential",SUMIFS(INDEX('Oxford Economics'!$A$7:$AZ$1000,0,IFERROR(MATCH(AC$5,'Oxford Economics'!$A$6:$AZ$6,0),MATCH(AC$5&amp;"",'Oxford Economics'!$A$6:$AZ$6,0))),'Oxford Economics'!$A$7:$A$1000,$C51,'Oxford Economics'!$B$7:$B$1000,Settings!$B$11)-SUMIFS(INDEX('Oxford Economics'!$A$7:$AZ$1000,0,IFERROR(MATCH(AC$5,'Oxford Economics'!$A$6:$AZ$6,0),MATCH(AC$5&amp;"",'Oxford Economics'!$A$6:$AZ$6,0))),'Oxford Economics'!$A$7:$A$1000,$C51,'Oxford Economics'!$B$7:$B$1000,Settings!$B$13),SUMIFS(INDEX('Oxford Economics'!$A$7:$AZ$1000,0,IFERROR(MATCH(AC$5,'Oxford Economics'!$A$6:$AZ$6,0),MATCH(AC$5&amp;"",'Oxford Economics'!$A$6:$AZ$6,0))),'Oxford Economics'!$A$7:$A$1000,$C51,'Oxford Economics'!$B$7:$B$1000,Settings!$B$13)+SUMIFS(INDEX('Oxford Economics'!$A$7:$AZ$1000,0,IFERROR(MATCH(AC$5,'Oxford Economics'!$A$6:$AZ$6,0),MATCH(AC$5&amp;"",'Oxford Economics'!$A$6:$AZ$6,0))),'Oxford Economics'!$A$7:$A$1000,$C51,'Oxford Economics'!$B$7:$B$1000,Settings!$B$15)+IF(Settings!$B$17="",0,SUMIFS(INDEX('Oxford Economics'!$A$7:$AZ$1000,0,IFERROR(MATCH(AC$5,'Oxford Economics'!$A$6:$AZ$6,0),MATCH(AC$5&amp;"",'Oxford Economics'!$A$6:$AZ$6,0))),'Oxford Economics'!$A$7:$A$1000,$C51,'Oxford Economics'!$B$7:$B$1000,Settings!$B$17)))),""))</f>
        <v/>
      </c>
      <c r="AD51" s="37" t="str">
        <f aca="false">IF($A51="","",IFERROR(1/(1/IF($B51="Residential",SUMIFS(INDEX('Oxford Economics'!$A$7:$AZ$1000,0,IFERROR(MATCH(AD$5,'Oxford Economics'!$A$6:$AZ$6,0),MATCH(AD$5&amp;"",'Oxford Economics'!$A$6:$AZ$6,0))),'Oxford Economics'!$A$7:$A$1000,$C51,'Oxford Economics'!$B$7:$B$1000,Settings!$B$11)-SUMIFS(INDEX('Oxford Economics'!$A$7:$AZ$1000,0,IFERROR(MATCH(AD$5,'Oxford Economics'!$A$6:$AZ$6,0),MATCH(AD$5&amp;"",'Oxford Economics'!$A$6:$AZ$6,0))),'Oxford Economics'!$A$7:$A$1000,$C51,'Oxford Economics'!$B$7:$B$1000,Settings!$B$13),SUMIFS(INDEX('Oxford Economics'!$A$7:$AZ$1000,0,IFERROR(MATCH(AD$5,'Oxford Economics'!$A$6:$AZ$6,0),MATCH(AD$5&amp;"",'Oxford Economics'!$A$6:$AZ$6,0))),'Oxford Economics'!$A$7:$A$1000,$C51,'Oxford Economics'!$B$7:$B$1000,Settings!$B$13)+SUMIFS(INDEX('Oxford Economics'!$A$7:$AZ$1000,0,IFERROR(MATCH(AD$5,'Oxford Economics'!$A$6:$AZ$6,0),MATCH(AD$5&amp;"",'Oxford Economics'!$A$6:$AZ$6,0))),'Oxford Economics'!$A$7:$A$1000,$C51,'Oxford Economics'!$B$7:$B$1000,Settings!$B$15)+IF(Settings!$B$17="",0,SUMIFS(INDEX('Oxford Economics'!$A$7:$AZ$1000,0,IFERROR(MATCH(AD$5,'Oxford Economics'!$A$6:$AZ$6,0),MATCH(AD$5&amp;"",'Oxford Economics'!$A$6:$AZ$6,0))),'Oxford Economics'!$A$7:$A$1000,$C51,'Oxford Economics'!$B$7:$B$1000,Settings!$B$17)))),""))</f>
        <v/>
      </c>
      <c r="AE51" s="37" t="str">
        <f aca="false">IF($A51="","",IFERROR(1/(1/IF($B51="Residential",SUMIFS(INDEX('Oxford Economics'!$A$7:$AZ$1000,0,IFERROR(MATCH(AE$5,'Oxford Economics'!$A$6:$AZ$6,0),MATCH(AE$5&amp;"",'Oxford Economics'!$A$6:$AZ$6,0))),'Oxford Economics'!$A$7:$A$1000,$C51,'Oxford Economics'!$B$7:$B$1000,Settings!$B$11)-SUMIFS(INDEX('Oxford Economics'!$A$7:$AZ$1000,0,IFERROR(MATCH(AE$5,'Oxford Economics'!$A$6:$AZ$6,0),MATCH(AE$5&amp;"",'Oxford Economics'!$A$6:$AZ$6,0))),'Oxford Economics'!$A$7:$A$1000,$C51,'Oxford Economics'!$B$7:$B$1000,Settings!$B$13),SUMIFS(INDEX('Oxford Economics'!$A$7:$AZ$1000,0,IFERROR(MATCH(AE$5,'Oxford Economics'!$A$6:$AZ$6,0),MATCH(AE$5&amp;"",'Oxford Economics'!$A$6:$AZ$6,0))),'Oxford Economics'!$A$7:$A$1000,$C51,'Oxford Economics'!$B$7:$B$1000,Settings!$B$13)+SUMIFS(INDEX('Oxford Economics'!$A$7:$AZ$1000,0,IFERROR(MATCH(AE$5,'Oxford Economics'!$A$6:$AZ$6,0),MATCH(AE$5&amp;"",'Oxford Economics'!$A$6:$AZ$6,0))),'Oxford Economics'!$A$7:$A$1000,$C51,'Oxford Economics'!$B$7:$B$1000,Settings!$B$15)+IF(Settings!$B$17="",0,SUMIFS(INDEX('Oxford Economics'!$A$7:$AZ$1000,0,IFERROR(MATCH(AE$5,'Oxford Economics'!$A$6:$AZ$6,0),MATCH(AE$5&amp;"",'Oxford Economics'!$A$6:$AZ$6,0))),'Oxford Economics'!$A$7:$A$1000,$C51,'Oxford Economics'!$B$7:$B$1000,Settings!$B$17)))),""))</f>
        <v/>
      </c>
      <c r="AF51" s="37" t="str">
        <f aca="false">IF($A51="","",IFERROR(1/(1/IF($B51="Residential",SUMIFS(INDEX('Oxford Economics'!$A$7:$AZ$1000,0,IFERROR(MATCH(AF$5,'Oxford Economics'!$A$6:$AZ$6,0),MATCH(AF$5&amp;"",'Oxford Economics'!$A$6:$AZ$6,0))),'Oxford Economics'!$A$7:$A$1000,$C51,'Oxford Economics'!$B$7:$B$1000,Settings!$B$11)-SUMIFS(INDEX('Oxford Economics'!$A$7:$AZ$1000,0,IFERROR(MATCH(AF$5,'Oxford Economics'!$A$6:$AZ$6,0),MATCH(AF$5&amp;"",'Oxford Economics'!$A$6:$AZ$6,0))),'Oxford Economics'!$A$7:$A$1000,$C51,'Oxford Economics'!$B$7:$B$1000,Settings!$B$13),SUMIFS(INDEX('Oxford Economics'!$A$7:$AZ$1000,0,IFERROR(MATCH(AF$5,'Oxford Economics'!$A$6:$AZ$6,0),MATCH(AF$5&amp;"",'Oxford Economics'!$A$6:$AZ$6,0))),'Oxford Economics'!$A$7:$A$1000,$C51,'Oxford Economics'!$B$7:$B$1000,Settings!$B$13)+SUMIFS(INDEX('Oxford Economics'!$A$7:$AZ$1000,0,IFERROR(MATCH(AF$5,'Oxford Economics'!$A$6:$AZ$6,0),MATCH(AF$5&amp;"",'Oxford Economics'!$A$6:$AZ$6,0))),'Oxford Economics'!$A$7:$A$1000,$C51,'Oxford Economics'!$B$7:$B$1000,Settings!$B$15)+IF(Settings!$B$17="",0,SUMIFS(INDEX('Oxford Economics'!$A$7:$AZ$1000,0,IFERROR(MATCH(AF$5,'Oxford Economics'!$A$6:$AZ$6,0),MATCH(AF$5&amp;"",'Oxford Economics'!$A$6:$AZ$6,0))),'Oxford Economics'!$A$7:$A$1000,$C51,'Oxford Economics'!$B$7:$B$1000,Settings!$B$17)))),""))</f>
        <v/>
      </c>
      <c r="AG51" s="37" t="str">
        <f aca="false">IF($A51="","",IFERROR(1/(1/IF($B51="Residential",SUMIFS(INDEX('Oxford Economics'!$A$7:$AZ$1000,0,IFERROR(MATCH(AG$5,'Oxford Economics'!$A$6:$AZ$6,0),MATCH(AG$5&amp;"",'Oxford Economics'!$A$6:$AZ$6,0))),'Oxford Economics'!$A$7:$A$1000,$C51,'Oxford Economics'!$B$7:$B$1000,Settings!$B$11)-SUMIFS(INDEX('Oxford Economics'!$A$7:$AZ$1000,0,IFERROR(MATCH(AG$5,'Oxford Economics'!$A$6:$AZ$6,0),MATCH(AG$5&amp;"",'Oxford Economics'!$A$6:$AZ$6,0))),'Oxford Economics'!$A$7:$A$1000,$C51,'Oxford Economics'!$B$7:$B$1000,Settings!$B$13),SUMIFS(INDEX('Oxford Economics'!$A$7:$AZ$1000,0,IFERROR(MATCH(AG$5,'Oxford Economics'!$A$6:$AZ$6,0),MATCH(AG$5&amp;"",'Oxford Economics'!$A$6:$AZ$6,0))),'Oxford Economics'!$A$7:$A$1000,$C51,'Oxford Economics'!$B$7:$B$1000,Settings!$B$13)+SUMIFS(INDEX('Oxford Economics'!$A$7:$AZ$1000,0,IFERROR(MATCH(AG$5,'Oxford Economics'!$A$6:$AZ$6,0),MATCH(AG$5&amp;"",'Oxford Economics'!$A$6:$AZ$6,0))),'Oxford Economics'!$A$7:$A$1000,$C51,'Oxford Economics'!$B$7:$B$1000,Settings!$B$15)+IF(Settings!$B$17="",0,SUMIFS(INDEX('Oxford Economics'!$A$7:$AZ$1000,0,IFERROR(MATCH(AG$5,'Oxford Economics'!$A$6:$AZ$6,0),MATCH(AG$5&amp;"",'Oxford Economics'!$A$6:$AZ$6,0))),'Oxford Economics'!$A$7:$A$1000,$C51,'Oxford Economics'!$B$7:$B$1000,Settings!$B$17)))),""))</f>
        <v/>
      </c>
      <c r="AH51" s="37" t="str">
        <f aca="false">IF($A51="","",IFERROR(1/(1/IF($B51="Residential",SUMIFS(INDEX('Oxford Economics'!$A$7:$AZ$1000,0,IFERROR(MATCH(AH$5,'Oxford Economics'!$A$6:$AZ$6,0),MATCH(AH$5&amp;"",'Oxford Economics'!$A$6:$AZ$6,0))),'Oxford Economics'!$A$7:$A$1000,$C51,'Oxford Economics'!$B$7:$B$1000,Settings!$B$11)-SUMIFS(INDEX('Oxford Economics'!$A$7:$AZ$1000,0,IFERROR(MATCH(AH$5,'Oxford Economics'!$A$6:$AZ$6,0),MATCH(AH$5&amp;"",'Oxford Economics'!$A$6:$AZ$6,0))),'Oxford Economics'!$A$7:$A$1000,$C51,'Oxford Economics'!$B$7:$B$1000,Settings!$B$13),SUMIFS(INDEX('Oxford Economics'!$A$7:$AZ$1000,0,IFERROR(MATCH(AH$5,'Oxford Economics'!$A$6:$AZ$6,0),MATCH(AH$5&amp;"",'Oxford Economics'!$A$6:$AZ$6,0))),'Oxford Economics'!$A$7:$A$1000,$C51,'Oxford Economics'!$B$7:$B$1000,Settings!$B$13)+SUMIFS(INDEX('Oxford Economics'!$A$7:$AZ$1000,0,IFERROR(MATCH(AH$5,'Oxford Economics'!$A$6:$AZ$6,0),MATCH(AH$5&amp;"",'Oxford Economics'!$A$6:$AZ$6,0))),'Oxford Economics'!$A$7:$A$1000,$C51,'Oxford Economics'!$B$7:$B$1000,Settings!$B$15)+IF(Settings!$B$17="",0,SUMIFS(INDEX('Oxford Economics'!$A$7:$AZ$1000,0,IFERROR(MATCH(AH$5,'Oxford Economics'!$A$6:$AZ$6,0),MATCH(AH$5&amp;"",'Oxford Economics'!$A$6:$AZ$6,0))),'Oxford Economics'!$A$7:$A$1000,$C51,'Oxford Economics'!$B$7:$B$1000,Settings!$B$17)))),""))</f>
        <v/>
      </c>
      <c r="AI51" s="37" t="str">
        <f aca="false">IF($A51="","",IFERROR(1/(1/IF($B51="Residential",SUMIFS(INDEX('Oxford Economics'!$A$7:$AZ$1000,0,IFERROR(MATCH(AI$5,'Oxford Economics'!$A$6:$AZ$6,0),MATCH(AI$5&amp;"",'Oxford Economics'!$A$6:$AZ$6,0))),'Oxford Economics'!$A$7:$A$1000,$C51,'Oxford Economics'!$B$7:$B$1000,Settings!$B$11)-SUMIFS(INDEX('Oxford Economics'!$A$7:$AZ$1000,0,IFERROR(MATCH(AI$5,'Oxford Economics'!$A$6:$AZ$6,0),MATCH(AI$5&amp;"",'Oxford Economics'!$A$6:$AZ$6,0))),'Oxford Economics'!$A$7:$A$1000,$C51,'Oxford Economics'!$B$7:$B$1000,Settings!$B$13),SUMIFS(INDEX('Oxford Economics'!$A$7:$AZ$1000,0,IFERROR(MATCH(AI$5,'Oxford Economics'!$A$6:$AZ$6,0),MATCH(AI$5&amp;"",'Oxford Economics'!$A$6:$AZ$6,0))),'Oxford Economics'!$A$7:$A$1000,$C51,'Oxford Economics'!$B$7:$B$1000,Settings!$B$13)+SUMIFS(INDEX('Oxford Economics'!$A$7:$AZ$1000,0,IFERROR(MATCH(AI$5,'Oxford Economics'!$A$6:$AZ$6,0),MATCH(AI$5&amp;"",'Oxford Economics'!$A$6:$AZ$6,0))),'Oxford Economics'!$A$7:$A$1000,$C51,'Oxford Economics'!$B$7:$B$1000,Settings!$B$15)+IF(Settings!$B$17="",0,SUMIFS(INDEX('Oxford Economics'!$A$7:$AZ$1000,0,IFERROR(MATCH(AI$5,'Oxford Economics'!$A$6:$AZ$6,0),MATCH(AI$5&amp;"",'Oxford Economics'!$A$6:$AZ$6,0))),'Oxford Economics'!$A$7:$A$1000,$C51,'Oxford Economics'!$B$7:$B$1000,Settings!$B$17)))),""))</f>
        <v/>
      </c>
      <c r="AJ51" s="37" t="str">
        <f aca="false">IF($A51="","",IFERROR(1/(1/IF($B51="Residential",SUMIFS(INDEX('Oxford Economics'!$A$7:$AZ$1000,0,IFERROR(MATCH(AJ$5,'Oxford Economics'!$A$6:$AZ$6,0),MATCH(AJ$5&amp;"",'Oxford Economics'!$A$6:$AZ$6,0))),'Oxford Economics'!$A$7:$A$1000,$C51,'Oxford Economics'!$B$7:$B$1000,Settings!$B$11)-SUMIFS(INDEX('Oxford Economics'!$A$7:$AZ$1000,0,IFERROR(MATCH(AJ$5,'Oxford Economics'!$A$6:$AZ$6,0),MATCH(AJ$5&amp;"",'Oxford Economics'!$A$6:$AZ$6,0))),'Oxford Economics'!$A$7:$A$1000,$C51,'Oxford Economics'!$B$7:$B$1000,Settings!$B$13),SUMIFS(INDEX('Oxford Economics'!$A$7:$AZ$1000,0,IFERROR(MATCH(AJ$5,'Oxford Economics'!$A$6:$AZ$6,0),MATCH(AJ$5&amp;"",'Oxford Economics'!$A$6:$AZ$6,0))),'Oxford Economics'!$A$7:$A$1000,$C51,'Oxford Economics'!$B$7:$B$1000,Settings!$B$13)+SUMIFS(INDEX('Oxford Economics'!$A$7:$AZ$1000,0,IFERROR(MATCH(AJ$5,'Oxford Economics'!$A$6:$AZ$6,0),MATCH(AJ$5&amp;"",'Oxford Economics'!$A$6:$AZ$6,0))),'Oxford Economics'!$A$7:$A$1000,$C51,'Oxford Economics'!$B$7:$B$1000,Settings!$B$15)+IF(Settings!$B$17="",0,SUMIFS(INDEX('Oxford Economics'!$A$7:$AZ$1000,0,IFERROR(MATCH(AJ$5,'Oxford Economics'!$A$6:$AZ$6,0),MATCH(AJ$5&amp;"",'Oxford Economics'!$A$6:$AZ$6,0))),'Oxford Economics'!$A$7:$A$1000,$C51,'Oxford Economics'!$B$7:$B$1000,Settings!$B$17)))),""))</f>
        <v/>
      </c>
      <c r="AK51" s="37" t="str">
        <f aca="false">IF($A51="","",IFERROR(1/(1/IF($B51="Residential",SUMIFS(INDEX('Oxford Economics'!$A$7:$AZ$1000,0,IFERROR(MATCH(AK$5,'Oxford Economics'!$A$6:$AZ$6,0),MATCH(AK$5&amp;"",'Oxford Economics'!$A$6:$AZ$6,0))),'Oxford Economics'!$A$7:$A$1000,$C51,'Oxford Economics'!$B$7:$B$1000,Settings!$B$11)-SUMIFS(INDEX('Oxford Economics'!$A$7:$AZ$1000,0,IFERROR(MATCH(AK$5,'Oxford Economics'!$A$6:$AZ$6,0),MATCH(AK$5&amp;"",'Oxford Economics'!$A$6:$AZ$6,0))),'Oxford Economics'!$A$7:$A$1000,$C51,'Oxford Economics'!$B$7:$B$1000,Settings!$B$13),SUMIFS(INDEX('Oxford Economics'!$A$7:$AZ$1000,0,IFERROR(MATCH(AK$5,'Oxford Economics'!$A$6:$AZ$6,0),MATCH(AK$5&amp;"",'Oxford Economics'!$A$6:$AZ$6,0))),'Oxford Economics'!$A$7:$A$1000,$C51,'Oxford Economics'!$B$7:$B$1000,Settings!$B$13)+SUMIFS(INDEX('Oxford Economics'!$A$7:$AZ$1000,0,IFERROR(MATCH(AK$5,'Oxford Economics'!$A$6:$AZ$6,0),MATCH(AK$5&amp;"",'Oxford Economics'!$A$6:$AZ$6,0))),'Oxford Economics'!$A$7:$A$1000,$C51,'Oxford Economics'!$B$7:$B$1000,Settings!$B$15)+IF(Settings!$B$17="",0,SUMIFS(INDEX('Oxford Economics'!$A$7:$AZ$1000,0,IFERROR(MATCH(AK$5,'Oxford Economics'!$A$6:$AZ$6,0),MATCH(AK$5&amp;"",'Oxford Economics'!$A$6:$AZ$6,0))),'Oxford Economics'!$A$7:$A$1000,$C51,'Oxford Economics'!$B$7:$B$1000,Settings!$B$17)))),""))</f>
        <v/>
      </c>
      <c r="AL51" s="37" t="str">
        <f aca="false">IF($A51="","",IFERROR(1/(1/IF($B51="Residential",SUMIFS(INDEX('Oxford Economics'!$A$7:$AZ$1000,0,IFERROR(MATCH(AL$5,'Oxford Economics'!$A$6:$AZ$6,0),MATCH(AL$5&amp;"",'Oxford Economics'!$A$6:$AZ$6,0))),'Oxford Economics'!$A$7:$A$1000,$C51,'Oxford Economics'!$B$7:$B$1000,Settings!$B$11)-SUMIFS(INDEX('Oxford Economics'!$A$7:$AZ$1000,0,IFERROR(MATCH(AL$5,'Oxford Economics'!$A$6:$AZ$6,0),MATCH(AL$5&amp;"",'Oxford Economics'!$A$6:$AZ$6,0))),'Oxford Economics'!$A$7:$A$1000,$C51,'Oxford Economics'!$B$7:$B$1000,Settings!$B$13),SUMIFS(INDEX('Oxford Economics'!$A$7:$AZ$1000,0,IFERROR(MATCH(AL$5,'Oxford Economics'!$A$6:$AZ$6,0),MATCH(AL$5&amp;"",'Oxford Economics'!$A$6:$AZ$6,0))),'Oxford Economics'!$A$7:$A$1000,$C51,'Oxford Economics'!$B$7:$B$1000,Settings!$B$13)+SUMIFS(INDEX('Oxford Economics'!$A$7:$AZ$1000,0,IFERROR(MATCH(AL$5,'Oxford Economics'!$A$6:$AZ$6,0),MATCH(AL$5&amp;"",'Oxford Economics'!$A$6:$AZ$6,0))),'Oxford Economics'!$A$7:$A$1000,$C51,'Oxford Economics'!$B$7:$B$1000,Settings!$B$15)+IF(Settings!$B$17="",0,SUMIFS(INDEX('Oxford Economics'!$A$7:$AZ$1000,0,IFERROR(MATCH(AL$5,'Oxford Economics'!$A$6:$AZ$6,0),MATCH(AL$5&amp;"",'Oxford Economics'!$A$6:$AZ$6,0))),'Oxford Economics'!$A$7:$A$1000,$C51,'Oxford Economics'!$B$7:$B$1000,Settings!$B$17)))),""))</f>
        <v/>
      </c>
      <c r="AM51" s="37" t="str">
        <f aca="false">IF($A51="","",IFERROR(1/(1/IF($B51="Residential",SUMIFS(INDEX('Oxford Economics'!$A$7:$AZ$1000,0,IFERROR(MATCH(AM$5,'Oxford Economics'!$A$6:$AZ$6,0),MATCH(AM$5&amp;"",'Oxford Economics'!$A$6:$AZ$6,0))),'Oxford Economics'!$A$7:$A$1000,$C51,'Oxford Economics'!$B$7:$B$1000,Settings!$B$11)-SUMIFS(INDEX('Oxford Economics'!$A$7:$AZ$1000,0,IFERROR(MATCH(AM$5,'Oxford Economics'!$A$6:$AZ$6,0),MATCH(AM$5&amp;"",'Oxford Economics'!$A$6:$AZ$6,0))),'Oxford Economics'!$A$7:$A$1000,$C51,'Oxford Economics'!$B$7:$B$1000,Settings!$B$13),SUMIFS(INDEX('Oxford Economics'!$A$7:$AZ$1000,0,IFERROR(MATCH(AM$5,'Oxford Economics'!$A$6:$AZ$6,0),MATCH(AM$5&amp;"",'Oxford Economics'!$A$6:$AZ$6,0))),'Oxford Economics'!$A$7:$A$1000,$C51,'Oxford Economics'!$B$7:$B$1000,Settings!$B$13)+SUMIFS(INDEX('Oxford Economics'!$A$7:$AZ$1000,0,IFERROR(MATCH(AM$5,'Oxford Economics'!$A$6:$AZ$6,0),MATCH(AM$5&amp;"",'Oxford Economics'!$A$6:$AZ$6,0))),'Oxford Economics'!$A$7:$A$1000,$C51,'Oxford Economics'!$B$7:$B$1000,Settings!$B$15)+IF(Settings!$B$17="",0,SUMIFS(INDEX('Oxford Economics'!$A$7:$AZ$1000,0,IFERROR(MATCH(AM$5,'Oxford Economics'!$A$6:$AZ$6,0),MATCH(AM$5&amp;"",'Oxford Economics'!$A$6:$AZ$6,0))),'Oxford Economics'!$A$7:$A$1000,$C51,'Oxford Economics'!$B$7:$B$1000,Settings!$B$17)))),""))</f>
        <v/>
      </c>
    </row>
    <row r="52" customFormat="false" ht="15" hidden="false" customHeight="false" outlineLevel="0" collapsed="false">
      <c r="A52" s="36" t="str">
        <f aca="false">IF('Raw data'!$A52="","",'Raw data'!$A52)</f>
        <v/>
      </c>
      <c r="B52" s="36" t="str">
        <f aca="false">IF($A52="","",'Raw data'!$C52)</f>
        <v/>
      </c>
      <c r="C52" s="36" t="str">
        <f aca="false">IF($A52="","",IF('Raw data'!$D52="",$A52,'Raw data'!$D52))</f>
        <v/>
      </c>
      <c r="D52" s="37" t="str">
        <f aca="false">IF($A52="","",IF(AND(ISNUMBER(P52),ISNUMBER(AB52)),P52+AB52,""))</f>
        <v/>
      </c>
      <c r="E52" s="37" t="str">
        <f aca="false">IF($A52="","",IF(AND(ISNUMBER(Q52),ISNUMBER(AC52)),Q52+AC52,""))</f>
        <v/>
      </c>
      <c r="F52" s="37" t="str">
        <f aca="false">IF($A52="","",IF(AND(ISNUMBER(R52),ISNUMBER(AD52)),R52+AD52,""))</f>
        <v/>
      </c>
      <c r="G52" s="37" t="str">
        <f aca="false">IF($A52="","",IF(AND(ISNUMBER(S52),ISNUMBER(AE52)),S52+AE52,""))</f>
        <v/>
      </c>
      <c r="H52" s="37" t="str">
        <f aca="false">IF($A52="","",IF(AND(ISNUMBER(T52),ISNUMBER(AF52)),T52+AF52,""))</f>
        <v/>
      </c>
      <c r="I52" s="37" t="str">
        <f aca="false">IF($A52="","",IF(AND(ISNUMBER(U52),ISNUMBER(AG52)),U52+AG52,""))</f>
        <v/>
      </c>
      <c r="J52" s="37" t="str">
        <f aca="false">IF($A52="","",IF(AND(ISNUMBER(V52),ISNUMBER(AH52)),V52+AH52,""))</f>
        <v/>
      </c>
      <c r="K52" s="37" t="str">
        <f aca="false">IF($A52="","",IF(AND(ISNUMBER(W52),ISNUMBER(AI52)),W52+AI52,""))</f>
        <v/>
      </c>
      <c r="L52" s="37" t="str">
        <f aca="false">IF($A52="","",IF(AND(ISNUMBER(X52),ISNUMBER(AJ52)),X52+AJ52,""))</f>
        <v/>
      </c>
      <c r="M52" s="37" t="str">
        <f aca="false">IF($A52="","",IF(AND(ISNUMBER(Y52),ISNUMBER(AK52)),Y52+AK52,""))</f>
        <v/>
      </c>
      <c r="N52" s="37" t="str">
        <f aca="false">IF($A52="","",IF(AND(ISNUMBER(Z52),ISNUMBER(AL52)),Z52+AL52,""))</f>
        <v/>
      </c>
      <c r="O52" s="37" t="str">
        <f aca="false">IF($A52="","",IF(AND(ISNUMBER(AA52),ISNUMBER(AM52)),AA52+AM52,""))</f>
        <v/>
      </c>
      <c r="P52" s="37" t="str">
        <f aca="false">IF($A52="","",IFERROR(1/(1/IF($B52="Residential",SUMIFS(INDEX('Oxford Economics'!$A$7:$AZ$1000,0,IFERROR(MATCH(P$5,'Oxford Economics'!$A$6:$AZ$6,0),MATCH(P$5&amp;"",'Oxford Economics'!$A$6:$AZ$6,0))),'Oxford Economics'!$A$7:$A$1000,$C52,'Oxford Economics'!$B$7:$B$1000,Settings!$B$12)-SUMIFS(INDEX('Oxford Economics'!$A$7:$AZ$1000,0,IFERROR(MATCH(P$5,'Oxford Economics'!$A$6:$AZ$6,0),MATCH(P$5&amp;"",'Oxford Economics'!$A$6:$AZ$6,0))),'Oxford Economics'!$A$7:$A$1000,$C52,'Oxford Economics'!$B$7:$B$1000,Settings!$B$14),SUMIFS(INDEX('Oxford Economics'!$A$7:$AZ$1000,0,IFERROR(MATCH(P$5,'Oxford Economics'!$A$6:$AZ$6,0),MATCH(P$5&amp;"",'Oxford Economics'!$A$6:$AZ$6,0))),'Oxford Economics'!$A$7:$A$1000,$C52,'Oxford Economics'!$B$7:$B$1000,Settings!$B$14)+SUMIFS(INDEX('Oxford Economics'!$A$7:$AZ$1000,0,IFERROR(MATCH(P$5,'Oxford Economics'!$A$6:$AZ$6,0),MATCH(P$5&amp;"",'Oxford Economics'!$A$6:$AZ$6,0))),'Oxford Economics'!$A$7:$A$1000,$C52,'Oxford Economics'!$B$7:$B$1000,Settings!$B$16)+IF(Settings!$B$18="",0,SUMIFS(INDEX('Oxford Economics'!$A$7:$AZ$1000,0,IFERROR(MATCH(P$5,'Oxford Economics'!$A$6:$AZ$6,0),MATCH(P$5&amp;"",'Oxford Economics'!$A$6:$AZ$6,0))),'Oxford Economics'!$A$7:$A$1000,$C52,'Oxford Economics'!$B$7:$B$1000,Settings!$B$18)))),""))</f>
        <v/>
      </c>
      <c r="Q52" s="37" t="str">
        <f aca="false">IF($A52="","",IFERROR(1/(1/IF($B52="Residential",SUMIFS(INDEX('Oxford Economics'!$A$7:$AZ$1000,0,IFERROR(MATCH(Q$5,'Oxford Economics'!$A$6:$AZ$6,0),MATCH(Q$5&amp;"",'Oxford Economics'!$A$6:$AZ$6,0))),'Oxford Economics'!$A$7:$A$1000,$C52,'Oxford Economics'!$B$7:$B$1000,Settings!$B$12)-SUMIFS(INDEX('Oxford Economics'!$A$7:$AZ$1000,0,IFERROR(MATCH(Q$5,'Oxford Economics'!$A$6:$AZ$6,0),MATCH(Q$5&amp;"",'Oxford Economics'!$A$6:$AZ$6,0))),'Oxford Economics'!$A$7:$A$1000,$C52,'Oxford Economics'!$B$7:$B$1000,Settings!$B$14),SUMIFS(INDEX('Oxford Economics'!$A$7:$AZ$1000,0,IFERROR(MATCH(Q$5,'Oxford Economics'!$A$6:$AZ$6,0),MATCH(Q$5&amp;"",'Oxford Economics'!$A$6:$AZ$6,0))),'Oxford Economics'!$A$7:$A$1000,$C52,'Oxford Economics'!$B$7:$B$1000,Settings!$B$14)+SUMIFS(INDEX('Oxford Economics'!$A$7:$AZ$1000,0,IFERROR(MATCH(Q$5,'Oxford Economics'!$A$6:$AZ$6,0),MATCH(Q$5&amp;"",'Oxford Economics'!$A$6:$AZ$6,0))),'Oxford Economics'!$A$7:$A$1000,$C52,'Oxford Economics'!$B$7:$B$1000,Settings!$B$16)+IF(Settings!$B$18="",0,SUMIFS(INDEX('Oxford Economics'!$A$7:$AZ$1000,0,IFERROR(MATCH(Q$5,'Oxford Economics'!$A$6:$AZ$6,0),MATCH(Q$5&amp;"",'Oxford Economics'!$A$6:$AZ$6,0))),'Oxford Economics'!$A$7:$A$1000,$C52,'Oxford Economics'!$B$7:$B$1000,Settings!$B$18)))),""))</f>
        <v/>
      </c>
      <c r="R52" s="37" t="str">
        <f aca="false">IF($A52="","",IFERROR(1/(1/IF($B52="Residential",SUMIFS(INDEX('Oxford Economics'!$A$7:$AZ$1000,0,IFERROR(MATCH(R$5,'Oxford Economics'!$A$6:$AZ$6,0),MATCH(R$5&amp;"",'Oxford Economics'!$A$6:$AZ$6,0))),'Oxford Economics'!$A$7:$A$1000,$C52,'Oxford Economics'!$B$7:$B$1000,Settings!$B$12)-SUMIFS(INDEX('Oxford Economics'!$A$7:$AZ$1000,0,IFERROR(MATCH(R$5,'Oxford Economics'!$A$6:$AZ$6,0),MATCH(R$5&amp;"",'Oxford Economics'!$A$6:$AZ$6,0))),'Oxford Economics'!$A$7:$A$1000,$C52,'Oxford Economics'!$B$7:$B$1000,Settings!$B$14),SUMIFS(INDEX('Oxford Economics'!$A$7:$AZ$1000,0,IFERROR(MATCH(R$5,'Oxford Economics'!$A$6:$AZ$6,0),MATCH(R$5&amp;"",'Oxford Economics'!$A$6:$AZ$6,0))),'Oxford Economics'!$A$7:$A$1000,$C52,'Oxford Economics'!$B$7:$B$1000,Settings!$B$14)+SUMIFS(INDEX('Oxford Economics'!$A$7:$AZ$1000,0,IFERROR(MATCH(R$5,'Oxford Economics'!$A$6:$AZ$6,0),MATCH(R$5&amp;"",'Oxford Economics'!$A$6:$AZ$6,0))),'Oxford Economics'!$A$7:$A$1000,$C52,'Oxford Economics'!$B$7:$B$1000,Settings!$B$16)+IF(Settings!$B$18="",0,SUMIFS(INDEX('Oxford Economics'!$A$7:$AZ$1000,0,IFERROR(MATCH(R$5,'Oxford Economics'!$A$6:$AZ$6,0),MATCH(R$5&amp;"",'Oxford Economics'!$A$6:$AZ$6,0))),'Oxford Economics'!$A$7:$A$1000,$C52,'Oxford Economics'!$B$7:$B$1000,Settings!$B$18)))),""))</f>
        <v/>
      </c>
      <c r="S52" s="37" t="str">
        <f aca="false">IF($A52="","",IFERROR(1/(1/IF($B52="Residential",SUMIFS(INDEX('Oxford Economics'!$A$7:$AZ$1000,0,IFERROR(MATCH(S$5,'Oxford Economics'!$A$6:$AZ$6,0),MATCH(S$5&amp;"",'Oxford Economics'!$A$6:$AZ$6,0))),'Oxford Economics'!$A$7:$A$1000,$C52,'Oxford Economics'!$B$7:$B$1000,Settings!$B$12)-SUMIFS(INDEX('Oxford Economics'!$A$7:$AZ$1000,0,IFERROR(MATCH(S$5,'Oxford Economics'!$A$6:$AZ$6,0),MATCH(S$5&amp;"",'Oxford Economics'!$A$6:$AZ$6,0))),'Oxford Economics'!$A$7:$A$1000,$C52,'Oxford Economics'!$B$7:$B$1000,Settings!$B$14),SUMIFS(INDEX('Oxford Economics'!$A$7:$AZ$1000,0,IFERROR(MATCH(S$5,'Oxford Economics'!$A$6:$AZ$6,0),MATCH(S$5&amp;"",'Oxford Economics'!$A$6:$AZ$6,0))),'Oxford Economics'!$A$7:$A$1000,$C52,'Oxford Economics'!$B$7:$B$1000,Settings!$B$14)+SUMIFS(INDEX('Oxford Economics'!$A$7:$AZ$1000,0,IFERROR(MATCH(S$5,'Oxford Economics'!$A$6:$AZ$6,0),MATCH(S$5&amp;"",'Oxford Economics'!$A$6:$AZ$6,0))),'Oxford Economics'!$A$7:$A$1000,$C52,'Oxford Economics'!$B$7:$B$1000,Settings!$B$16)+IF(Settings!$B$18="",0,SUMIFS(INDEX('Oxford Economics'!$A$7:$AZ$1000,0,IFERROR(MATCH(S$5,'Oxford Economics'!$A$6:$AZ$6,0),MATCH(S$5&amp;"",'Oxford Economics'!$A$6:$AZ$6,0))),'Oxford Economics'!$A$7:$A$1000,$C52,'Oxford Economics'!$B$7:$B$1000,Settings!$B$18)))),""))</f>
        <v/>
      </c>
      <c r="T52" s="37" t="str">
        <f aca="false">IF($A52="","",IFERROR(1/(1/IF($B52="Residential",SUMIFS(INDEX('Oxford Economics'!$A$7:$AZ$1000,0,IFERROR(MATCH(T$5,'Oxford Economics'!$A$6:$AZ$6,0),MATCH(T$5&amp;"",'Oxford Economics'!$A$6:$AZ$6,0))),'Oxford Economics'!$A$7:$A$1000,$C52,'Oxford Economics'!$B$7:$B$1000,Settings!$B$12)-SUMIFS(INDEX('Oxford Economics'!$A$7:$AZ$1000,0,IFERROR(MATCH(T$5,'Oxford Economics'!$A$6:$AZ$6,0),MATCH(T$5&amp;"",'Oxford Economics'!$A$6:$AZ$6,0))),'Oxford Economics'!$A$7:$A$1000,$C52,'Oxford Economics'!$B$7:$B$1000,Settings!$B$14),SUMIFS(INDEX('Oxford Economics'!$A$7:$AZ$1000,0,IFERROR(MATCH(T$5,'Oxford Economics'!$A$6:$AZ$6,0),MATCH(T$5&amp;"",'Oxford Economics'!$A$6:$AZ$6,0))),'Oxford Economics'!$A$7:$A$1000,$C52,'Oxford Economics'!$B$7:$B$1000,Settings!$B$14)+SUMIFS(INDEX('Oxford Economics'!$A$7:$AZ$1000,0,IFERROR(MATCH(T$5,'Oxford Economics'!$A$6:$AZ$6,0),MATCH(T$5&amp;"",'Oxford Economics'!$A$6:$AZ$6,0))),'Oxford Economics'!$A$7:$A$1000,$C52,'Oxford Economics'!$B$7:$B$1000,Settings!$B$16)+IF(Settings!$B$18="",0,SUMIFS(INDEX('Oxford Economics'!$A$7:$AZ$1000,0,IFERROR(MATCH(T$5,'Oxford Economics'!$A$6:$AZ$6,0),MATCH(T$5&amp;"",'Oxford Economics'!$A$6:$AZ$6,0))),'Oxford Economics'!$A$7:$A$1000,$C52,'Oxford Economics'!$B$7:$B$1000,Settings!$B$18)))),""))</f>
        <v/>
      </c>
      <c r="U52" s="37" t="str">
        <f aca="false">IF($A52="","",IFERROR(1/(1/IF($B52="Residential",SUMIFS(INDEX('Oxford Economics'!$A$7:$AZ$1000,0,IFERROR(MATCH(U$5,'Oxford Economics'!$A$6:$AZ$6,0),MATCH(U$5&amp;"",'Oxford Economics'!$A$6:$AZ$6,0))),'Oxford Economics'!$A$7:$A$1000,$C52,'Oxford Economics'!$B$7:$B$1000,Settings!$B$12)-SUMIFS(INDEX('Oxford Economics'!$A$7:$AZ$1000,0,IFERROR(MATCH(U$5,'Oxford Economics'!$A$6:$AZ$6,0),MATCH(U$5&amp;"",'Oxford Economics'!$A$6:$AZ$6,0))),'Oxford Economics'!$A$7:$A$1000,$C52,'Oxford Economics'!$B$7:$B$1000,Settings!$B$14),SUMIFS(INDEX('Oxford Economics'!$A$7:$AZ$1000,0,IFERROR(MATCH(U$5,'Oxford Economics'!$A$6:$AZ$6,0),MATCH(U$5&amp;"",'Oxford Economics'!$A$6:$AZ$6,0))),'Oxford Economics'!$A$7:$A$1000,$C52,'Oxford Economics'!$B$7:$B$1000,Settings!$B$14)+SUMIFS(INDEX('Oxford Economics'!$A$7:$AZ$1000,0,IFERROR(MATCH(U$5,'Oxford Economics'!$A$6:$AZ$6,0),MATCH(U$5&amp;"",'Oxford Economics'!$A$6:$AZ$6,0))),'Oxford Economics'!$A$7:$A$1000,$C52,'Oxford Economics'!$B$7:$B$1000,Settings!$B$16)+IF(Settings!$B$18="",0,SUMIFS(INDEX('Oxford Economics'!$A$7:$AZ$1000,0,IFERROR(MATCH(U$5,'Oxford Economics'!$A$6:$AZ$6,0),MATCH(U$5&amp;"",'Oxford Economics'!$A$6:$AZ$6,0))),'Oxford Economics'!$A$7:$A$1000,$C52,'Oxford Economics'!$B$7:$B$1000,Settings!$B$18)))),""))</f>
        <v/>
      </c>
      <c r="V52" s="37" t="str">
        <f aca="false">IF($A52="","",IFERROR(1/(1/IF($B52="Residential",SUMIFS(INDEX('Oxford Economics'!$A$7:$AZ$1000,0,IFERROR(MATCH(V$5,'Oxford Economics'!$A$6:$AZ$6,0),MATCH(V$5&amp;"",'Oxford Economics'!$A$6:$AZ$6,0))),'Oxford Economics'!$A$7:$A$1000,$C52,'Oxford Economics'!$B$7:$B$1000,Settings!$B$12)-SUMIFS(INDEX('Oxford Economics'!$A$7:$AZ$1000,0,IFERROR(MATCH(V$5,'Oxford Economics'!$A$6:$AZ$6,0),MATCH(V$5&amp;"",'Oxford Economics'!$A$6:$AZ$6,0))),'Oxford Economics'!$A$7:$A$1000,$C52,'Oxford Economics'!$B$7:$B$1000,Settings!$B$14),SUMIFS(INDEX('Oxford Economics'!$A$7:$AZ$1000,0,IFERROR(MATCH(V$5,'Oxford Economics'!$A$6:$AZ$6,0),MATCH(V$5&amp;"",'Oxford Economics'!$A$6:$AZ$6,0))),'Oxford Economics'!$A$7:$A$1000,$C52,'Oxford Economics'!$B$7:$B$1000,Settings!$B$14)+SUMIFS(INDEX('Oxford Economics'!$A$7:$AZ$1000,0,IFERROR(MATCH(V$5,'Oxford Economics'!$A$6:$AZ$6,0),MATCH(V$5&amp;"",'Oxford Economics'!$A$6:$AZ$6,0))),'Oxford Economics'!$A$7:$A$1000,$C52,'Oxford Economics'!$B$7:$B$1000,Settings!$B$16)+IF(Settings!$B$18="",0,SUMIFS(INDEX('Oxford Economics'!$A$7:$AZ$1000,0,IFERROR(MATCH(V$5,'Oxford Economics'!$A$6:$AZ$6,0),MATCH(V$5&amp;"",'Oxford Economics'!$A$6:$AZ$6,0))),'Oxford Economics'!$A$7:$A$1000,$C52,'Oxford Economics'!$B$7:$B$1000,Settings!$B$18)))),""))</f>
        <v/>
      </c>
      <c r="W52" s="37" t="str">
        <f aca="false">IF($A52="","",IFERROR(1/(1/IF($B52="Residential",SUMIFS(INDEX('Oxford Economics'!$A$7:$AZ$1000,0,IFERROR(MATCH(W$5,'Oxford Economics'!$A$6:$AZ$6,0),MATCH(W$5&amp;"",'Oxford Economics'!$A$6:$AZ$6,0))),'Oxford Economics'!$A$7:$A$1000,$C52,'Oxford Economics'!$B$7:$B$1000,Settings!$B$12)-SUMIFS(INDEX('Oxford Economics'!$A$7:$AZ$1000,0,IFERROR(MATCH(W$5,'Oxford Economics'!$A$6:$AZ$6,0),MATCH(W$5&amp;"",'Oxford Economics'!$A$6:$AZ$6,0))),'Oxford Economics'!$A$7:$A$1000,$C52,'Oxford Economics'!$B$7:$B$1000,Settings!$B$14),SUMIFS(INDEX('Oxford Economics'!$A$7:$AZ$1000,0,IFERROR(MATCH(W$5,'Oxford Economics'!$A$6:$AZ$6,0),MATCH(W$5&amp;"",'Oxford Economics'!$A$6:$AZ$6,0))),'Oxford Economics'!$A$7:$A$1000,$C52,'Oxford Economics'!$B$7:$B$1000,Settings!$B$14)+SUMIFS(INDEX('Oxford Economics'!$A$7:$AZ$1000,0,IFERROR(MATCH(W$5,'Oxford Economics'!$A$6:$AZ$6,0),MATCH(W$5&amp;"",'Oxford Economics'!$A$6:$AZ$6,0))),'Oxford Economics'!$A$7:$A$1000,$C52,'Oxford Economics'!$B$7:$B$1000,Settings!$B$16)+IF(Settings!$B$18="",0,SUMIFS(INDEX('Oxford Economics'!$A$7:$AZ$1000,0,IFERROR(MATCH(W$5,'Oxford Economics'!$A$6:$AZ$6,0),MATCH(W$5&amp;"",'Oxford Economics'!$A$6:$AZ$6,0))),'Oxford Economics'!$A$7:$A$1000,$C52,'Oxford Economics'!$B$7:$B$1000,Settings!$B$18)))),""))</f>
        <v/>
      </c>
      <c r="X52" s="37" t="str">
        <f aca="false">IF($A52="","",IFERROR(1/(1/IF($B52="Residential",SUMIFS(INDEX('Oxford Economics'!$A$7:$AZ$1000,0,IFERROR(MATCH(X$5,'Oxford Economics'!$A$6:$AZ$6,0),MATCH(X$5&amp;"",'Oxford Economics'!$A$6:$AZ$6,0))),'Oxford Economics'!$A$7:$A$1000,$C52,'Oxford Economics'!$B$7:$B$1000,Settings!$B$12)-SUMIFS(INDEX('Oxford Economics'!$A$7:$AZ$1000,0,IFERROR(MATCH(X$5,'Oxford Economics'!$A$6:$AZ$6,0),MATCH(X$5&amp;"",'Oxford Economics'!$A$6:$AZ$6,0))),'Oxford Economics'!$A$7:$A$1000,$C52,'Oxford Economics'!$B$7:$B$1000,Settings!$B$14),SUMIFS(INDEX('Oxford Economics'!$A$7:$AZ$1000,0,IFERROR(MATCH(X$5,'Oxford Economics'!$A$6:$AZ$6,0),MATCH(X$5&amp;"",'Oxford Economics'!$A$6:$AZ$6,0))),'Oxford Economics'!$A$7:$A$1000,$C52,'Oxford Economics'!$B$7:$B$1000,Settings!$B$14)+SUMIFS(INDEX('Oxford Economics'!$A$7:$AZ$1000,0,IFERROR(MATCH(X$5,'Oxford Economics'!$A$6:$AZ$6,0),MATCH(X$5&amp;"",'Oxford Economics'!$A$6:$AZ$6,0))),'Oxford Economics'!$A$7:$A$1000,$C52,'Oxford Economics'!$B$7:$B$1000,Settings!$B$16)+IF(Settings!$B$18="",0,SUMIFS(INDEX('Oxford Economics'!$A$7:$AZ$1000,0,IFERROR(MATCH(X$5,'Oxford Economics'!$A$6:$AZ$6,0),MATCH(X$5&amp;"",'Oxford Economics'!$A$6:$AZ$6,0))),'Oxford Economics'!$A$7:$A$1000,$C52,'Oxford Economics'!$B$7:$B$1000,Settings!$B$18)))),""))</f>
        <v/>
      </c>
      <c r="Y52" s="37" t="str">
        <f aca="false">IF($A52="","",IFERROR(1/(1/IF($B52="Residential",SUMIFS(INDEX('Oxford Economics'!$A$7:$AZ$1000,0,IFERROR(MATCH(Y$5,'Oxford Economics'!$A$6:$AZ$6,0),MATCH(Y$5&amp;"",'Oxford Economics'!$A$6:$AZ$6,0))),'Oxford Economics'!$A$7:$A$1000,$C52,'Oxford Economics'!$B$7:$B$1000,Settings!$B$12)-SUMIFS(INDEX('Oxford Economics'!$A$7:$AZ$1000,0,IFERROR(MATCH(Y$5,'Oxford Economics'!$A$6:$AZ$6,0),MATCH(Y$5&amp;"",'Oxford Economics'!$A$6:$AZ$6,0))),'Oxford Economics'!$A$7:$A$1000,$C52,'Oxford Economics'!$B$7:$B$1000,Settings!$B$14),SUMIFS(INDEX('Oxford Economics'!$A$7:$AZ$1000,0,IFERROR(MATCH(Y$5,'Oxford Economics'!$A$6:$AZ$6,0),MATCH(Y$5&amp;"",'Oxford Economics'!$A$6:$AZ$6,0))),'Oxford Economics'!$A$7:$A$1000,$C52,'Oxford Economics'!$B$7:$B$1000,Settings!$B$14)+SUMIFS(INDEX('Oxford Economics'!$A$7:$AZ$1000,0,IFERROR(MATCH(Y$5,'Oxford Economics'!$A$6:$AZ$6,0),MATCH(Y$5&amp;"",'Oxford Economics'!$A$6:$AZ$6,0))),'Oxford Economics'!$A$7:$A$1000,$C52,'Oxford Economics'!$B$7:$B$1000,Settings!$B$16)+IF(Settings!$B$18="",0,SUMIFS(INDEX('Oxford Economics'!$A$7:$AZ$1000,0,IFERROR(MATCH(Y$5,'Oxford Economics'!$A$6:$AZ$6,0),MATCH(Y$5&amp;"",'Oxford Economics'!$A$6:$AZ$6,0))),'Oxford Economics'!$A$7:$A$1000,$C52,'Oxford Economics'!$B$7:$B$1000,Settings!$B$18)))),""))</f>
        <v/>
      </c>
      <c r="Z52" s="37" t="str">
        <f aca="false">IF($A52="","",IFERROR(1/(1/IF($B52="Residential",SUMIFS(INDEX('Oxford Economics'!$A$7:$AZ$1000,0,IFERROR(MATCH(Z$5,'Oxford Economics'!$A$6:$AZ$6,0),MATCH(Z$5&amp;"",'Oxford Economics'!$A$6:$AZ$6,0))),'Oxford Economics'!$A$7:$A$1000,$C52,'Oxford Economics'!$B$7:$B$1000,Settings!$B$12)-SUMIFS(INDEX('Oxford Economics'!$A$7:$AZ$1000,0,IFERROR(MATCH(Z$5,'Oxford Economics'!$A$6:$AZ$6,0),MATCH(Z$5&amp;"",'Oxford Economics'!$A$6:$AZ$6,0))),'Oxford Economics'!$A$7:$A$1000,$C52,'Oxford Economics'!$B$7:$B$1000,Settings!$B$14),SUMIFS(INDEX('Oxford Economics'!$A$7:$AZ$1000,0,IFERROR(MATCH(Z$5,'Oxford Economics'!$A$6:$AZ$6,0),MATCH(Z$5&amp;"",'Oxford Economics'!$A$6:$AZ$6,0))),'Oxford Economics'!$A$7:$A$1000,$C52,'Oxford Economics'!$B$7:$B$1000,Settings!$B$14)+SUMIFS(INDEX('Oxford Economics'!$A$7:$AZ$1000,0,IFERROR(MATCH(Z$5,'Oxford Economics'!$A$6:$AZ$6,0),MATCH(Z$5&amp;"",'Oxford Economics'!$A$6:$AZ$6,0))),'Oxford Economics'!$A$7:$A$1000,$C52,'Oxford Economics'!$B$7:$B$1000,Settings!$B$16)+IF(Settings!$B$18="",0,SUMIFS(INDEX('Oxford Economics'!$A$7:$AZ$1000,0,IFERROR(MATCH(Z$5,'Oxford Economics'!$A$6:$AZ$6,0),MATCH(Z$5&amp;"",'Oxford Economics'!$A$6:$AZ$6,0))),'Oxford Economics'!$A$7:$A$1000,$C52,'Oxford Economics'!$B$7:$B$1000,Settings!$B$18)))),""))</f>
        <v/>
      </c>
      <c r="AA52" s="37" t="str">
        <f aca="false">IF($A52="","",IFERROR(1/(1/IF($B52="Residential",SUMIFS(INDEX('Oxford Economics'!$A$7:$AZ$1000,0,IFERROR(MATCH(AA$5,'Oxford Economics'!$A$6:$AZ$6,0),MATCH(AA$5&amp;"",'Oxford Economics'!$A$6:$AZ$6,0))),'Oxford Economics'!$A$7:$A$1000,$C52,'Oxford Economics'!$B$7:$B$1000,Settings!$B$12)-SUMIFS(INDEX('Oxford Economics'!$A$7:$AZ$1000,0,IFERROR(MATCH(AA$5,'Oxford Economics'!$A$6:$AZ$6,0),MATCH(AA$5&amp;"",'Oxford Economics'!$A$6:$AZ$6,0))),'Oxford Economics'!$A$7:$A$1000,$C52,'Oxford Economics'!$B$7:$B$1000,Settings!$B$14),SUMIFS(INDEX('Oxford Economics'!$A$7:$AZ$1000,0,IFERROR(MATCH(AA$5,'Oxford Economics'!$A$6:$AZ$6,0),MATCH(AA$5&amp;"",'Oxford Economics'!$A$6:$AZ$6,0))),'Oxford Economics'!$A$7:$A$1000,$C52,'Oxford Economics'!$B$7:$B$1000,Settings!$B$14)+SUMIFS(INDEX('Oxford Economics'!$A$7:$AZ$1000,0,IFERROR(MATCH(AA$5,'Oxford Economics'!$A$6:$AZ$6,0),MATCH(AA$5&amp;"",'Oxford Economics'!$A$6:$AZ$6,0))),'Oxford Economics'!$A$7:$A$1000,$C52,'Oxford Economics'!$B$7:$B$1000,Settings!$B$16)+IF(Settings!$B$18="",0,SUMIFS(INDEX('Oxford Economics'!$A$7:$AZ$1000,0,IFERROR(MATCH(AA$5,'Oxford Economics'!$A$6:$AZ$6,0),MATCH(AA$5&amp;"",'Oxford Economics'!$A$6:$AZ$6,0))),'Oxford Economics'!$A$7:$A$1000,$C52,'Oxford Economics'!$B$7:$B$1000,Settings!$B$18)))),""))</f>
        <v/>
      </c>
      <c r="AB52" s="37" t="str">
        <f aca="false">IF($A52="","",IFERROR(1/(1/IF($B52="Residential",SUMIFS(INDEX('Oxford Economics'!$A$7:$AZ$1000,0,IFERROR(MATCH(AB$5,'Oxford Economics'!$A$6:$AZ$6,0),MATCH(AB$5&amp;"",'Oxford Economics'!$A$6:$AZ$6,0))),'Oxford Economics'!$A$7:$A$1000,$C52,'Oxford Economics'!$B$7:$B$1000,Settings!$B$11)-SUMIFS(INDEX('Oxford Economics'!$A$7:$AZ$1000,0,IFERROR(MATCH(AB$5,'Oxford Economics'!$A$6:$AZ$6,0),MATCH(AB$5&amp;"",'Oxford Economics'!$A$6:$AZ$6,0))),'Oxford Economics'!$A$7:$A$1000,$C52,'Oxford Economics'!$B$7:$B$1000,Settings!$B$13),SUMIFS(INDEX('Oxford Economics'!$A$7:$AZ$1000,0,IFERROR(MATCH(AB$5,'Oxford Economics'!$A$6:$AZ$6,0),MATCH(AB$5&amp;"",'Oxford Economics'!$A$6:$AZ$6,0))),'Oxford Economics'!$A$7:$A$1000,$C52,'Oxford Economics'!$B$7:$B$1000,Settings!$B$13)+SUMIFS(INDEX('Oxford Economics'!$A$7:$AZ$1000,0,IFERROR(MATCH(AB$5,'Oxford Economics'!$A$6:$AZ$6,0),MATCH(AB$5&amp;"",'Oxford Economics'!$A$6:$AZ$6,0))),'Oxford Economics'!$A$7:$A$1000,$C52,'Oxford Economics'!$B$7:$B$1000,Settings!$B$15)+IF(Settings!$B$17="",0,SUMIFS(INDEX('Oxford Economics'!$A$7:$AZ$1000,0,IFERROR(MATCH(AB$5,'Oxford Economics'!$A$6:$AZ$6,0),MATCH(AB$5&amp;"",'Oxford Economics'!$A$6:$AZ$6,0))),'Oxford Economics'!$A$7:$A$1000,$C52,'Oxford Economics'!$B$7:$B$1000,Settings!$B$17)))),""))</f>
        <v/>
      </c>
      <c r="AC52" s="37" t="str">
        <f aca="false">IF($A52="","",IFERROR(1/(1/IF($B52="Residential",SUMIFS(INDEX('Oxford Economics'!$A$7:$AZ$1000,0,IFERROR(MATCH(AC$5,'Oxford Economics'!$A$6:$AZ$6,0),MATCH(AC$5&amp;"",'Oxford Economics'!$A$6:$AZ$6,0))),'Oxford Economics'!$A$7:$A$1000,$C52,'Oxford Economics'!$B$7:$B$1000,Settings!$B$11)-SUMIFS(INDEX('Oxford Economics'!$A$7:$AZ$1000,0,IFERROR(MATCH(AC$5,'Oxford Economics'!$A$6:$AZ$6,0),MATCH(AC$5&amp;"",'Oxford Economics'!$A$6:$AZ$6,0))),'Oxford Economics'!$A$7:$A$1000,$C52,'Oxford Economics'!$B$7:$B$1000,Settings!$B$13),SUMIFS(INDEX('Oxford Economics'!$A$7:$AZ$1000,0,IFERROR(MATCH(AC$5,'Oxford Economics'!$A$6:$AZ$6,0),MATCH(AC$5&amp;"",'Oxford Economics'!$A$6:$AZ$6,0))),'Oxford Economics'!$A$7:$A$1000,$C52,'Oxford Economics'!$B$7:$B$1000,Settings!$B$13)+SUMIFS(INDEX('Oxford Economics'!$A$7:$AZ$1000,0,IFERROR(MATCH(AC$5,'Oxford Economics'!$A$6:$AZ$6,0),MATCH(AC$5&amp;"",'Oxford Economics'!$A$6:$AZ$6,0))),'Oxford Economics'!$A$7:$A$1000,$C52,'Oxford Economics'!$B$7:$B$1000,Settings!$B$15)+IF(Settings!$B$17="",0,SUMIFS(INDEX('Oxford Economics'!$A$7:$AZ$1000,0,IFERROR(MATCH(AC$5,'Oxford Economics'!$A$6:$AZ$6,0),MATCH(AC$5&amp;"",'Oxford Economics'!$A$6:$AZ$6,0))),'Oxford Economics'!$A$7:$A$1000,$C52,'Oxford Economics'!$B$7:$B$1000,Settings!$B$17)))),""))</f>
        <v/>
      </c>
      <c r="AD52" s="37" t="str">
        <f aca="false">IF($A52="","",IFERROR(1/(1/IF($B52="Residential",SUMIFS(INDEX('Oxford Economics'!$A$7:$AZ$1000,0,IFERROR(MATCH(AD$5,'Oxford Economics'!$A$6:$AZ$6,0),MATCH(AD$5&amp;"",'Oxford Economics'!$A$6:$AZ$6,0))),'Oxford Economics'!$A$7:$A$1000,$C52,'Oxford Economics'!$B$7:$B$1000,Settings!$B$11)-SUMIFS(INDEX('Oxford Economics'!$A$7:$AZ$1000,0,IFERROR(MATCH(AD$5,'Oxford Economics'!$A$6:$AZ$6,0),MATCH(AD$5&amp;"",'Oxford Economics'!$A$6:$AZ$6,0))),'Oxford Economics'!$A$7:$A$1000,$C52,'Oxford Economics'!$B$7:$B$1000,Settings!$B$13),SUMIFS(INDEX('Oxford Economics'!$A$7:$AZ$1000,0,IFERROR(MATCH(AD$5,'Oxford Economics'!$A$6:$AZ$6,0),MATCH(AD$5&amp;"",'Oxford Economics'!$A$6:$AZ$6,0))),'Oxford Economics'!$A$7:$A$1000,$C52,'Oxford Economics'!$B$7:$B$1000,Settings!$B$13)+SUMIFS(INDEX('Oxford Economics'!$A$7:$AZ$1000,0,IFERROR(MATCH(AD$5,'Oxford Economics'!$A$6:$AZ$6,0),MATCH(AD$5&amp;"",'Oxford Economics'!$A$6:$AZ$6,0))),'Oxford Economics'!$A$7:$A$1000,$C52,'Oxford Economics'!$B$7:$B$1000,Settings!$B$15)+IF(Settings!$B$17="",0,SUMIFS(INDEX('Oxford Economics'!$A$7:$AZ$1000,0,IFERROR(MATCH(AD$5,'Oxford Economics'!$A$6:$AZ$6,0),MATCH(AD$5&amp;"",'Oxford Economics'!$A$6:$AZ$6,0))),'Oxford Economics'!$A$7:$A$1000,$C52,'Oxford Economics'!$B$7:$B$1000,Settings!$B$17)))),""))</f>
        <v/>
      </c>
      <c r="AE52" s="37" t="str">
        <f aca="false">IF($A52="","",IFERROR(1/(1/IF($B52="Residential",SUMIFS(INDEX('Oxford Economics'!$A$7:$AZ$1000,0,IFERROR(MATCH(AE$5,'Oxford Economics'!$A$6:$AZ$6,0),MATCH(AE$5&amp;"",'Oxford Economics'!$A$6:$AZ$6,0))),'Oxford Economics'!$A$7:$A$1000,$C52,'Oxford Economics'!$B$7:$B$1000,Settings!$B$11)-SUMIFS(INDEX('Oxford Economics'!$A$7:$AZ$1000,0,IFERROR(MATCH(AE$5,'Oxford Economics'!$A$6:$AZ$6,0),MATCH(AE$5&amp;"",'Oxford Economics'!$A$6:$AZ$6,0))),'Oxford Economics'!$A$7:$A$1000,$C52,'Oxford Economics'!$B$7:$B$1000,Settings!$B$13),SUMIFS(INDEX('Oxford Economics'!$A$7:$AZ$1000,0,IFERROR(MATCH(AE$5,'Oxford Economics'!$A$6:$AZ$6,0),MATCH(AE$5&amp;"",'Oxford Economics'!$A$6:$AZ$6,0))),'Oxford Economics'!$A$7:$A$1000,$C52,'Oxford Economics'!$B$7:$B$1000,Settings!$B$13)+SUMIFS(INDEX('Oxford Economics'!$A$7:$AZ$1000,0,IFERROR(MATCH(AE$5,'Oxford Economics'!$A$6:$AZ$6,0),MATCH(AE$5&amp;"",'Oxford Economics'!$A$6:$AZ$6,0))),'Oxford Economics'!$A$7:$A$1000,$C52,'Oxford Economics'!$B$7:$B$1000,Settings!$B$15)+IF(Settings!$B$17="",0,SUMIFS(INDEX('Oxford Economics'!$A$7:$AZ$1000,0,IFERROR(MATCH(AE$5,'Oxford Economics'!$A$6:$AZ$6,0),MATCH(AE$5&amp;"",'Oxford Economics'!$A$6:$AZ$6,0))),'Oxford Economics'!$A$7:$A$1000,$C52,'Oxford Economics'!$B$7:$B$1000,Settings!$B$17)))),""))</f>
        <v/>
      </c>
      <c r="AF52" s="37" t="str">
        <f aca="false">IF($A52="","",IFERROR(1/(1/IF($B52="Residential",SUMIFS(INDEX('Oxford Economics'!$A$7:$AZ$1000,0,IFERROR(MATCH(AF$5,'Oxford Economics'!$A$6:$AZ$6,0),MATCH(AF$5&amp;"",'Oxford Economics'!$A$6:$AZ$6,0))),'Oxford Economics'!$A$7:$A$1000,$C52,'Oxford Economics'!$B$7:$B$1000,Settings!$B$11)-SUMIFS(INDEX('Oxford Economics'!$A$7:$AZ$1000,0,IFERROR(MATCH(AF$5,'Oxford Economics'!$A$6:$AZ$6,0),MATCH(AF$5&amp;"",'Oxford Economics'!$A$6:$AZ$6,0))),'Oxford Economics'!$A$7:$A$1000,$C52,'Oxford Economics'!$B$7:$B$1000,Settings!$B$13),SUMIFS(INDEX('Oxford Economics'!$A$7:$AZ$1000,0,IFERROR(MATCH(AF$5,'Oxford Economics'!$A$6:$AZ$6,0),MATCH(AF$5&amp;"",'Oxford Economics'!$A$6:$AZ$6,0))),'Oxford Economics'!$A$7:$A$1000,$C52,'Oxford Economics'!$B$7:$B$1000,Settings!$B$13)+SUMIFS(INDEX('Oxford Economics'!$A$7:$AZ$1000,0,IFERROR(MATCH(AF$5,'Oxford Economics'!$A$6:$AZ$6,0),MATCH(AF$5&amp;"",'Oxford Economics'!$A$6:$AZ$6,0))),'Oxford Economics'!$A$7:$A$1000,$C52,'Oxford Economics'!$B$7:$B$1000,Settings!$B$15)+IF(Settings!$B$17="",0,SUMIFS(INDEX('Oxford Economics'!$A$7:$AZ$1000,0,IFERROR(MATCH(AF$5,'Oxford Economics'!$A$6:$AZ$6,0),MATCH(AF$5&amp;"",'Oxford Economics'!$A$6:$AZ$6,0))),'Oxford Economics'!$A$7:$A$1000,$C52,'Oxford Economics'!$B$7:$B$1000,Settings!$B$17)))),""))</f>
        <v/>
      </c>
      <c r="AG52" s="37" t="str">
        <f aca="false">IF($A52="","",IFERROR(1/(1/IF($B52="Residential",SUMIFS(INDEX('Oxford Economics'!$A$7:$AZ$1000,0,IFERROR(MATCH(AG$5,'Oxford Economics'!$A$6:$AZ$6,0),MATCH(AG$5&amp;"",'Oxford Economics'!$A$6:$AZ$6,0))),'Oxford Economics'!$A$7:$A$1000,$C52,'Oxford Economics'!$B$7:$B$1000,Settings!$B$11)-SUMIFS(INDEX('Oxford Economics'!$A$7:$AZ$1000,0,IFERROR(MATCH(AG$5,'Oxford Economics'!$A$6:$AZ$6,0),MATCH(AG$5&amp;"",'Oxford Economics'!$A$6:$AZ$6,0))),'Oxford Economics'!$A$7:$A$1000,$C52,'Oxford Economics'!$B$7:$B$1000,Settings!$B$13),SUMIFS(INDEX('Oxford Economics'!$A$7:$AZ$1000,0,IFERROR(MATCH(AG$5,'Oxford Economics'!$A$6:$AZ$6,0),MATCH(AG$5&amp;"",'Oxford Economics'!$A$6:$AZ$6,0))),'Oxford Economics'!$A$7:$A$1000,$C52,'Oxford Economics'!$B$7:$B$1000,Settings!$B$13)+SUMIFS(INDEX('Oxford Economics'!$A$7:$AZ$1000,0,IFERROR(MATCH(AG$5,'Oxford Economics'!$A$6:$AZ$6,0),MATCH(AG$5&amp;"",'Oxford Economics'!$A$6:$AZ$6,0))),'Oxford Economics'!$A$7:$A$1000,$C52,'Oxford Economics'!$B$7:$B$1000,Settings!$B$15)+IF(Settings!$B$17="",0,SUMIFS(INDEX('Oxford Economics'!$A$7:$AZ$1000,0,IFERROR(MATCH(AG$5,'Oxford Economics'!$A$6:$AZ$6,0),MATCH(AG$5&amp;"",'Oxford Economics'!$A$6:$AZ$6,0))),'Oxford Economics'!$A$7:$A$1000,$C52,'Oxford Economics'!$B$7:$B$1000,Settings!$B$17)))),""))</f>
        <v/>
      </c>
      <c r="AH52" s="37" t="str">
        <f aca="false">IF($A52="","",IFERROR(1/(1/IF($B52="Residential",SUMIFS(INDEX('Oxford Economics'!$A$7:$AZ$1000,0,IFERROR(MATCH(AH$5,'Oxford Economics'!$A$6:$AZ$6,0),MATCH(AH$5&amp;"",'Oxford Economics'!$A$6:$AZ$6,0))),'Oxford Economics'!$A$7:$A$1000,$C52,'Oxford Economics'!$B$7:$B$1000,Settings!$B$11)-SUMIFS(INDEX('Oxford Economics'!$A$7:$AZ$1000,0,IFERROR(MATCH(AH$5,'Oxford Economics'!$A$6:$AZ$6,0),MATCH(AH$5&amp;"",'Oxford Economics'!$A$6:$AZ$6,0))),'Oxford Economics'!$A$7:$A$1000,$C52,'Oxford Economics'!$B$7:$B$1000,Settings!$B$13),SUMIFS(INDEX('Oxford Economics'!$A$7:$AZ$1000,0,IFERROR(MATCH(AH$5,'Oxford Economics'!$A$6:$AZ$6,0),MATCH(AH$5&amp;"",'Oxford Economics'!$A$6:$AZ$6,0))),'Oxford Economics'!$A$7:$A$1000,$C52,'Oxford Economics'!$B$7:$B$1000,Settings!$B$13)+SUMIFS(INDEX('Oxford Economics'!$A$7:$AZ$1000,0,IFERROR(MATCH(AH$5,'Oxford Economics'!$A$6:$AZ$6,0),MATCH(AH$5&amp;"",'Oxford Economics'!$A$6:$AZ$6,0))),'Oxford Economics'!$A$7:$A$1000,$C52,'Oxford Economics'!$B$7:$B$1000,Settings!$B$15)+IF(Settings!$B$17="",0,SUMIFS(INDEX('Oxford Economics'!$A$7:$AZ$1000,0,IFERROR(MATCH(AH$5,'Oxford Economics'!$A$6:$AZ$6,0),MATCH(AH$5&amp;"",'Oxford Economics'!$A$6:$AZ$6,0))),'Oxford Economics'!$A$7:$A$1000,$C52,'Oxford Economics'!$B$7:$B$1000,Settings!$B$17)))),""))</f>
        <v/>
      </c>
      <c r="AI52" s="37" t="str">
        <f aca="false">IF($A52="","",IFERROR(1/(1/IF($B52="Residential",SUMIFS(INDEX('Oxford Economics'!$A$7:$AZ$1000,0,IFERROR(MATCH(AI$5,'Oxford Economics'!$A$6:$AZ$6,0),MATCH(AI$5&amp;"",'Oxford Economics'!$A$6:$AZ$6,0))),'Oxford Economics'!$A$7:$A$1000,$C52,'Oxford Economics'!$B$7:$B$1000,Settings!$B$11)-SUMIFS(INDEX('Oxford Economics'!$A$7:$AZ$1000,0,IFERROR(MATCH(AI$5,'Oxford Economics'!$A$6:$AZ$6,0),MATCH(AI$5&amp;"",'Oxford Economics'!$A$6:$AZ$6,0))),'Oxford Economics'!$A$7:$A$1000,$C52,'Oxford Economics'!$B$7:$B$1000,Settings!$B$13),SUMIFS(INDEX('Oxford Economics'!$A$7:$AZ$1000,0,IFERROR(MATCH(AI$5,'Oxford Economics'!$A$6:$AZ$6,0),MATCH(AI$5&amp;"",'Oxford Economics'!$A$6:$AZ$6,0))),'Oxford Economics'!$A$7:$A$1000,$C52,'Oxford Economics'!$B$7:$B$1000,Settings!$B$13)+SUMIFS(INDEX('Oxford Economics'!$A$7:$AZ$1000,0,IFERROR(MATCH(AI$5,'Oxford Economics'!$A$6:$AZ$6,0),MATCH(AI$5&amp;"",'Oxford Economics'!$A$6:$AZ$6,0))),'Oxford Economics'!$A$7:$A$1000,$C52,'Oxford Economics'!$B$7:$B$1000,Settings!$B$15)+IF(Settings!$B$17="",0,SUMIFS(INDEX('Oxford Economics'!$A$7:$AZ$1000,0,IFERROR(MATCH(AI$5,'Oxford Economics'!$A$6:$AZ$6,0),MATCH(AI$5&amp;"",'Oxford Economics'!$A$6:$AZ$6,0))),'Oxford Economics'!$A$7:$A$1000,$C52,'Oxford Economics'!$B$7:$B$1000,Settings!$B$17)))),""))</f>
        <v/>
      </c>
      <c r="AJ52" s="37" t="str">
        <f aca="false">IF($A52="","",IFERROR(1/(1/IF($B52="Residential",SUMIFS(INDEX('Oxford Economics'!$A$7:$AZ$1000,0,IFERROR(MATCH(AJ$5,'Oxford Economics'!$A$6:$AZ$6,0),MATCH(AJ$5&amp;"",'Oxford Economics'!$A$6:$AZ$6,0))),'Oxford Economics'!$A$7:$A$1000,$C52,'Oxford Economics'!$B$7:$B$1000,Settings!$B$11)-SUMIFS(INDEX('Oxford Economics'!$A$7:$AZ$1000,0,IFERROR(MATCH(AJ$5,'Oxford Economics'!$A$6:$AZ$6,0),MATCH(AJ$5&amp;"",'Oxford Economics'!$A$6:$AZ$6,0))),'Oxford Economics'!$A$7:$A$1000,$C52,'Oxford Economics'!$B$7:$B$1000,Settings!$B$13),SUMIFS(INDEX('Oxford Economics'!$A$7:$AZ$1000,0,IFERROR(MATCH(AJ$5,'Oxford Economics'!$A$6:$AZ$6,0),MATCH(AJ$5&amp;"",'Oxford Economics'!$A$6:$AZ$6,0))),'Oxford Economics'!$A$7:$A$1000,$C52,'Oxford Economics'!$B$7:$B$1000,Settings!$B$13)+SUMIFS(INDEX('Oxford Economics'!$A$7:$AZ$1000,0,IFERROR(MATCH(AJ$5,'Oxford Economics'!$A$6:$AZ$6,0),MATCH(AJ$5&amp;"",'Oxford Economics'!$A$6:$AZ$6,0))),'Oxford Economics'!$A$7:$A$1000,$C52,'Oxford Economics'!$B$7:$B$1000,Settings!$B$15)+IF(Settings!$B$17="",0,SUMIFS(INDEX('Oxford Economics'!$A$7:$AZ$1000,0,IFERROR(MATCH(AJ$5,'Oxford Economics'!$A$6:$AZ$6,0),MATCH(AJ$5&amp;"",'Oxford Economics'!$A$6:$AZ$6,0))),'Oxford Economics'!$A$7:$A$1000,$C52,'Oxford Economics'!$B$7:$B$1000,Settings!$B$17)))),""))</f>
        <v/>
      </c>
      <c r="AK52" s="37" t="str">
        <f aca="false">IF($A52="","",IFERROR(1/(1/IF($B52="Residential",SUMIFS(INDEX('Oxford Economics'!$A$7:$AZ$1000,0,IFERROR(MATCH(AK$5,'Oxford Economics'!$A$6:$AZ$6,0),MATCH(AK$5&amp;"",'Oxford Economics'!$A$6:$AZ$6,0))),'Oxford Economics'!$A$7:$A$1000,$C52,'Oxford Economics'!$B$7:$B$1000,Settings!$B$11)-SUMIFS(INDEX('Oxford Economics'!$A$7:$AZ$1000,0,IFERROR(MATCH(AK$5,'Oxford Economics'!$A$6:$AZ$6,0),MATCH(AK$5&amp;"",'Oxford Economics'!$A$6:$AZ$6,0))),'Oxford Economics'!$A$7:$A$1000,$C52,'Oxford Economics'!$B$7:$B$1000,Settings!$B$13),SUMIFS(INDEX('Oxford Economics'!$A$7:$AZ$1000,0,IFERROR(MATCH(AK$5,'Oxford Economics'!$A$6:$AZ$6,0),MATCH(AK$5&amp;"",'Oxford Economics'!$A$6:$AZ$6,0))),'Oxford Economics'!$A$7:$A$1000,$C52,'Oxford Economics'!$B$7:$B$1000,Settings!$B$13)+SUMIFS(INDEX('Oxford Economics'!$A$7:$AZ$1000,0,IFERROR(MATCH(AK$5,'Oxford Economics'!$A$6:$AZ$6,0),MATCH(AK$5&amp;"",'Oxford Economics'!$A$6:$AZ$6,0))),'Oxford Economics'!$A$7:$A$1000,$C52,'Oxford Economics'!$B$7:$B$1000,Settings!$B$15)+IF(Settings!$B$17="",0,SUMIFS(INDEX('Oxford Economics'!$A$7:$AZ$1000,0,IFERROR(MATCH(AK$5,'Oxford Economics'!$A$6:$AZ$6,0),MATCH(AK$5&amp;"",'Oxford Economics'!$A$6:$AZ$6,0))),'Oxford Economics'!$A$7:$A$1000,$C52,'Oxford Economics'!$B$7:$B$1000,Settings!$B$17)))),""))</f>
        <v/>
      </c>
      <c r="AL52" s="37" t="str">
        <f aca="false">IF($A52="","",IFERROR(1/(1/IF($B52="Residential",SUMIFS(INDEX('Oxford Economics'!$A$7:$AZ$1000,0,IFERROR(MATCH(AL$5,'Oxford Economics'!$A$6:$AZ$6,0),MATCH(AL$5&amp;"",'Oxford Economics'!$A$6:$AZ$6,0))),'Oxford Economics'!$A$7:$A$1000,$C52,'Oxford Economics'!$B$7:$B$1000,Settings!$B$11)-SUMIFS(INDEX('Oxford Economics'!$A$7:$AZ$1000,0,IFERROR(MATCH(AL$5,'Oxford Economics'!$A$6:$AZ$6,0),MATCH(AL$5&amp;"",'Oxford Economics'!$A$6:$AZ$6,0))),'Oxford Economics'!$A$7:$A$1000,$C52,'Oxford Economics'!$B$7:$B$1000,Settings!$B$13),SUMIFS(INDEX('Oxford Economics'!$A$7:$AZ$1000,0,IFERROR(MATCH(AL$5,'Oxford Economics'!$A$6:$AZ$6,0),MATCH(AL$5&amp;"",'Oxford Economics'!$A$6:$AZ$6,0))),'Oxford Economics'!$A$7:$A$1000,$C52,'Oxford Economics'!$B$7:$B$1000,Settings!$B$13)+SUMIFS(INDEX('Oxford Economics'!$A$7:$AZ$1000,0,IFERROR(MATCH(AL$5,'Oxford Economics'!$A$6:$AZ$6,0),MATCH(AL$5&amp;"",'Oxford Economics'!$A$6:$AZ$6,0))),'Oxford Economics'!$A$7:$A$1000,$C52,'Oxford Economics'!$B$7:$B$1000,Settings!$B$15)+IF(Settings!$B$17="",0,SUMIFS(INDEX('Oxford Economics'!$A$7:$AZ$1000,0,IFERROR(MATCH(AL$5,'Oxford Economics'!$A$6:$AZ$6,0),MATCH(AL$5&amp;"",'Oxford Economics'!$A$6:$AZ$6,0))),'Oxford Economics'!$A$7:$A$1000,$C52,'Oxford Economics'!$B$7:$B$1000,Settings!$B$17)))),""))</f>
        <v/>
      </c>
      <c r="AM52" s="37" t="str">
        <f aca="false">IF($A52="","",IFERROR(1/(1/IF($B52="Residential",SUMIFS(INDEX('Oxford Economics'!$A$7:$AZ$1000,0,IFERROR(MATCH(AM$5,'Oxford Economics'!$A$6:$AZ$6,0),MATCH(AM$5&amp;"",'Oxford Economics'!$A$6:$AZ$6,0))),'Oxford Economics'!$A$7:$A$1000,$C52,'Oxford Economics'!$B$7:$B$1000,Settings!$B$11)-SUMIFS(INDEX('Oxford Economics'!$A$7:$AZ$1000,0,IFERROR(MATCH(AM$5,'Oxford Economics'!$A$6:$AZ$6,0),MATCH(AM$5&amp;"",'Oxford Economics'!$A$6:$AZ$6,0))),'Oxford Economics'!$A$7:$A$1000,$C52,'Oxford Economics'!$B$7:$B$1000,Settings!$B$13),SUMIFS(INDEX('Oxford Economics'!$A$7:$AZ$1000,0,IFERROR(MATCH(AM$5,'Oxford Economics'!$A$6:$AZ$6,0),MATCH(AM$5&amp;"",'Oxford Economics'!$A$6:$AZ$6,0))),'Oxford Economics'!$A$7:$A$1000,$C52,'Oxford Economics'!$B$7:$B$1000,Settings!$B$13)+SUMIFS(INDEX('Oxford Economics'!$A$7:$AZ$1000,0,IFERROR(MATCH(AM$5,'Oxford Economics'!$A$6:$AZ$6,0),MATCH(AM$5&amp;"",'Oxford Economics'!$A$6:$AZ$6,0))),'Oxford Economics'!$A$7:$A$1000,$C52,'Oxford Economics'!$B$7:$B$1000,Settings!$B$15)+IF(Settings!$B$17="",0,SUMIFS(INDEX('Oxford Economics'!$A$7:$AZ$1000,0,IFERROR(MATCH(AM$5,'Oxford Economics'!$A$6:$AZ$6,0),MATCH(AM$5&amp;"",'Oxford Economics'!$A$6:$AZ$6,0))),'Oxford Economics'!$A$7:$A$1000,$C52,'Oxford Economics'!$B$7:$B$1000,Settings!$B$17)))),""))</f>
        <v/>
      </c>
    </row>
    <row r="53" customFormat="false" ht="15" hidden="false" customHeight="false" outlineLevel="0" collapsed="false">
      <c r="A53" s="36" t="str">
        <f aca="false">IF('Raw data'!$A53="","",'Raw data'!$A53)</f>
        <v/>
      </c>
      <c r="B53" s="36" t="str">
        <f aca="false">IF($A53="","",'Raw data'!$C53)</f>
        <v/>
      </c>
      <c r="C53" s="36" t="str">
        <f aca="false">IF($A53="","",IF('Raw data'!$D53="",$A53,'Raw data'!$D53))</f>
        <v/>
      </c>
      <c r="D53" s="37" t="str">
        <f aca="false">IF($A53="","",IF(AND(ISNUMBER(P53),ISNUMBER(AB53)),P53+AB53,""))</f>
        <v/>
      </c>
      <c r="E53" s="37" t="str">
        <f aca="false">IF($A53="","",IF(AND(ISNUMBER(Q53),ISNUMBER(AC53)),Q53+AC53,""))</f>
        <v/>
      </c>
      <c r="F53" s="37" t="str">
        <f aca="false">IF($A53="","",IF(AND(ISNUMBER(R53),ISNUMBER(AD53)),R53+AD53,""))</f>
        <v/>
      </c>
      <c r="G53" s="37" t="str">
        <f aca="false">IF($A53="","",IF(AND(ISNUMBER(S53),ISNUMBER(AE53)),S53+AE53,""))</f>
        <v/>
      </c>
      <c r="H53" s="37" t="str">
        <f aca="false">IF($A53="","",IF(AND(ISNUMBER(T53),ISNUMBER(AF53)),T53+AF53,""))</f>
        <v/>
      </c>
      <c r="I53" s="37" t="str">
        <f aca="false">IF($A53="","",IF(AND(ISNUMBER(U53),ISNUMBER(AG53)),U53+AG53,""))</f>
        <v/>
      </c>
      <c r="J53" s="37" t="str">
        <f aca="false">IF($A53="","",IF(AND(ISNUMBER(V53),ISNUMBER(AH53)),V53+AH53,""))</f>
        <v/>
      </c>
      <c r="K53" s="37" t="str">
        <f aca="false">IF($A53="","",IF(AND(ISNUMBER(W53),ISNUMBER(AI53)),W53+AI53,""))</f>
        <v/>
      </c>
      <c r="L53" s="37" t="str">
        <f aca="false">IF($A53="","",IF(AND(ISNUMBER(X53),ISNUMBER(AJ53)),X53+AJ53,""))</f>
        <v/>
      </c>
      <c r="M53" s="37" t="str">
        <f aca="false">IF($A53="","",IF(AND(ISNUMBER(Y53),ISNUMBER(AK53)),Y53+AK53,""))</f>
        <v/>
      </c>
      <c r="N53" s="37" t="str">
        <f aca="false">IF($A53="","",IF(AND(ISNUMBER(Z53),ISNUMBER(AL53)),Z53+AL53,""))</f>
        <v/>
      </c>
      <c r="O53" s="37" t="str">
        <f aca="false">IF($A53="","",IF(AND(ISNUMBER(AA53),ISNUMBER(AM53)),AA53+AM53,""))</f>
        <v/>
      </c>
      <c r="P53" s="37" t="str">
        <f aca="false">IF($A53="","",IFERROR(1/(1/IF($B53="Residential",SUMIFS(INDEX('Oxford Economics'!$A$7:$AZ$1000,0,IFERROR(MATCH(P$5,'Oxford Economics'!$A$6:$AZ$6,0),MATCH(P$5&amp;"",'Oxford Economics'!$A$6:$AZ$6,0))),'Oxford Economics'!$A$7:$A$1000,$C53,'Oxford Economics'!$B$7:$B$1000,Settings!$B$12)-SUMIFS(INDEX('Oxford Economics'!$A$7:$AZ$1000,0,IFERROR(MATCH(P$5,'Oxford Economics'!$A$6:$AZ$6,0),MATCH(P$5&amp;"",'Oxford Economics'!$A$6:$AZ$6,0))),'Oxford Economics'!$A$7:$A$1000,$C53,'Oxford Economics'!$B$7:$B$1000,Settings!$B$14),SUMIFS(INDEX('Oxford Economics'!$A$7:$AZ$1000,0,IFERROR(MATCH(P$5,'Oxford Economics'!$A$6:$AZ$6,0),MATCH(P$5&amp;"",'Oxford Economics'!$A$6:$AZ$6,0))),'Oxford Economics'!$A$7:$A$1000,$C53,'Oxford Economics'!$B$7:$B$1000,Settings!$B$14)+SUMIFS(INDEX('Oxford Economics'!$A$7:$AZ$1000,0,IFERROR(MATCH(P$5,'Oxford Economics'!$A$6:$AZ$6,0),MATCH(P$5&amp;"",'Oxford Economics'!$A$6:$AZ$6,0))),'Oxford Economics'!$A$7:$A$1000,$C53,'Oxford Economics'!$B$7:$B$1000,Settings!$B$16)+IF(Settings!$B$18="",0,SUMIFS(INDEX('Oxford Economics'!$A$7:$AZ$1000,0,IFERROR(MATCH(P$5,'Oxford Economics'!$A$6:$AZ$6,0),MATCH(P$5&amp;"",'Oxford Economics'!$A$6:$AZ$6,0))),'Oxford Economics'!$A$7:$A$1000,$C53,'Oxford Economics'!$B$7:$B$1000,Settings!$B$18)))),""))</f>
        <v/>
      </c>
      <c r="Q53" s="37" t="str">
        <f aca="false">IF($A53="","",IFERROR(1/(1/IF($B53="Residential",SUMIFS(INDEX('Oxford Economics'!$A$7:$AZ$1000,0,IFERROR(MATCH(Q$5,'Oxford Economics'!$A$6:$AZ$6,0),MATCH(Q$5&amp;"",'Oxford Economics'!$A$6:$AZ$6,0))),'Oxford Economics'!$A$7:$A$1000,$C53,'Oxford Economics'!$B$7:$B$1000,Settings!$B$12)-SUMIFS(INDEX('Oxford Economics'!$A$7:$AZ$1000,0,IFERROR(MATCH(Q$5,'Oxford Economics'!$A$6:$AZ$6,0),MATCH(Q$5&amp;"",'Oxford Economics'!$A$6:$AZ$6,0))),'Oxford Economics'!$A$7:$A$1000,$C53,'Oxford Economics'!$B$7:$B$1000,Settings!$B$14),SUMIFS(INDEX('Oxford Economics'!$A$7:$AZ$1000,0,IFERROR(MATCH(Q$5,'Oxford Economics'!$A$6:$AZ$6,0),MATCH(Q$5&amp;"",'Oxford Economics'!$A$6:$AZ$6,0))),'Oxford Economics'!$A$7:$A$1000,$C53,'Oxford Economics'!$B$7:$B$1000,Settings!$B$14)+SUMIFS(INDEX('Oxford Economics'!$A$7:$AZ$1000,0,IFERROR(MATCH(Q$5,'Oxford Economics'!$A$6:$AZ$6,0),MATCH(Q$5&amp;"",'Oxford Economics'!$A$6:$AZ$6,0))),'Oxford Economics'!$A$7:$A$1000,$C53,'Oxford Economics'!$B$7:$B$1000,Settings!$B$16)+IF(Settings!$B$18="",0,SUMIFS(INDEX('Oxford Economics'!$A$7:$AZ$1000,0,IFERROR(MATCH(Q$5,'Oxford Economics'!$A$6:$AZ$6,0),MATCH(Q$5&amp;"",'Oxford Economics'!$A$6:$AZ$6,0))),'Oxford Economics'!$A$7:$A$1000,$C53,'Oxford Economics'!$B$7:$B$1000,Settings!$B$18)))),""))</f>
        <v/>
      </c>
      <c r="R53" s="37" t="str">
        <f aca="false">IF($A53="","",IFERROR(1/(1/IF($B53="Residential",SUMIFS(INDEX('Oxford Economics'!$A$7:$AZ$1000,0,IFERROR(MATCH(R$5,'Oxford Economics'!$A$6:$AZ$6,0),MATCH(R$5&amp;"",'Oxford Economics'!$A$6:$AZ$6,0))),'Oxford Economics'!$A$7:$A$1000,$C53,'Oxford Economics'!$B$7:$B$1000,Settings!$B$12)-SUMIFS(INDEX('Oxford Economics'!$A$7:$AZ$1000,0,IFERROR(MATCH(R$5,'Oxford Economics'!$A$6:$AZ$6,0),MATCH(R$5&amp;"",'Oxford Economics'!$A$6:$AZ$6,0))),'Oxford Economics'!$A$7:$A$1000,$C53,'Oxford Economics'!$B$7:$B$1000,Settings!$B$14),SUMIFS(INDEX('Oxford Economics'!$A$7:$AZ$1000,0,IFERROR(MATCH(R$5,'Oxford Economics'!$A$6:$AZ$6,0),MATCH(R$5&amp;"",'Oxford Economics'!$A$6:$AZ$6,0))),'Oxford Economics'!$A$7:$A$1000,$C53,'Oxford Economics'!$B$7:$B$1000,Settings!$B$14)+SUMIFS(INDEX('Oxford Economics'!$A$7:$AZ$1000,0,IFERROR(MATCH(R$5,'Oxford Economics'!$A$6:$AZ$6,0),MATCH(R$5&amp;"",'Oxford Economics'!$A$6:$AZ$6,0))),'Oxford Economics'!$A$7:$A$1000,$C53,'Oxford Economics'!$B$7:$B$1000,Settings!$B$16)+IF(Settings!$B$18="",0,SUMIFS(INDEX('Oxford Economics'!$A$7:$AZ$1000,0,IFERROR(MATCH(R$5,'Oxford Economics'!$A$6:$AZ$6,0),MATCH(R$5&amp;"",'Oxford Economics'!$A$6:$AZ$6,0))),'Oxford Economics'!$A$7:$A$1000,$C53,'Oxford Economics'!$B$7:$B$1000,Settings!$B$18)))),""))</f>
        <v/>
      </c>
      <c r="S53" s="37" t="str">
        <f aca="false">IF($A53="","",IFERROR(1/(1/IF($B53="Residential",SUMIFS(INDEX('Oxford Economics'!$A$7:$AZ$1000,0,IFERROR(MATCH(S$5,'Oxford Economics'!$A$6:$AZ$6,0),MATCH(S$5&amp;"",'Oxford Economics'!$A$6:$AZ$6,0))),'Oxford Economics'!$A$7:$A$1000,$C53,'Oxford Economics'!$B$7:$B$1000,Settings!$B$12)-SUMIFS(INDEX('Oxford Economics'!$A$7:$AZ$1000,0,IFERROR(MATCH(S$5,'Oxford Economics'!$A$6:$AZ$6,0),MATCH(S$5&amp;"",'Oxford Economics'!$A$6:$AZ$6,0))),'Oxford Economics'!$A$7:$A$1000,$C53,'Oxford Economics'!$B$7:$B$1000,Settings!$B$14),SUMIFS(INDEX('Oxford Economics'!$A$7:$AZ$1000,0,IFERROR(MATCH(S$5,'Oxford Economics'!$A$6:$AZ$6,0),MATCH(S$5&amp;"",'Oxford Economics'!$A$6:$AZ$6,0))),'Oxford Economics'!$A$7:$A$1000,$C53,'Oxford Economics'!$B$7:$B$1000,Settings!$B$14)+SUMIFS(INDEX('Oxford Economics'!$A$7:$AZ$1000,0,IFERROR(MATCH(S$5,'Oxford Economics'!$A$6:$AZ$6,0),MATCH(S$5&amp;"",'Oxford Economics'!$A$6:$AZ$6,0))),'Oxford Economics'!$A$7:$A$1000,$C53,'Oxford Economics'!$B$7:$B$1000,Settings!$B$16)+IF(Settings!$B$18="",0,SUMIFS(INDEX('Oxford Economics'!$A$7:$AZ$1000,0,IFERROR(MATCH(S$5,'Oxford Economics'!$A$6:$AZ$6,0),MATCH(S$5&amp;"",'Oxford Economics'!$A$6:$AZ$6,0))),'Oxford Economics'!$A$7:$A$1000,$C53,'Oxford Economics'!$B$7:$B$1000,Settings!$B$18)))),""))</f>
        <v/>
      </c>
      <c r="T53" s="37" t="str">
        <f aca="false">IF($A53="","",IFERROR(1/(1/IF($B53="Residential",SUMIFS(INDEX('Oxford Economics'!$A$7:$AZ$1000,0,IFERROR(MATCH(T$5,'Oxford Economics'!$A$6:$AZ$6,0),MATCH(T$5&amp;"",'Oxford Economics'!$A$6:$AZ$6,0))),'Oxford Economics'!$A$7:$A$1000,$C53,'Oxford Economics'!$B$7:$B$1000,Settings!$B$12)-SUMIFS(INDEX('Oxford Economics'!$A$7:$AZ$1000,0,IFERROR(MATCH(T$5,'Oxford Economics'!$A$6:$AZ$6,0),MATCH(T$5&amp;"",'Oxford Economics'!$A$6:$AZ$6,0))),'Oxford Economics'!$A$7:$A$1000,$C53,'Oxford Economics'!$B$7:$B$1000,Settings!$B$14),SUMIFS(INDEX('Oxford Economics'!$A$7:$AZ$1000,0,IFERROR(MATCH(T$5,'Oxford Economics'!$A$6:$AZ$6,0),MATCH(T$5&amp;"",'Oxford Economics'!$A$6:$AZ$6,0))),'Oxford Economics'!$A$7:$A$1000,$C53,'Oxford Economics'!$B$7:$B$1000,Settings!$B$14)+SUMIFS(INDEX('Oxford Economics'!$A$7:$AZ$1000,0,IFERROR(MATCH(T$5,'Oxford Economics'!$A$6:$AZ$6,0),MATCH(T$5&amp;"",'Oxford Economics'!$A$6:$AZ$6,0))),'Oxford Economics'!$A$7:$A$1000,$C53,'Oxford Economics'!$B$7:$B$1000,Settings!$B$16)+IF(Settings!$B$18="",0,SUMIFS(INDEX('Oxford Economics'!$A$7:$AZ$1000,0,IFERROR(MATCH(T$5,'Oxford Economics'!$A$6:$AZ$6,0),MATCH(T$5&amp;"",'Oxford Economics'!$A$6:$AZ$6,0))),'Oxford Economics'!$A$7:$A$1000,$C53,'Oxford Economics'!$B$7:$B$1000,Settings!$B$18)))),""))</f>
        <v/>
      </c>
      <c r="U53" s="37" t="str">
        <f aca="false">IF($A53="","",IFERROR(1/(1/IF($B53="Residential",SUMIFS(INDEX('Oxford Economics'!$A$7:$AZ$1000,0,IFERROR(MATCH(U$5,'Oxford Economics'!$A$6:$AZ$6,0),MATCH(U$5&amp;"",'Oxford Economics'!$A$6:$AZ$6,0))),'Oxford Economics'!$A$7:$A$1000,$C53,'Oxford Economics'!$B$7:$B$1000,Settings!$B$12)-SUMIFS(INDEX('Oxford Economics'!$A$7:$AZ$1000,0,IFERROR(MATCH(U$5,'Oxford Economics'!$A$6:$AZ$6,0),MATCH(U$5&amp;"",'Oxford Economics'!$A$6:$AZ$6,0))),'Oxford Economics'!$A$7:$A$1000,$C53,'Oxford Economics'!$B$7:$B$1000,Settings!$B$14),SUMIFS(INDEX('Oxford Economics'!$A$7:$AZ$1000,0,IFERROR(MATCH(U$5,'Oxford Economics'!$A$6:$AZ$6,0),MATCH(U$5&amp;"",'Oxford Economics'!$A$6:$AZ$6,0))),'Oxford Economics'!$A$7:$A$1000,$C53,'Oxford Economics'!$B$7:$B$1000,Settings!$B$14)+SUMIFS(INDEX('Oxford Economics'!$A$7:$AZ$1000,0,IFERROR(MATCH(U$5,'Oxford Economics'!$A$6:$AZ$6,0),MATCH(U$5&amp;"",'Oxford Economics'!$A$6:$AZ$6,0))),'Oxford Economics'!$A$7:$A$1000,$C53,'Oxford Economics'!$B$7:$B$1000,Settings!$B$16)+IF(Settings!$B$18="",0,SUMIFS(INDEX('Oxford Economics'!$A$7:$AZ$1000,0,IFERROR(MATCH(U$5,'Oxford Economics'!$A$6:$AZ$6,0),MATCH(U$5&amp;"",'Oxford Economics'!$A$6:$AZ$6,0))),'Oxford Economics'!$A$7:$A$1000,$C53,'Oxford Economics'!$B$7:$B$1000,Settings!$B$18)))),""))</f>
        <v/>
      </c>
      <c r="V53" s="37" t="str">
        <f aca="false">IF($A53="","",IFERROR(1/(1/IF($B53="Residential",SUMIFS(INDEX('Oxford Economics'!$A$7:$AZ$1000,0,IFERROR(MATCH(V$5,'Oxford Economics'!$A$6:$AZ$6,0),MATCH(V$5&amp;"",'Oxford Economics'!$A$6:$AZ$6,0))),'Oxford Economics'!$A$7:$A$1000,$C53,'Oxford Economics'!$B$7:$B$1000,Settings!$B$12)-SUMIFS(INDEX('Oxford Economics'!$A$7:$AZ$1000,0,IFERROR(MATCH(V$5,'Oxford Economics'!$A$6:$AZ$6,0),MATCH(V$5&amp;"",'Oxford Economics'!$A$6:$AZ$6,0))),'Oxford Economics'!$A$7:$A$1000,$C53,'Oxford Economics'!$B$7:$B$1000,Settings!$B$14),SUMIFS(INDEX('Oxford Economics'!$A$7:$AZ$1000,0,IFERROR(MATCH(V$5,'Oxford Economics'!$A$6:$AZ$6,0),MATCH(V$5&amp;"",'Oxford Economics'!$A$6:$AZ$6,0))),'Oxford Economics'!$A$7:$A$1000,$C53,'Oxford Economics'!$B$7:$B$1000,Settings!$B$14)+SUMIFS(INDEX('Oxford Economics'!$A$7:$AZ$1000,0,IFERROR(MATCH(V$5,'Oxford Economics'!$A$6:$AZ$6,0),MATCH(V$5&amp;"",'Oxford Economics'!$A$6:$AZ$6,0))),'Oxford Economics'!$A$7:$A$1000,$C53,'Oxford Economics'!$B$7:$B$1000,Settings!$B$16)+IF(Settings!$B$18="",0,SUMIFS(INDEX('Oxford Economics'!$A$7:$AZ$1000,0,IFERROR(MATCH(V$5,'Oxford Economics'!$A$6:$AZ$6,0),MATCH(V$5&amp;"",'Oxford Economics'!$A$6:$AZ$6,0))),'Oxford Economics'!$A$7:$A$1000,$C53,'Oxford Economics'!$B$7:$B$1000,Settings!$B$18)))),""))</f>
        <v/>
      </c>
      <c r="W53" s="37" t="str">
        <f aca="false">IF($A53="","",IFERROR(1/(1/IF($B53="Residential",SUMIFS(INDEX('Oxford Economics'!$A$7:$AZ$1000,0,IFERROR(MATCH(W$5,'Oxford Economics'!$A$6:$AZ$6,0),MATCH(W$5&amp;"",'Oxford Economics'!$A$6:$AZ$6,0))),'Oxford Economics'!$A$7:$A$1000,$C53,'Oxford Economics'!$B$7:$B$1000,Settings!$B$12)-SUMIFS(INDEX('Oxford Economics'!$A$7:$AZ$1000,0,IFERROR(MATCH(W$5,'Oxford Economics'!$A$6:$AZ$6,0),MATCH(W$5&amp;"",'Oxford Economics'!$A$6:$AZ$6,0))),'Oxford Economics'!$A$7:$A$1000,$C53,'Oxford Economics'!$B$7:$B$1000,Settings!$B$14),SUMIFS(INDEX('Oxford Economics'!$A$7:$AZ$1000,0,IFERROR(MATCH(W$5,'Oxford Economics'!$A$6:$AZ$6,0),MATCH(W$5&amp;"",'Oxford Economics'!$A$6:$AZ$6,0))),'Oxford Economics'!$A$7:$A$1000,$C53,'Oxford Economics'!$B$7:$B$1000,Settings!$B$14)+SUMIFS(INDEX('Oxford Economics'!$A$7:$AZ$1000,0,IFERROR(MATCH(W$5,'Oxford Economics'!$A$6:$AZ$6,0),MATCH(W$5&amp;"",'Oxford Economics'!$A$6:$AZ$6,0))),'Oxford Economics'!$A$7:$A$1000,$C53,'Oxford Economics'!$B$7:$B$1000,Settings!$B$16)+IF(Settings!$B$18="",0,SUMIFS(INDEX('Oxford Economics'!$A$7:$AZ$1000,0,IFERROR(MATCH(W$5,'Oxford Economics'!$A$6:$AZ$6,0),MATCH(W$5&amp;"",'Oxford Economics'!$A$6:$AZ$6,0))),'Oxford Economics'!$A$7:$A$1000,$C53,'Oxford Economics'!$B$7:$B$1000,Settings!$B$18)))),""))</f>
        <v/>
      </c>
      <c r="X53" s="37" t="str">
        <f aca="false">IF($A53="","",IFERROR(1/(1/IF($B53="Residential",SUMIFS(INDEX('Oxford Economics'!$A$7:$AZ$1000,0,IFERROR(MATCH(X$5,'Oxford Economics'!$A$6:$AZ$6,0),MATCH(X$5&amp;"",'Oxford Economics'!$A$6:$AZ$6,0))),'Oxford Economics'!$A$7:$A$1000,$C53,'Oxford Economics'!$B$7:$B$1000,Settings!$B$12)-SUMIFS(INDEX('Oxford Economics'!$A$7:$AZ$1000,0,IFERROR(MATCH(X$5,'Oxford Economics'!$A$6:$AZ$6,0),MATCH(X$5&amp;"",'Oxford Economics'!$A$6:$AZ$6,0))),'Oxford Economics'!$A$7:$A$1000,$C53,'Oxford Economics'!$B$7:$B$1000,Settings!$B$14),SUMIFS(INDEX('Oxford Economics'!$A$7:$AZ$1000,0,IFERROR(MATCH(X$5,'Oxford Economics'!$A$6:$AZ$6,0),MATCH(X$5&amp;"",'Oxford Economics'!$A$6:$AZ$6,0))),'Oxford Economics'!$A$7:$A$1000,$C53,'Oxford Economics'!$B$7:$B$1000,Settings!$B$14)+SUMIFS(INDEX('Oxford Economics'!$A$7:$AZ$1000,0,IFERROR(MATCH(X$5,'Oxford Economics'!$A$6:$AZ$6,0),MATCH(X$5&amp;"",'Oxford Economics'!$A$6:$AZ$6,0))),'Oxford Economics'!$A$7:$A$1000,$C53,'Oxford Economics'!$B$7:$B$1000,Settings!$B$16)+IF(Settings!$B$18="",0,SUMIFS(INDEX('Oxford Economics'!$A$7:$AZ$1000,0,IFERROR(MATCH(X$5,'Oxford Economics'!$A$6:$AZ$6,0),MATCH(X$5&amp;"",'Oxford Economics'!$A$6:$AZ$6,0))),'Oxford Economics'!$A$7:$A$1000,$C53,'Oxford Economics'!$B$7:$B$1000,Settings!$B$18)))),""))</f>
        <v/>
      </c>
      <c r="Y53" s="37" t="str">
        <f aca="false">IF($A53="","",IFERROR(1/(1/IF($B53="Residential",SUMIFS(INDEX('Oxford Economics'!$A$7:$AZ$1000,0,IFERROR(MATCH(Y$5,'Oxford Economics'!$A$6:$AZ$6,0),MATCH(Y$5&amp;"",'Oxford Economics'!$A$6:$AZ$6,0))),'Oxford Economics'!$A$7:$A$1000,$C53,'Oxford Economics'!$B$7:$B$1000,Settings!$B$12)-SUMIFS(INDEX('Oxford Economics'!$A$7:$AZ$1000,0,IFERROR(MATCH(Y$5,'Oxford Economics'!$A$6:$AZ$6,0),MATCH(Y$5&amp;"",'Oxford Economics'!$A$6:$AZ$6,0))),'Oxford Economics'!$A$7:$A$1000,$C53,'Oxford Economics'!$B$7:$B$1000,Settings!$B$14),SUMIFS(INDEX('Oxford Economics'!$A$7:$AZ$1000,0,IFERROR(MATCH(Y$5,'Oxford Economics'!$A$6:$AZ$6,0),MATCH(Y$5&amp;"",'Oxford Economics'!$A$6:$AZ$6,0))),'Oxford Economics'!$A$7:$A$1000,$C53,'Oxford Economics'!$B$7:$B$1000,Settings!$B$14)+SUMIFS(INDEX('Oxford Economics'!$A$7:$AZ$1000,0,IFERROR(MATCH(Y$5,'Oxford Economics'!$A$6:$AZ$6,0),MATCH(Y$5&amp;"",'Oxford Economics'!$A$6:$AZ$6,0))),'Oxford Economics'!$A$7:$A$1000,$C53,'Oxford Economics'!$B$7:$B$1000,Settings!$B$16)+IF(Settings!$B$18="",0,SUMIFS(INDEX('Oxford Economics'!$A$7:$AZ$1000,0,IFERROR(MATCH(Y$5,'Oxford Economics'!$A$6:$AZ$6,0),MATCH(Y$5&amp;"",'Oxford Economics'!$A$6:$AZ$6,0))),'Oxford Economics'!$A$7:$A$1000,$C53,'Oxford Economics'!$B$7:$B$1000,Settings!$B$18)))),""))</f>
        <v/>
      </c>
      <c r="Z53" s="37" t="str">
        <f aca="false">IF($A53="","",IFERROR(1/(1/IF($B53="Residential",SUMIFS(INDEX('Oxford Economics'!$A$7:$AZ$1000,0,IFERROR(MATCH(Z$5,'Oxford Economics'!$A$6:$AZ$6,0),MATCH(Z$5&amp;"",'Oxford Economics'!$A$6:$AZ$6,0))),'Oxford Economics'!$A$7:$A$1000,$C53,'Oxford Economics'!$B$7:$B$1000,Settings!$B$12)-SUMIFS(INDEX('Oxford Economics'!$A$7:$AZ$1000,0,IFERROR(MATCH(Z$5,'Oxford Economics'!$A$6:$AZ$6,0),MATCH(Z$5&amp;"",'Oxford Economics'!$A$6:$AZ$6,0))),'Oxford Economics'!$A$7:$A$1000,$C53,'Oxford Economics'!$B$7:$B$1000,Settings!$B$14),SUMIFS(INDEX('Oxford Economics'!$A$7:$AZ$1000,0,IFERROR(MATCH(Z$5,'Oxford Economics'!$A$6:$AZ$6,0),MATCH(Z$5&amp;"",'Oxford Economics'!$A$6:$AZ$6,0))),'Oxford Economics'!$A$7:$A$1000,$C53,'Oxford Economics'!$B$7:$B$1000,Settings!$B$14)+SUMIFS(INDEX('Oxford Economics'!$A$7:$AZ$1000,0,IFERROR(MATCH(Z$5,'Oxford Economics'!$A$6:$AZ$6,0),MATCH(Z$5&amp;"",'Oxford Economics'!$A$6:$AZ$6,0))),'Oxford Economics'!$A$7:$A$1000,$C53,'Oxford Economics'!$B$7:$B$1000,Settings!$B$16)+IF(Settings!$B$18="",0,SUMIFS(INDEX('Oxford Economics'!$A$7:$AZ$1000,0,IFERROR(MATCH(Z$5,'Oxford Economics'!$A$6:$AZ$6,0),MATCH(Z$5&amp;"",'Oxford Economics'!$A$6:$AZ$6,0))),'Oxford Economics'!$A$7:$A$1000,$C53,'Oxford Economics'!$B$7:$B$1000,Settings!$B$18)))),""))</f>
        <v/>
      </c>
      <c r="AA53" s="37" t="str">
        <f aca="false">IF($A53="","",IFERROR(1/(1/IF($B53="Residential",SUMIFS(INDEX('Oxford Economics'!$A$7:$AZ$1000,0,IFERROR(MATCH(AA$5,'Oxford Economics'!$A$6:$AZ$6,0),MATCH(AA$5&amp;"",'Oxford Economics'!$A$6:$AZ$6,0))),'Oxford Economics'!$A$7:$A$1000,$C53,'Oxford Economics'!$B$7:$B$1000,Settings!$B$12)-SUMIFS(INDEX('Oxford Economics'!$A$7:$AZ$1000,0,IFERROR(MATCH(AA$5,'Oxford Economics'!$A$6:$AZ$6,0),MATCH(AA$5&amp;"",'Oxford Economics'!$A$6:$AZ$6,0))),'Oxford Economics'!$A$7:$A$1000,$C53,'Oxford Economics'!$B$7:$B$1000,Settings!$B$14),SUMIFS(INDEX('Oxford Economics'!$A$7:$AZ$1000,0,IFERROR(MATCH(AA$5,'Oxford Economics'!$A$6:$AZ$6,0),MATCH(AA$5&amp;"",'Oxford Economics'!$A$6:$AZ$6,0))),'Oxford Economics'!$A$7:$A$1000,$C53,'Oxford Economics'!$B$7:$B$1000,Settings!$B$14)+SUMIFS(INDEX('Oxford Economics'!$A$7:$AZ$1000,0,IFERROR(MATCH(AA$5,'Oxford Economics'!$A$6:$AZ$6,0),MATCH(AA$5&amp;"",'Oxford Economics'!$A$6:$AZ$6,0))),'Oxford Economics'!$A$7:$A$1000,$C53,'Oxford Economics'!$B$7:$B$1000,Settings!$B$16)+IF(Settings!$B$18="",0,SUMIFS(INDEX('Oxford Economics'!$A$7:$AZ$1000,0,IFERROR(MATCH(AA$5,'Oxford Economics'!$A$6:$AZ$6,0),MATCH(AA$5&amp;"",'Oxford Economics'!$A$6:$AZ$6,0))),'Oxford Economics'!$A$7:$A$1000,$C53,'Oxford Economics'!$B$7:$B$1000,Settings!$B$18)))),""))</f>
        <v/>
      </c>
      <c r="AB53" s="37" t="str">
        <f aca="false">IF($A53="","",IFERROR(1/(1/IF($B53="Residential",SUMIFS(INDEX('Oxford Economics'!$A$7:$AZ$1000,0,IFERROR(MATCH(AB$5,'Oxford Economics'!$A$6:$AZ$6,0),MATCH(AB$5&amp;"",'Oxford Economics'!$A$6:$AZ$6,0))),'Oxford Economics'!$A$7:$A$1000,$C53,'Oxford Economics'!$B$7:$B$1000,Settings!$B$11)-SUMIFS(INDEX('Oxford Economics'!$A$7:$AZ$1000,0,IFERROR(MATCH(AB$5,'Oxford Economics'!$A$6:$AZ$6,0),MATCH(AB$5&amp;"",'Oxford Economics'!$A$6:$AZ$6,0))),'Oxford Economics'!$A$7:$A$1000,$C53,'Oxford Economics'!$B$7:$B$1000,Settings!$B$13),SUMIFS(INDEX('Oxford Economics'!$A$7:$AZ$1000,0,IFERROR(MATCH(AB$5,'Oxford Economics'!$A$6:$AZ$6,0),MATCH(AB$5&amp;"",'Oxford Economics'!$A$6:$AZ$6,0))),'Oxford Economics'!$A$7:$A$1000,$C53,'Oxford Economics'!$B$7:$B$1000,Settings!$B$13)+SUMIFS(INDEX('Oxford Economics'!$A$7:$AZ$1000,0,IFERROR(MATCH(AB$5,'Oxford Economics'!$A$6:$AZ$6,0),MATCH(AB$5&amp;"",'Oxford Economics'!$A$6:$AZ$6,0))),'Oxford Economics'!$A$7:$A$1000,$C53,'Oxford Economics'!$B$7:$B$1000,Settings!$B$15)+IF(Settings!$B$17="",0,SUMIFS(INDEX('Oxford Economics'!$A$7:$AZ$1000,0,IFERROR(MATCH(AB$5,'Oxford Economics'!$A$6:$AZ$6,0),MATCH(AB$5&amp;"",'Oxford Economics'!$A$6:$AZ$6,0))),'Oxford Economics'!$A$7:$A$1000,$C53,'Oxford Economics'!$B$7:$B$1000,Settings!$B$17)))),""))</f>
        <v/>
      </c>
      <c r="AC53" s="37" t="str">
        <f aca="false">IF($A53="","",IFERROR(1/(1/IF($B53="Residential",SUMIFS(INDEX('Oxford Economics'!$A$7:$AZ$1000,0,IFERROR(MATCH(AC$5,'Oxford Economics'!$A$6:$AZ$6,0),MATCH(AC$5&amp;"",'Oxford Economics'!$A$6:$AZ$6,0))),'Oxford Economics'!$A$7:$A$1000,$C53,'Oxford Economics'!$B$7:$B$1000,Settings!$B$11)-SUMIFS(INDEX('Oxford Economics'!$A$7:$AZ$1000,0,IFERROR(MATCH(AC$5,'Oxford Economics'!$A$6:$AZ$6,0),MATCH(AC$5&amp;"",'Oxford Economics'!$A$6:$AZ$6,0))),'Oxford Economics'!$A$7:$A$1000,$C53,'Oxford Economics'!$B$7:$B$1000,Settings!$B$13),SUMIFS(INDEX('Oxford Economics'!$A$7:$AZ$1000,0,IFERROR(MATCH(AC$5,'Oxford Economics'!$A$6:$AZ$6,0),MATCH(AC$5&amp;"",'Oxford Economics'!$A$6:$AZ$6,0))),'Oxford Economics'!$A$7:$A$1000,$C53,'Oxford Economics'!$B$7:$B$1000,Settings!$B$13)+SUMIFS(INDEX('Oxford Economics'!$A$7:$AZ$1000,0,IFERROR(MATCH(AC$5,'Oxford Economics'!$A$6:$AZ$6,0),MATCH(AC$5&amp;"",'Oxford Economics'!$A$6:$AZ$6,0))),'Oxford Economics'!$A$7:$A$1000,$C53,'Oxford Economics'!$B$7:$B$1000,Settings!$B$15)+IF(Settings!$B$17="",0,SUMIFS(INDEX('Oxford Economics'!$A$7:$AZ$1000,0,IFERROR(MATCH(AC$5,'Oxford Economics'!$A$6:$AZ$6,0),MATCH(AC$5&amp;"",'Oxford Economics'!$A$6:$AZ$6,0))),'Oxford Economics'!$A$7:$A$1000,$C53,'Oxford Economics'!$B$7:$B$1000,Settings!$B$17)))),""))</f>
        <v/>
      </c>
      <c r="AD53" s="37" t="str">
        <f aca="false">IF($A53="","",IFERROR(1/(1/IF($B53="Residential",SUMIFS(INDEX('Oxford Economics'!$A$7:$AZ$1000,0,IFERROR(MATCH(AD$5,'Oxford Economics'!$A$6:$AZ$6,0),MATCH(AD$5&amp;"",'Oxford Economics'!$A$6:$AZ$6,0))),'Oxford Economics'!$A$7:$A$1000,$C53,'Oxford Economics'!$B$7:$B$1000,Settings!$B$11)-SUMIFS(INDEX('Oxford Economics'!$A$7:$AZ$1000,0,IFERROR(MATCH(AD$5,'Oxford Economics'!$A$6:$AZ$6,0),MATCH(AD$5&amp;"",'Oxford Economics'!$A$6:$AZ$6,0))),'Oxford Economics'!$A$7:$A$1000,$C53,'Oxford Economics'!$B$7:$B$1000,Settings!$B$13),SUMIFS(INDEX('Oxford Economics'!$A$7:$AZ$1000,0,IFERROR(MATCH(AD$5,'Oxford Economics'!$A$6:$AZ$6,0),MATCH(AD$5&amp;"",'Oxford Economics'!$A$6:$AZ$6,0))),'Oxford Economics'!$A$7:$A$1000,$C53,'Oxford Economics'!$B$7:$B$1000,Settings!$B$13)+SUMIFS(INDEX('Oxford Economics'!$A$7:$AZ$1000,0,IFERROR(MATCH(AD$5,'Oxford Economics'!$A$6:$AZ$6,0),MATCH(AD$5&amp;"",'Oxford Economics'!$A$6:$AZ$6,0))),'Oxford Economics'!$A$7:$A$1000,$C53,'Oxford Economics'!$B$7:$B$1000,Settings!$B$15)+IF(Settings!$B$17="",0,SUMIFS(INDEX('Oxford Economics'!$A$7:$AZ$1000,0,IFERROR(MATCH(AD$5,'Oxford Economics'!$A$6:$AZ$6,0),MATCH(AD$5&amp;"",'Oxford Economics'!$A$6:$AZ$6,0))),'Oxford Economics'!$A$7:$A$1000,$C53,'Oxford Economics'!$B$7:$B$1000,Settings!$B$17)))),""))</f>
        <v/>
      </c>
      <c r="AE53" s="37" t="str">
        <f aca="false">IF($A53="","",IFERROR(1/(1/IF($B53="Residential",SUMIFS(INDEX('Oxford Economics'!$A$7:$AZ$1000,0,IFERROR(MATCH(AE$5,'Oxford Economics'!$A$6:$AZ$6,0),MATCH(AE$5&amp;"",'Oxford Economics'!$A$6:$AZ$6,0))),'Oxford Economics'!$A$7:$A$1000,$C53,'Oxford Economics'!$B$7:$B$1000,Settings!$B$11)-SUMIFS(INDEX('Oxford Economics'!$A$7:$AZ$1000,0,IFERROR(MATCH(AE$5,'Oxford Economics'!$A$6:$AZ$6,0),MATCH(AE$5&amp;"",'Oxford Economics'!$A$6:$AZ$6,0))),'Oxford Economics'!$A$7:$A$1000,$C53,'Oxford Economics'!$B$7:$B$1000,Settings!$B$13),SUMIFS(INDEX('Oxford Economics'!$A$7:$AZ$1000,0,IFERROR(MATCH(AE$5,'Oxford Economics'!$A$6:$AZ$6,0),MATCH(AE$5&amp;"",'Oxford Economics'!$A$6:$AZ$6,0))),'Oxford Economics'!$A$7:$A$1000,$C53,'Oxford Economics'!$B$7:$B$1000,Settings!$B$13)+SUMIFS(INDEX('Oxford Economics'!$A$7:$AZ$1000,0,IFERROR(MATCH(AE$5,'Oxford Economics'!$A$6:$AZ$6,0),MATCH(AE$5&amp;"",'Oxford Economics'!$A$6:$AZ$6,0))),'Oxford Economics'!$A$7:$A$1000,$C53,'Oxford Economics'!$B$7:$B$1000,Settings!$B$15)+IF(Settings!$B$17="",0,SUMIFS(INDEX('Oxford Economics'!$A$7:$AZ$1000,0,IFERROR(MATCH(AE$5,'Oxford Economics'!$A$6:$AZ$6,0),MATCH(AE$5&amp;"",'Oxford Economics'!$A$6:$AZ$6,0))),'Oxford Economics'!$A$7:$A$1000,$C53,'Oxford Economics'!$B$7:$B$1000,Settings!$B$17)))),""))</f>
        <v/>
      </c>
      <c r="AF53" s="37" t="str">
        <f aca="false">IF($A53="","",IFERROR(1/(1/IF($B53="Residential",SUMIFS(INDEX('Oxford Economics'!$A$7:$AZ$1000,0,IFERROR(MATCH(AF$5,'Oxford Economics'!$A$6:$AZ$6,0),MATCH(AF$5&amp;"",'Oxford Economics'!$A$6:$AZ$6,0))),'Oxford Economics'!$A$7:$A$1000,$C53,'Oxford Economics'!$B$7:$B$1000,Settings!$B$11)-SUMIFS(INDEX('Oxford Economics'!$A$7:$AZ$1000,0,IFERROR(MATCH(AF$5,'Oxford Economics'!$A$6:$AZ$6,0),MATCH(AF$5&amp;"",'Oxford Economics'!$A$6:$AZ$6,0))),'Oxford Economics'!$A$7:$A$1000,$C53,'Oxford Economics'!$B$7:$B$1000,Settings!$B$13),SUMIFS(INDEX('Oxford Economics'!$A$7:$AZ$1000,0,IFERROR(MATCH(AF$5,'Oxford Economics'!$A$6:$AZ$6,0),MATCH(AF$5&amp;"",'Oxford Economics'!$A$6:$AZ$6,0))),'Oxford Economics'!$A$7:$A$1000,$C53,'Oxford Economics'!$B$7:$B$1000,Settings!$B$13)+SUMIFS(INDEX('Oxford Economics'!$A$7:$AZ$1000,0,IFERROR(MATCH(AF$5,'Oxford Economics'!$A$6:$AZ$6,0),MATCH(AF$5&amp;"",'Oxford Economics'!$A$6:$AZ$6,0))),'Oxford Economics'!$A$7:$A$1000,$C53,'Oxford Economics'!$B$7:$B$1000,Settings!$B$15)+IF(Settings!$B$17="",0,SUMIFS(INDEX('Oxford Economics'!$A$7:$AZ$1000,0,IFERROR(MATCH(AF$5,'Oxford Economics'!$A$6:$AZ$6,0),MATCH(AF$5&amp;"",'Oxford Economics'!$A$6:$AZ$6,0))),'Oxford Economics'!$A$7:$A$1000,$C53,'Oxford Economics'!$B$7:$B$1000,Settings!$B$17)))),""))</f>
        <v/>
      </c>
      <c r="AG53" s="37" t="str">
        <f aca="false">IF($A53="","",IFERROR(1/(1/IF($B53="Residential",SUMIFS(INDEX('Oxford Economics'!$A$7:$AZ$1000,0,IFERROR(MATCH(AG$5,'Oxford Economics'!$A$6:$AZ$6,0),MATCH(AG$5&amp;"",'Oxford Economics'!$A$6:$AZ$6,0))),'Oxford Economics'!$A$7:$A$1000,$C53,'Oxford Economics'!$B$7:$B$1000,Settings!$B$11)-SUMIFS(INDEX('Oxford Economics'!$A$7:$AZ$1000,0,IFERROR(MATCH(AG$5,'Oxford Economics'!$A$6:$AZ$6,0),MATCH(AG$5&amp;"",'Oxford Economics'!$A$6:$AZ$6,0))),'Oxford Economics'!$A$7:$A$1000,$C53,'Oxford Economics'!$B$7:$B$1000,Settings!$B$13),SUMIFS(INDEX('Oxford Economics'!$A$7:$AZ$1000,0,IFERROR(MATCH(AG$5,'Oxford Economics'!$A$6:$AZ$6,0),MATCH(AG$5&amp;"",'Oxford Economics'!$A$6:$AZ$6,0))),'Oxford Economics'!$A$7:$A$1000,$C53,'Oxford Economics'!$B$7:$B$1000,Settings!$B$13)+SUMIFS(INDEX('Oxford Economics'!$A$7:$AZ$1000,0,IFERROR(MATCH(AG$5,'Oxford Economics'!$A$6:$AZ$6,0),MATCH(AG$5&amp;"",'Oxford Economics'!$A$6:$AZ$6,0))),'Oxford Economics'!$A$7:$A$1000,$C53,'Oxford Economics'!$B$7:$B$1000,Settings!$B$15)+IF(Settings!$B$17="",0,SUMIFS(INDEX('Oxford Economics'!$A$7:$AZ$1000,0,IFERROR(MATCH(AG$5,'Oxford Economics'!$A$6:$AZ$6,0),MATCH(AG$5&amp;"",'Oxford Economics'!$A$6:$AZ$6,0))),'Oxford Economics'!$A$7:$A$1000,$C53,'Oxford Economics'!$B$7:$B$1000,Settings!$B$17)))),""))</f>
        <v/>
      </c>
      <c r="AH53" s="37" t="str">
        <f aca="false">IF($A53="","",IFERROR(1/(1/IF($B53="Residential",SUMIFS(INDEX('Oxford Economics'!$A$7:$AZ$1000,0,IFERROR(MATCH(AH$5,'Oxford Economics'!$A$6:$AZ$6,0),MATCH(AH$5&amp;"",'Oxford Economics'!$A$6:$AZ$6,0))),'Oxford Economics'!$A$7:$A$1000,$C53,'Oxford Economics'!$B$7:$B$1000,Settings!$B$11)-SUMIFS(INDEX('Oxford Economics'!$A$7:$AZ$1000,0,IFERROR(MATCH(AH$5,'Oxford Economics'!$A$6:$AZ$6,0),MATCH(AH$5&amp;"",'Oxford Economics'!$A$6:$AZ$6,0))),'Oxford Economics'!$A$7:$A$1000,$C53,'Oxford Economics'!$B$7:$B$1000,Settings!$B$13),SUMIFS(INDEX('Oxford Economics'!$A$7:$AZ$1000,0,IFERROR(MATCH(AH$5,'Oxford Economics'!$A$6:$AZ$6,0),MATCH(AH$5&amp;"",'Oxford Economics'!$A$6:$AZ$6,0))),'Oxford Economics'!$A$7:$A$1000,$C53,'Oxford Economics'!$B$7:$B$1000,Settings!$B$13)+SUMIFS(INDEX('Oxford Economics'!$A$7:$AZ$1000,0,IFERROR(MATCH(AH$5,'Oxford Economics'!$A$6:$AZ$6,0),MATCH(AH$5&amp;"",'Oxford Economics'!$A$6:$AZ$6,0))),'Oxford Economics'!$A$7:$A$1000,$C53,'Oxford Economics'!$B$7:$B$1000,Settings!$B$15)+IF(Settings!$B$17="",0,SUMIFS(INDEX('Oxford Economics'!$A$7:$AZ$1000,0,IFERROR(MATCH(AH$5,'Oxford Economics'!$A$6:$AZ$6,0),MATCH(AH$5&amp;"",'Oxford Economics'!$A$6:$AZ$6,0))),'Oxford Economics'!$A$7:$A$1000,$C53,'Oxford Economics'!$B$7:$B$1000,Settings!$B$17)))),""))</f>
        <v/>
      </c>
      <c r="AI53" s="37" t="str">
        <f aca="false">IF($A53="","",IFERROR(1/(1/IF($B53="Residential",SUMIFS(INDEX('Oxford Economics'!$A$7:$AZ$1000,0,IFERROR(MATCH(AI$5,'Oxford Economics'!$A$6:$AZ$6,0),MATCH(AI$5&amp;"",'Oxford Economics'!$A$6:$AZ$6,0))),'Oxford Economics'!$A$7:$A$1000,$C53,'Oxford Economics'!$B$7:$B$1000,Settings!$B$11)-SUMIFS(INDEX('Oxford Economics'!$A$7:$AZ$1000,0,IFERROR(MATCH(AI$5,'Oxford Economics'!$A$6:$AZ$6,0),MATCH(AI$5&amp;"",'Oxford Economics'!$A$6:$AZ$6,0))),'Oxford Economics'!$A$7:$A$1000,$C53,'Oxford Economics'!$B$7:$B$1000,Settings!$B$13),SUMIFS(INDEX('Oxford Economics'!$A$7:$AZ$1000,0,IFERROR(MATCH(AI$5,'Oxford Economics'!$A$6:$AZ$6,0),MATCH(AI$5&amp;"",'Oxford Economics'!$A$6:$AZ$6,0))),'Oxford Economics'!$A$7:$A$1000,$C53,'Oxford Economics'!$B$7:$B$1000,Settings!$B$13)+SUMIFS(INDEX('Oxford Economics'!$A$7:$AZ$1000,0,IFERROR(MATCH(AI$5,'Oxford Economics'!$A$6:$AZ$6,0),MATCH(AI$5&amp;"",'Oxford Economics'!$A$6:$AZ$6,0))),'Oxford Economics'!$A$7:$A$1000,$C53,'Oxford Economics'!$B$7:$B$1000,Settings!$B$15)+IF(Settings!$B$17="",0,SUMIFS(INDEX('Oxford Economics'!$A$7:$AZ$1000,0,IFERROR(MATCH(AI$5,'Oxford Economics'!$A$6:$AZ$6,0),MATCH(AI$5&amp;"",'Oxford Economics'!$A$6:$AZ$6,0))),'Oxford Economics'!$A$7:$A$1000,$C53,'Oxford Economics'!$B$7:$B$1000,Settings!$B$17)))),""))</f>
        <v/>
      </c>
      <c r="AJ53" s="37" t="str">
        <f aca="false">IF($A53="","",IFERROR(1/(1/IF($B53="Residential",SUMIFS(INDEX('Oxford Economics'!$A$7:$AZ$1000,0,IFERROR(MATCH(AJ$5,'Oxford Economics'!$A$6:$AZ$6,0),MATCH(AJ$5&amp;"",'Oxford Economics'!$A$6:$AZ$6,0))),'Oxford Economics'!$A$7:$A$1000,$C53,'Oxford Economics'!$B$7:$B$1000,Settings!$B$11)-SUMIFS(INDEX('Oxford Economics'!$A$7:$AZ$1000,0,IFERROR(MATCH(AJ$5,'Oxford Economics'!$A$6:$AZ$6,0),MATCH(AJ$5&amp;"",'Oxford Economics'!$A$6:$AZ$6,0))),'Oxford Economics'!$A$7:$A$1000,$C53,'Oxford Economics'!$B$7:$B$1000,Settings!$B$13),SUMIFS(INDEX('Oxford Economics'!$A$7:$AZ$1000,0,IFERROR(MATCH(AJ$5,'Oxford Economics'!$A$6:$AZ$6,0),MATCH(AJ$5&amp;"",'Oxford Economics'!$A$6:$AZ$6,0))),'Oxford Economics'!$A$7:$A$1000,$C53,'Oxford Economics'!$B$7:$B$1000,Settings!$B$13)+SUMIFS(INDEX('Oxford Economics'!$A$7:$AZ$1000,0,IFERROR(MATCH(AJ$5,'Oxford Economics'!$A$6:$AZ$6,0),MATCH(AJ$5&amp;"",'Oxford Economics'!$A$6:$AZ$6,0))),'Oxford Economics'!$A$7:$A$1000,$C53,'Oxford Economics'!$B$7:$B$1000,Settings!$B$15)+IF(Settings!$B$17="",0,SUMIFS(INDEX('Oxford Economics'!$A$7:$AZ$1000,0,IFERROR(MATCH(AJ$5,'Oxford Economics'!$A$6:$AZ$6,0),MATCH(AJ$5&amp;"",'Oxford Economics'!$A$6:$AZ$6,0))),'Oxford Economics'!$A$7:$A$1000,$C53,'Oxford Economics'!$B$7:$B$1000,Settings!$B$17)))),""))</f>
        <v/>
      </c>
      <c r="AK53" s="37" t="str">
        <f aca="false">IF($A53="","",IFERROR(1/(1/IF($B53="Residential",SUMIFS(INDEX('Oxford Economics'!$A$7:$AZ$1000,0,IFERROR(MATCH(AK$5,'Oxford Economics'!$A$6:$AZ$6,0),MATCH(AK$5&amp;"",'Oxford Economics'!$A$6:$AZ$6,0))),'Oxford Economics'!$A$7:$A$1000,$C53,'Oxford Economics'!$B$7:$B$1000,Settings!$B$11)-SUMIFS(INDEX('Oxford Economics'!$A$7:$AZ$1000,0,IFERROR(MATCH(AK$5,'Oxford Economics'!$A$6:$AZ$6,0),MATCH(AK$5&amp;"",'Oxford Economics'!$A$6:$AZ$6,0))),'Oxford Economics'!$A$7:$A$1000,$C53,'Oxford Economics'!$B$7:$B$1000,Settings!$B$13),SUMIFS(INDEX('Oxford Economics'!$A$7:$AZ$1000,0,IFERROR(MATCH(AK$5,'Oxford Economics'!$A$6:$AZ$6,0),MATCH(AK$5&amp;"",'Oxford Economics'!$A$6:$AZ$6,0))),'Oxford Economics'!$A$7:$A$1000,$C53,'Oxford Economics'!$B$7:$B$1000,Settings!$B$13)+SUMIFS(INDEX('Oxford Economics'!$A$7:$AZ$1000,0,IFERROR(MATCH(AK$5,'Oxford Economics'!$A$6:$AZ$6,0),MATCH(AK$5&amp;"",'Oxford Economics'!$A$6:$AZ$6,0))),'Oxford Economics'!$A$7:$A$1000,$C53,'Oxford Economics'!$B$7:$B$1000,Settings!$B$15)+IF(Settings!$B$17="",0,SUMIFS(INDEX('Oxford Economics'!$A$7:$AZ$1000,0,IFERROR(MATCH(AK$5,'Oxford Economics'!$A$6:$AZ$6,0),MATCH(AK$5&amp;"",'Oxford Economics'!$A$6:$AZ$6,0))),'Oxford Economics'!$A$7:$A$1000,$C53,'Oxford Economics'!$B$7:$B$1000,Settings!$B$17)))),""))</f>
        <v/>
      </c>
      <c r="AL53" s="37" t="str">
        <f aca="false">IF($A53="","",IFERROR(1/(1/IF($B53="Residential",SUMIFS(INDEX('Oxford Economics'!$A$7:$AZ$1000,0,IFERROR(MATCH(AL$5,'Oxford Economics'!$A$6:$AZ$6,0),MATCH(AL$5&amp;"",'Oxford Economics'!$A$6:$AZ$6,0))),'Oxford Economics'!$A$7:$A$1000,$C53,'Oxford Economics'!$B$7:$B$1000,Settings!$B$11)-SUMIFS(INDEX('Oxford Economics'!$A$7:$AZ$1000,0,IFERROR(MATCH(AL$5,'Oxford Economics'!$A$6:$AZ$6,0),MATCH(AL$5&amp;"",'Oxford Economics'!$A$6:$AZ$6,0))),'Oxford Economics'!$A$7:$A$1000,$C53,'Oxford Economics'!$B$7:$B$1000,Settings!$B$13),SUMIFS(INDEX('Oxford Economics'!$A$7:$AZ$1000,0,IFERROR(MATCH(AL$5,'Oxford Economics'!$A$6:$AZ$6,0),MATCH(AL$5&amp;"",'Oxford Economics'!$A$6:$AZ$6,0))),'Oxford Economics'!$A$7:$A$1000,$C53,'Oxford Economics'!$B$7:$B$1000,Settings!$B$13)+SUMIFS(INDEX('Oxford Economics'!$A$7:$AZ$1000,0,IFERROR(MATCH(AL$5,'Oxford Economics'!$A$6:$AZ$6,0),MATCH(AL$5&amp;"",'Oxford Economics'!$A$6:$AZ$6,0))),'Oxford Economics'!$A$7:$A$1000,$C53,'Oxford Economics'!$B$7:$B$1000,Settings!$B$15)+IF(Settings!$B$17="",0,SUMIFS(INDEX('Oxford Economics'!$A$7:$AZ$1000,0,IFERROR(MATCH(AL$5,'Oxford Economics'!$A$6:$AZ$6,0),MATCH(AL$5&amp;"",'Oxford Economics'!$A$6:$AZ$6,0))),'Oxford Economics'!$A$7:$A$1000,$C53,'Oxford Economics'!$B$7:$B$1000,Settings!$B$17)))),""))</f>
        <v/>
      </c>
      <c r="AM53" s="37" t="str">
        <f aca="false">IF($A53="","",IFERROR(1/(1/IF($B53="Residential",SUMIFS(INDEX('Oxford Economics'!$A$7:$AZ$1000,0,IFERROR(MATCH(AM$5,'Oxford Economics'!$A$6:$AZ$6,0),MATCH(AM$5&amp;"",'Oxford Economics'!$A$6:$AZ$6,0))),'Oxford Economics'!$A$7:$A$1000,$C53,'Oxford Economics'!$B$7:$B$1000,Settings!$B$11)-SUMIFS(INDEX('Oxford Economics'!$A$7:$AZ$1000,0,IFERROR(MATCH(AM$5,'Oxford Economics'!$A$6:$AZ$6,0),MATCH(AM$5&amp;"",'Oxford Economics'!$A$6:$AZ$6,0))),'Oxford Economics'!$A$7:$A$1000,$C53,'Oxford Economics'!$B$7:$B$1000,Settings!$B$13),SUMIFS(INDEX('Oxford Economics'!$A$7:$AZ$1000,0,IFERROR(MATCH(AM$5,'Oxford Economics'!$A$6:$AZ$6,0),MATCH(AM$5&amp;"",'Oxford Economics'!$A$6:$AZ$6,0))),'Oxford Economics'!$A$7:$A$1000,$C53,'Oxford Economics'!$B$7:$B$1000,Settings!$B$13)+SUMIFS(INDEX('Oxford Economics'!$A$7:$AZ$1000,0,IFERROR(MATCH(AM$5,'Oxford Economics'!$A$6:$AZ$6,0),MATCH(AM$5&amp;"",'Oxford Economics'!$A$6:$AZ$6,0))),'Oxford Economics'!$A$7:$A$1000,$C53,'Oxford Economics'!$B$7:$B$1000,Settings!$B$15)+IF(Settings!$B$17="",0,SUMIFS(INDEX('Oxford Economics'!$A$7:$AZ$1000,0,IFERROR(MATCH(AM$5,'Oxford Economics'!$A$6:$AZ$6,0),MATCH(AM$5&amp;"",'Oxford Economics'!$A$6:$AZ$6,0))),'Oxford Economics'!$A$7:$A$1000,$C53,'Oxford Economics'!$B$7:$B$1000,Settings!$B$17)))),""))</f>
        <v/>
      </c>
    </row>
    <row r="54" customFormat="false" ht="15" hidden="false" customHeight="false" outlineLevel="0" collapsed="false">
      <c r="A54" s="36" t="str">
        <f aca="false">IF('Raw data'!$A54="","",'Raw data'!$A54)</f>
        <v/>
      </c>
      <c r="B54" s="36" t="str">
        <f aca="false">IF($A54="","",'Raw data'!$C54)</f>
        <v/>
      </c>
      <c r="C54" s="36" t="str">
        <f aca="false">IF($A54="","",IF('Raw data'!$D54="",$A54,'Raw data'!$D54))</f>
        <v/>
      </c>
      <c r="D54" s="37" t="str">
        <f aca="false">IF($A54="","",IF(AND(ISNUMBER(P54),ISNUMBER(AB54)),P54+AB54,""))</f>
        <v/>
      </c>
      <c r="E54" s="37" t="str">
        <f aca="false">IF($A54="","",IF(AND(ISNUMBER(Q54),ISNUMBER(AC54)),Q54+AC54,""))</f>
        <v/>
      </c>
      <c r="F54" s="37" t="str">
        <f aca="false">IF($A54="","",IF(AND(ISNUMBER(R54),ISNUMBER(AD54)),R54+AD54,""))</f>
        <v/>
      </c>
      <c r="G54" s="37" t="str">
        <f aca="false">IF($A54="","",IF(AND(ISNUMBER(S54),ISNUMBER(AE54)),S54+AE54,""))</f>
        <v/>
      </c>
      <c r="H54" s="37" t="str">
        <f aca="false">IF($A54="","",IF(AND(ISNUMBER(T54),ISNUMBER(AF54)),T54+AF54,""))</f>
        <v/>
      </c>
      <c r="I54" s="37" t="str">
        <f aca="false">IF($A54="","",IF(AND(ISNUMBER(U54),ISNUMBER(AG54)),U54+AG54,""))</f>
        <v/>
      </c>
      <c r="J54" s="37" t="str">
        <f aca="false">IF($A54="","",IF(AND(ISNUMBER(V54),ISNUMBER(AH54)),V54+AH54,""))</f>
        <v/>
      </c>
      <c r="K54" s="37" t="str">
        <f aca="false">IF($A54="","",IF(AND(ISNUMBER(W54),ISNUMBER(AI54)),W54+AI54,""))</f>
        <v/>
      </c>
      <c r="L54" s="37" t="str">
        <f aca="false">IF($A54="","",IF(AND(ISNUMBER(X54),ISNUMBER(AJ54)),X54+AJ54,""))</f>
        <v/>
      </c>
      <c r="M54" s="37" t="str">
        <f aca="false">IF($A54="","",IF(AND(ISNUMBER(Y54),ISNUMBER(AK54)),Y54+AK54,""))</f>
        <v/>
      </c>
      <c r="N54" s="37" t="str">
        <f aca="false">IF($A54="","",IF(AND(ISNUMBER(Z54),ISNUMBER(AL54)),Z54+AL54,""))</f>
        <v/>
      </c>
      <c r="O54" s="37" t="str">
        <f aca="false">IF($A54="","",IF(AND(ISNUMBER(AA54),ISNUMBER(AM54)),AA54+AM54,""))</f>
        <v/>
      </c>
      <c r="P54" s="37" t="str">
        <f aca="false">IF($A54="","",IFERROR(1/(1/IF($B54="Residential",SUMIFS(INDEX('Oxford Economics'!$A$7:$AZ$1000,0,IFERROR(MATCH(P$5,'Oxford Economics'!$A$6:$AZ$6,0),MATCH(P$5&amp;"",'Oxford Economics'!$A$6:$AZ$6,0))),'Oxford Economics'!$A$7:$A$1000,$C54,'Oxford Economics'!$B$7:$B$1000,Settings!$B$12)-SUMIFS(INDEX('Oxford Economics'!$A$7:$AZ$1000,0,IFERROR(MATCH(P$5,'Oxford Economics'!$A$6:$AZ$6,0),MATCH(P$5&amp;"",'Oxford Economics'!$A$6:$AZ$6,0))),'Oxford Economics'!$A$7:$A$1000,$C54,'Oxford Economics'!$B$7:$B$1000,Settings!$B$14),SUMIFS(INDEX('Oxford Economics'!$A$7:$AZ$1000,0,IFERROR(MATCH(P$5,'Oxford Economics'!$A$6:$AZ$6,0),MATCH(P$5&amp;"",'Oxford Economics'!$A$6:$AZ$6,0))),'Oxford Economics'!$A$7:$A$1000,$C54,'Oxford Economics'!$B$7:$B$1000,Settings!$B$14)+SUMIFS(INDEX('Oxford Economics'!$A$7:$AZ$1000,0,IFERROR(MATCH(P$5,'Oxford Economics'!$A$6:$AZ$6,0),MATCH(P$5&amp;"",'Oxford Economics'!$A$6:$AZ$6,0))),'Oxford Economics'!$A$7:$A$1000,$C54,'Oxford Economics'!$B$7:$B$1000,Settings!$B$16)+IF(Settings!$B$18="",0,SUMIFS(INDEX('Oxford Economics'!$A$7:$AZ$1000,0,IFERROR(MATCH(P$5,'Oxford Economics'!$A$6:$AZ$6,0),MATCH(P$5&amp;"",'Oxford Economics'!$A$6:$AZ$6,0))),'Oxford Economics'!$A$7:$A$1000,$C54,'Oxford Economics'!$B$7:$B$1000,Settings!$B$18)))),""))</f>
        <v/>
      </c>
      <c r="Q54" s="37" t="str">
        <f aca="false">IF($A54="","",IFERROR(1/(1/IF($B54="Residential",SUMIFS(INDEX('Oxford Economics'!$A$7:$AZ$1000,0,IFERROR(MATCH(Q$5,'Oxford Economics'!$A$6:$AZ$6,0),MATCH(Q$5&amp;"",'Oxford Economics'!$A$6:$AZ$6,0))),'Oxford Economics'!$A$7:$A$1000,$C54,'Oxford Economics'!$B$7:$B$1000,Settings!$B$12)-SUMIFS(INDEX('Oxford Economics'!$A$7:$AZ$1000,0,IFERROR(MATCH(Q$5,'Oxford Economics'!$A$6:$AZ$6,0),MATCH(Q$5&amp;"",'Oxford Economics'!$A$6:$AZ$6,0))),'Oxford Economics'!$A$7:$A$1000,$C54,'Oxford Economics'!$B$7:$B$1000,Settings!$B$14),SUMIFS(INDEX('Oxford Economics'!$A$7:$AZ$1000,0,IFERROR(MATCH(Q$5,'Oxford Economics'!$A$6:$AZ$6,0),MATCH(Q$5&amp;"",'Oxford Economics'!$A$6:$AZ$6,0))),'Oxford Economics'!$A$7:$A$1000,$C54,'Oxford Economics'!$B$7:$B$1000,Settings!$B$14)+SUMIFS(INDEX('Oxford Economics'!$A$7:$AZ$1000,0,IFERROR(MATCH(Q$5,'Oxford Economics'!$A$6:$AZ$6,0),MATCH(Q$5&amp;"",'Oxford Economics'!$A$6:$AZ$6,0))),'Oxford Economics'!$A$7:$A$1000,$C54,'Oxford Economics'!$B$7:$B$1000,Settings!$B$16)+IF(Settings!$B$18="",0,SUMIFS(INDEX('Oxford Economics'!$A$7:$AZ$1000,0,IFERROR(MATCH(Q$5,'Oxford Economics'!$A$6:$AZ$6,0),MATCH(Q$5&amp;"",'Oxford Economics'!$A$6:$AZ$6,0))),'Oxford Economics'!$A$7:$A$1000,$C54,'Oxford Economics'!$B$7:$B$1000,Settings!$B$18)))),""))</f>
        <v/>
      </c>
      <c r="R54" s="37" t="str">
        <f aca="false">IF($A54="","",IFERROR(1/(1/IF($B54="Residential",SUMIFS(INDEX('Oxford Economics'!$A$7:$AZ$1000,0,IFERROR(MATCH(R$5,'Oxford Economics'!$A$6:$AZ$6,0),MATCH(R$5&amp;"",'Oxford Economics'!$A$6:$AZ$6,0))),'Oxford Economics'!$A$7:$A$1000,$C54,'Oxford Economics'!$B$7:$B$1000,Settings!$B$12)-SUMIFS(INDEX('Oxford Economics'!$A$7:$AZ$1000,0,IFERROR(MATCH(R$5,'Oxford Economics'!$A$6:$AZ$6,0),MATCH(R$5&amp;"",'Oxford Economics'!$A$6:$AZ$6,0))),'Oxford Economics'!$A$7:$A$1000,$C54,'Oxford Economics'!$B$7:$B$1000,Settings!$B$14),SUMIFS(INDEX('Oxford Economics'!$A$7:$AZ$1000,0,IFERROR(MATCH(R$5,'Oxford Economics'!$A$6:$AZ$6,0),MATCH(R$5&amp;"",'Oxford Economics'!$A$6:$AZ$6,0))),'Oxford Economics'!$A$7:$A$1000,$C54,'Oxford Economics'!$B$7:$B$1000,Settings!$B$14)+SUMIFS(INDEX('Oxford Economics'!$A$7:$AZ$1000,0,IFERROR(MATCH(R$5,'Oxford Economics'!$A$6:$AZ$6,0),MATCH(R$5&amp;"",'Oxford Economics'!$A$6:$AZ$6,0))),'Oxford Economics'!$A$7:$A$1000,$C54,'Oxford Economics'!$B$7:$B$1000,Settings!$B$16)+IF(Settings!$B$18="",0,SUMIFS(INDEX('Oxford Economics'!$A$7:$AZ$1000,0,IFERROR(MATCH(R$5,'Oxford Economics'!$A$6:$AZ$6,0),MATCH(R$5&amp;"",'Oxford Economics'!$A$6:$AZ$6,0))),'Oxford Economics'!$A$7:$A$1000,$C54,'Oxford Economics'!$B$7:$B$1000,Settings!$B$18)))),""))</f>
        <v/>
      </c>
      <c r="S54" s="37" t="str">
        <f aca="false">IF($A54="","",IFERROR(1/(1/IF($B54="Residential",SUMIFS(INDEX('Oxford Economics'!$A$7:$AZ$1000,0,IFERROR(MATCH(S$5,'Oxford Economics'!$A$6:$AZ$6,0),MATCH(S$5&amp;"",'Oxford Economics'!$A$6:$AZ$6,0))),'Oxford Economics'!$A$7:$A$1000,$C54,'Oxford Economics'!$B$7:$B$1000,Settings!$B$12)-SUMIFS(INDEX('Oxford Economics'!$A$7:$AZ$1000,0,IFERROR(MATCH(S$5,'Oxford Economics'!$A$6:$AZ$6,0),MATCH(S$5&amp;"",'Oxford Economics'!$A$6:$AZ$6,0))),'Oxford Economics'!$A$7:$A$1000,$C54,'Oxford Economics'!$B$7:$B$1000,Settings!$B$14),SUMIFS(INDEX('Oxford Economics'!$A$7:$AZ$1000,0,IFERROR(MATCH(S$5,'Oxford Economics'!$A$6:$AZ$6,0),MATCH(S$5&amp;"",'Oxford Economics'!$A$6:$AZ$6,0))),'Oxford Economics'!$A$7:$A$1000,$C54,'Oxford Economics'!$B$7:$B$1000,Settings!$B$14)+SUMIFS(INDEX('Oxford Economics'!$A$7:$AZ$1000,0,IFERROR(MATCH(S$5,'Oxford Economics'!$A$6:$AZ$6,0),MATCH(S$5&amp;"",'Oxford Economics'!$A$6:$AZ$6,0))),'Oxford Economics'!$A$7:$A$1000,$C54,'Oxford Economics'!$B$7:$B$1000,Settings!$B$16)+IF(Settings!$B$18="",0,SUMIFS(INDEX('Oxford Economics'!$A$7:$AZ$1000,0,IFERROR(MATCH(S$5,'Oxford Economics'!$A$6:$AZ$6,0),MATCH(S$5&amp;"",'Oxford Economics'!$A$6:$AZ$6,0))),'Oxford Economics'!$A$7:$A$1000,$C54,'Oxford Economics'!$B$7:$B$1000,Settings!$B$18)))),""))</f>
        <v/>
      </c>
      <c r="T54" s="37" t="str">
        <f aca="false">IF($A54="","",IFERROR(1/(1/IF($B54="Residential",SUMIFS(INDEX('Oxford Economics'!$A$7:$AZ$1000,0,IFERROR(MATCH(T$5,'Oxford Economics'!$A$6:$AZ$6,0),MATCH(T$5&amp;"",'Oxford Economics'!$A$6:$AZ$6,0))),'Oxford Economics'!$A$7:$A$1000,$C54,'Oxford Economics'!$B$7:$B$1000,Settings!$B$12)-SUMIFS(INDEX('Oxford Economics'!$A$7:$AZ$1000,0,IFERROR(MATCH(T$5,'Oxford Economics'!$A$6:$AZ$6,0),MATCH(T$5&amp;"",'Oxford Economics'!$A$6:$AZ$6,0))),'Oxford Economics'!$A$7:$A$1000,$C54,'Oxford Economics'!$B$7:$B$1000,Settings!$B$14),SUMIFS(INDEX('Oxford Economics'!$A$7:$AZ$1000,0,IFERROR(MATCH(T$5,'Oxford Economics'!$A$6:$AZ$6,0),MATCH(T$5&amp;"",'Oxford Economics'!$A$6:$AZ$6,0))),'Oxford Economics'!$A$7:$A$1000,$C54,'Oxford Economics'!$B$7:$B$1000,Settings!$B$14)+SUMIFS(INDEX('Oxford Economics'!$A$7:$AZ$1000,0,IFERROR(MATCH(T$5,'Oxford Economics'!$A$6:$AZ$6,0),MATCH(T$5&amp;"",'Oxford Economics'!$A$6:$AZ$6,0))),'Oxford Economics'!$A$7:$A$1000,$C54,'Oxford Economics'!$B$7:$B$1000,Settings!$B$16)+IF(Settings!$B$18="",0,SUMIFS(INDEX('Oxford Economics'!$A$7:$AZ$1000,0,IFERROR(MATCH(T$5,'Oxford Economics'!$A$6:$AZ$6,0),MATCH(T$5&amp;"",'Oxford Economics'!$A$6:$AZ$6,0))),'Oxford Economics'!$A$7:$A$1000,$C54,'Oxford Economics'!$B$7:$B$1000,Settings!$B$18)))),""))</f>
        <v/>
      </c>
      <c r="U54" s="37" t="str">
        <f aca="false">IF($A54="","",IFERROR(1/(1/IF($B54="Residential",SUMIFS(INDEX('Oxford Economics'!$A$7:$AZ$1000,0,IFERROR(MATCH(U$5,'Oxford Economics'!$A$6:$AZ$6,0),MATCH(U$5&amp;"",'Oxford Economics'!$A$6:$AZ$6,0))),'Oxford Economics'!$A$7:$A$1000,$C54,'Oxford Economics'!$B$7:$B$1000,Settings!$B$12)-SUMIFS(INDEX('Oxford Economics'!$A$7:$AZ$1000,0,IFERROR(MATCH(U$5,'Oxford Economics'!$A$6:$AZ$6,0),MATCH(U$5&amp;"",'Oxford Economics'!$A$6:$AZ$6,0))),'Oxford Economics'!$A$7:$A$1000,$C54,'Oxford Economics'!$B$7:$B$1000,Settings!$B$14),SUMIFS(INDEX('Oxford Economics'!$A$7:$AZ$1000,0,IFERROR(MATCH(U$5,'Oxford Economics'!$A$6:$AZ$6,0),MATCH(U$5&amp;"",'Oxford Economics'!$A$6:$AZ$6,0))),'Oxford Economics'!$A$7:$A$1000,$C54,'Oxford Economics'!$B$7:$B$1000,Settings!$B$14)+SUMIFS(INDEX('Oxford Economics'!$A$7:$AZ$1000,0,IFERROR(MATCH(U$5,'Oxford Economics'!$A$6:$AZ$6,0),MATCH(U$5&amp;"",'Oxford Economics'!$A$6:$AZ$6,0))),'Oxford Economics'!$A$7:$A$1000,$C54,'Oxford Economics'!$B$7:$B$1000,Settings!$B$16)+IF(Settings!$B$18="",0,SUMIFS(INDEX('Oxford Economics'!$A$7:$AZ$1000,0,IFERROR(MATCH(U$5,'Oxford Economics'!$A$6:$AZ$6,0),MATCH(U$5&amp;"",'Oxford Economics'!$A$6:$AZ$6,0))),'Oxford Economics'!$A$7:$A$1000,$C54,'Oxford Economics'!$B$7:$B$1000,Settings!$B$18)))),""))</f>
        <v/>
      </c>
      <c r="V54" s="37" t="str">
        <f aca="false">IF($A54="","",IFERROR(1/(1/IF($B54="Residential",SUMIFS(INDEX('Oxford Economics'!$A$7:$AZ$1000,0,IFERROR(MATCH(V$5,'Oxford Economics'!$A$6:$AZ$6,0),MATCH(V$5&amp;"",'Oxford Economics'!$A$6:$AZ$6,0))),'Oxford Economics'!$A$7:$A$1000,$C54,'Oxford Economics'!$B$7:$B$1000,Settings!$B$12)-SUMIFS(INDEX('Oxford Economics'!$A$7:$AZ$1000,0,IFERROR(MATCH(V$5,'Oxford Economics'!$A$6:$AZ$6,0),MATCH(V$5&amp;"",'Oxford Economics'!$A$6:$AZ$6,0))),'Oxford Economics'!$A$7:$A$1000,$C54,'Oxford Economics'!$B$7:$B$1000,Settings!$B$14),SUMIFS(INDEX('Oxford Economics'!$A$7:$AZ$1000,0,IFERROR(MATCH(V$5,'Oxford Economics'!$A$6:$AZ$6,0),MATCH(V$5&amp;"",'Oxford Economics'!$A$6:$AZ$6,0))),'Oxford Economics'!$A$7:$A$1000,$C54,'Oxford Economics'!$B$7:$B$1000,Settings!$B$14)+SUMIFS(INDEX('Oxford Economics'!$A$7:$AZ$1000,0,IFERROR(MATCH(V$5,'Oxford Economics'!$A$6:$AZ$6,0),MATCH(V$5&amp;"",'Oxford Economics'!$A$6:$AZ$6,0))),'Oxford Economics'!$A$7:$A$1000,$C54,'Oxford Economics'!$B$7:$B$1000,Settings!$B$16)+IF(Settings!$B$18="",0,SUMIFS(INDEX('Oxford Economics'!$A$7:$AZ$1000,0,IFERROR(MATCH(V$5,'Oxford Economics'!$A$6:$AZ$6,0),MATCH(V$5&amp;"",'Oxford Economics'!$A$6:$AZ$6,0))),'Oxford Economics'!$A$7:$A$1000,$C54,'Oxford Economics'!$B$7:$B$1000,Settings!$B$18)))),""))</f>
        <v/>
      </c>
      <c r="W54" s="37" t="str">
        <f aca="false">IF($A54="","",IFERROR(1/(1/IF($B54="Residential",SUMIFS(INDEX('Oxford Economics'!$A$7:$AZ$1000,0,IFERROR(MATCH(W$5,'Oxford Economics'!$A$6:$AZ$6,0),MATCH(W$5&amp;"",'Oxford Economics'!$A$6:$AZ$6,0))),'Oxford Economics'!$A$7:$A$1000,$C54,'Oxford Economics'!$B$7:$B$1000,Settings!$B$12)-SUMIFS(INDEX('Oxford Economics'!$A$7:$AZ$1000,0,IFERROR(MATCH(W$5,'Oxford Economics'!$A$6:$AZ$6,0),MATCH(W$5&amp;"",'Oxford Economics'!$A$6:$AZ$6,0))),'Oxford Economics'!$A$7:$A$1000,$C54,'Oxford Economics'!$B$7:$B$1000,Settings!$B$14),SUMIFS(INDEX('Oxford Economics'!$A$7:$AZ$1000,0,IFERROR(MATCH(W$5,'Oxford Economics'!$A$6:$AZ$6,0),MATCH(W$5&amp;"",'Oxford Economics'!$A$6:$AZ$6,0))),'Oxford Economics'!$A$7:$A$1000,$C54,'Oxford Economics'!$B$7:$B$1000,Settings!$B$14)+SUMIFS(INDEX('Oxford Economics'!$A$7:$AZ$1000,0,IFERROR(MATCH(W$5,'Oxford Economics'!$A$6:$AZ$6,0),MATCH(W$5&amp;"",'Oxford Economics'!$A$6:$AZ$6,0))),'Oxford Economics'!$A$7:$A$1000,$C54,'Oxford Economics'!$B$7:$B$1000,Settings!$B$16)+IF(Settings!$B$18="",0,SUMIFS(INDEX('Oxford Economics'!$A$7:$AZ$1000,0,IFERROR(MATCH(W$5,'Oxford Economics'!$A$6:$AZ$6,0),MATCH(W$5&amp;"",'Oxford Economics'!$A$6:$AZ$6,0))),'Oxford Economics'!$A$7:$A$1000,$C54,'Oxford Economics'!$B$7:$B$1000,Settings!$B$18)))),""))</f>
        <v/>
      </c>
      <c r="X54" s="37" t="str">
        <f aca="false">IF($A54="","",IFERROR(1/(1/IF($B54="Residential",SUMIFS(INDEX('Oxford Economics'!$A$7:$AZ$1000,0,IFERROR(MATCH(X$5,'Oxford Economics'!$A$6:$AZ$6,0),MATCH(X$5&amp;"",'Oxford Economics'!$A$6:$AZ$6,0))),'Oxford Economics'!$A$7:$A$1000,$C54,'Oxford Economics'!$B$7:$B$1000,Settings!$B$12)-SUMIFS(INDEX('Oxford Economics'!$A$7:$AZ$1000,0,IFERROR(MATCH(X$5,'Oxford Economics'!$A$6:$AZ$6,0),MATCH(X$5&amp;"",'Oxford Economics'!$A$6:$AZ$6,0))),'Oxford Economics'!$A$7:$A$1000,$C54,'Oxford Economics'!$B$7:$B$1000,Settings!$B$14),SUMIFS(INDEX('Oxford Economics'!$A$7:$AZ$1000,0,IFERROR(MATCH(X$5,'Oxford Economics'!$A$6:$AZ$6,0),MATCH(X$5&amp;"",'Oxford Economics'!$A$6:$AZ$6,0))),'Oxford Economics'!$A$7:$A$1000,$C54,'Oxford Economics'!$B$7:$B$1000,Settings!$B$14)+SUMIFS(INDEX('Oxford Economics'!$A$7:$AZ$1000,0,IFERROR(MATCH(X$5,'Oxford Economics'!$A$6:$AZ$6,0),MATCH(X$5&amp;"",'Oxford Economics'!$A$6:$AZ$6,0))),'Oxford Economics'!$A$7:$A$1000,$C54,'Oxford Economics'!$B$7:$B$1000,Settings!$B$16)+IF(Settings!$B$18="",0,SUMIFS(INDEX('Oxford Economics'!$A$7:$AZ$1000,0,IFERROR(MATCH(X$5,'Oxford Economics'!$A$6:$AZ$6,0),MATCH(X$5&amp;"",'Oxford Economics'!$A$6:$AZ$6,0))),'Oxford Economics'!$A$7:$A$1000,$C54,'Oxford Economics'!$B$7:$B$1000,Settings!$B$18)))),""))</f>
        <v/>
      </c>
      <c r="Y54" s="37" t="str">
        <f aca="false">IF($A54="","",IFERROR(1/(1/IF($B54="Residential",SUMIFS(INDEX('Oxford Economics'!$A$7:$AZ$1000,0,IFERROR(MATCH(Y$5,'Oxford Economics'!$A$6:$AZ$6,0),MATCH(Y$5&amp;"",'Oxford Economics'!$A$6:$AZ$6,0))),'Oxford Economics'!$A$7:$A$1000,$C54,'Oxford Economics'!$B$7:$B$1000,Settings!$B$12)-SUMIFS(INDEX('Oxford Economics'!$A$7:$AZ$1000,0,IFERROR(MATCH(Y$5,'Oxford Economics'!$A$6:$AZ$6,0),MATCH(Y$5&amp;"",'Oxford Economics'!$A$6:$AZ$6,0))),'Oxford Economics'!$A$7:$A$1000,$C54,'Oxford Economics'!$B$7:$B$1000,Settings!$B$14),SUMIFS(INDEX('Oxford Economics'!$A$7:$AZ$1000,0,IFERROR(MATCH(Y$5,'Oxford Economics'!$A$6:$AZ$6,0),MATCH(Y$5&amp;"",'Oxford Economics'!$A$6:$AZ$6,0))),'Oxford Economics'!$A$7:$A$1000,$C54,'Oxford Economics'!$B$7:$B$1000,Settings!$B$14)+SUMIFS(INDEX('Oxford Economics'!$A$7:$AZ$1000,0,IFERROR(MATCH(Y$5,'Oxford Economics'!$A$6:$AZ$6,0),MATCH(Y$5&amp;"",'Oxford Economics'!$A$6:$AZ$6,0))),'Oxford Economics'!$A$7:$A$1000,$C54,'Oxford Economics'!$B$7:$B$1000,Settings!$B$16)+IF(Settings!$B$18="",0,SUMIFS(INDEX('Oxford Economics'!$A$7:$AZ$1000,0,IFERROR(MATCH(Y$5,'Oxford Economics'!$A$6:$AZ$6,0),MATCH(Y$5&amp;"",'Oxford Economics'!$A$6:$AZ$6,0))),'Oxford Economics'!$A$7:$A$1000,$C54,'Oxford Economics'!$B$7:$B$1000,Settings!$B$18)))),""))</f>
        <v/>
      </c>
      <c r="Z54" s="37" t="str">
        <f aca="false">IF($A54="","",IFERROR(1/(1/IF($B54="Residential",SUMIFS(INDEX('Oxford Economics'!$A$7:$AZ$1000,0,IFERROR(MATCH(Z$5,'Oxford Economics'!$A$6:$AZ$6,0),MATCH(Z$5&amp;"",'Oxford Economics'!$A$6:$AZ$6,0))),'Oxford Economics'!$A$7:$A$1000,$C54,'Oxford Economics'!$B$7:$B$1000,Settings!$B$12)-SUMIFS(INDEX('Oxford Economics'!$A$7:$AZ$1000,0,IFERROR(MATCH(Z$5,'Oxford Economics'!$A$6:$AZ$6,0),MATCH(Z$5&amp;"",'Oxford Economics'!$A$6:$AZ$6,0))),'Oxford Economics'!$A$7:$A$1000,$C54,'Oxford Economics'!$B$7:$B$1000,Settings!$B$14),SUMIFS(INDEX('Oxford Economics'!$A$7:$AZ$1000,0,IFERROR(MATCH(Z$5,'Oxford Economics'!$A$6:$AZ$6,0),MATCH(Z$5&amp;"",'Oxford Economics'!$A$6:$AZ$6,0))),'Oxford Economics'!$A$7:$A$1000,$C54,'Oxford Economics'!$B$7:$B$1000,Settings!$B$14)+SUMIFS(INDEX('Oxford Economics'!$A$7:$AZ$1000,0,IFERROR(MATCH(Z$5,'Oxford Economics'!$A$6:$AZ$6,0),MATCH(Z$5&amp;"",'Oxford Economics'!$A$6:$AZ$6,0))),'Oxford Economics'!$A$7:$A$1000,$C54,'Oxford Economics'!$B$7:$B$1000,Settings!$B$16)+IF(Settings!$B$18="",0,SUMIFS(INDEX('Oxford Economics'!$A$7:$AZ$1000,0,IFERROR(MATCH(Z$5,'Oxford Economics'!$A$6:$AZ$6,0),MATCH(Z$5&amp;"",'Oxford Economics'!$A$6:$AZ$6,0))),'Oxford Economics'!$A$7:$A$1000,$C54,'Oxford Economics'!$B$7:$B$1000,Settings!$B$18)))),""))</f>
        <v/>
      </c>
      <c r="AA54" s="37" t="str">
        <f aca="false">IF($A54="","",IFERROR(1/(1/IF($B54="Residential",SUMIFS(INDEX('Oxford Economics'!$A$7:$AZ$1000,0,IFERROR(MATCH(AA$5,'Oxford Economics'!$A$6:$AZ$6,0),MATCH(AA$5&amp;"",'Oxford Economics'!$A$6:$AZ$6,0))),'Oxford Economics'!$A$7:$A$1000,$C54,'Oxford Economics'!$B$7:$B$1000,Settings!$B$12)-SUMIFS(INDEX('Oxford Economics'!$A$7:$AZ$1000,0,IFERROR(MATCH(AA$5,'Oxford Economics'!$A$6:$AZ$6,0),MATCH(AA$5&amp;"",'Oxford Economics'!$A$6:$AZ$6,0))),'Oxford Economics'!$A$7:$A$1000,$C54,'Oxford Economics'!$B$7:$B$1000,Settings!$B$14),SUMIFS(INDEX('Oxford Economics'!$A$7:$AZ$1000,0,IFERROR(MATCH(AA$5,'Oxford Economics'!$A$6:$AZ$6,0),MATCH(AA$5&amp;"",'Oxford Economics'!$A$6:$AZ$6,0))),'Oxford Economics'!$A$7:$A$1000,$C54,'Oxford Economics'!$B$7:$B$1000,Settings!$B$14)+SUMIFS(INDEX('Oxford Economics'!$A$7:$AZ$1000,0,IFERROR(MATCH(AA$5,'Oxford Economics'!$A$6:$AZ$6,0),MATCH(AA$5&amp;"",'Oxford Economics'!$A$6:$AZ$6,0))),'Oxford Economics'!$A$7:$A$1000,$C54,'Oxford Economics'!$B$7:$B$1000,Settings!$B$16)+IF(Settings!$B$18="",0,SUMIFS(INDEX('Oxford Economics'!$A$7:$AZ$1000,0,IFERROR(MATCH(AA$5,'Oxford Economics'!$A$6:$AZ$6,0),MATCH(AA$5&amp;"",'Oxford Economics'!$A$6:$AZ$6,0))),'Oxford Economics'!$A$7:$A$1000,$C54,'Oxford Economics'!$B$7:$B$1000,Settings!$B$18)))),""))</f>
        <v/>
      </c>
      <c r="AB54" s="37" t="str">
        <f aca="false">IF($A54="","",IFERROR(1/(1/IF($B54="Residential",SUMIFS(INDEX('Oxford Economics'!$A$7:$AZ$1000,0,IFERROR(MATCH(AB$5,'Oxford Economics'!$A$6:$AZ$6,0),MATCH(AB$5&amp;"",'Oxford Economics'!$A$6:$AZ$6,0))),'Oxford Economics'!$A$7:$A$1000,$C54,'Oxford Economics'!$B$7:$B$1000,Settings!$B$11)-SUMIFS(INDEX('Oxford Economics'!$A$7:$AZ$1000,0,IFERROR(MATCH(AB$5,'Oxford Economics'!$A$6:$AZ$6,0),MATCH(AB$5&amp;"",'Oxford Economics'!$A$6:$AZ$6,0))),'Oxford Economics'!$A$7:$A$1000,$C54,'Oxford Economics'!$B$7:$B$1000,Settings!$B$13),SUMIFS(INDEX('Oxford Economics'!$A$7:$AZ$1000,0,IFERROR(MATCH(AB$5,'Oxford Economics'!$A$6:$AZ$6,0),MATCH(AB$5&amp;"",'Oxford Economics'!$A$6:$AZ$6,0))),'Oxford Economics'!$A$7:$A$1000,$C54,'Oxford Economics'!$B$7:$B$1000,Settings!$B$13)+SUMIFS(INDEX('Oxford Economics'!$A$7:$AZ$1000,0,IFERROR(MATCH(AB$5,'Oxford Economics'!$A$6:$AZ$6,0),MATCH(AB$5&amp;"",'Oxford Economics'!$A$6:$AZ$6,0))),'Oxford Economics'!$A$7:$A$1000,$C54,'Oxford Economics'!$B$7:$B$1000,Settings!$B$15)+IF(Settings!$B$17="",0,SUMIFS(INDEX('Oxford Economics'!$A$7:$AZ$1000,0,IFERROR(MATCH(AB$5,'Oxford Economics'!$A$6:$AZ$6,0),MATCH(AB$5&amp;"",'Oxford Economics'!$A$6:$AZ$6,0))),'Oxford Economics'!$A$7:$A$1000,$C54,'Oxford Economics'!$B$7:$B$1000,Settings!$B$17)))),""))</f>
        <v/>
      </c>
      <c r="AC54" s="37" t="str">
        <f aca="false">IF($A54="","",IFERROR(1/(1/IF($B54="Residential",SUMIFS(INDEX('Oxford Economics'!$A$7:$AZ$1000,0,IFERROR(MATCH(AC$5,'Oxford Economics'!$A$6:$AZ$6,0),MATCH(AC$5&amp;"",'Oxford Economics'!$A$6:$AZ$6,0))),'Oxford Economics'!$A$7:$A$1000,$C54,'Oxford Economics'!$B$7:$B$1000,Settings!$B$11)-SUMIFS(INDEX('Oxford Economics'!$A$7:$AZ$1000,0,IFERROR(MATCH(AC$5,'Oxford Economics'!$A$6:$AZ$6,0),MATCH(AC$5&amp;"",'Oxford Economics'!$A$6:$AZ$6,0))),'Oxford Economics'!$A$7:$A$1000,$C54,'Oxford Economics'!$B$7:$B$1000,Settings!$B$13),SUMIFS(INDEX('Oxford Economics'!$A$7:$AZ$1000,0,IFERROR(MATCH(AC$5,'Oxford Economics'!$A$6:$AZ$6,0),MATCH(AC$5&amp;"",'Oxford Economics'!$A$6:$AZ$6,0))),'Oxford Economics'!$A$7:$A$1000,$C54,'Oxford Economics'!$B$7:$B$1000,Settings!$B$13)+SUMIFS(INDEX('Oxford Economics'!$A$7:$AZ$1000,0,IFERROR(MATCH(AC$5,'Oxford Economics'!$A$6:$AZ$6,0),MATCH(AC$5&amp;"",'Oxford Economics'!$A$6:$AZ$6,0))),'Oxford Economics'!$A$7:$A$1000,$C54,'Oxford Economics'!$B$7:$B$1000,Settings!$B$15)+IF(Settings!$B$17="",0,SUMIFS(INDEX('Oxford Economics'!$A$7:$AZ$1000,0,IFERROR(MATCH(AC$5,'Oxford Economics'!$A$6:$AZ$6,0),MATCH(AC$5&amp;"",'Oxford Economics'!$A$6:$AZ$6,0))),'Oxford Economics'!$A$7:$A$1000,$C54,'Oxford Economics'!$B$7:$B$1000,Settings!$B$17)))),""))</f>
        <v/>
      </c>
      <c r="AD54" s="37" t="str">
        <f aca="false">IF($A54="","",IFERROR(1/(1/IF($B54="Residential",SUMIFS(INDEX('Oxford Economics'!$A$7:$AZ$1000,0,IFERROR(MATCH(AD$5,'Oxford Economics'!$A$6:$AZ$6,0),MATCH(AD$5&amp;"",'Oxford Economics'!$A$6:$AZ$6,0))),'Oxford Economics'!$A$7:$A$1000,$C54,'Oxford Economics'!$B$7:$B$1000,Settings!$B$11)-SUMIFS(INDEX('Oxford Economics'!$A$7:$AZ$1000,0,IFERROR(MATCH(AD$5,'Oxford Economics'!$A$6:$AZ$6,0),MATCH(AD$5&amp;"",'Oxford Economics'!$A$6:$AZ$6,0))),'Oxford Economics'!$A$7:$A$1000,$C54,'Oxford Economics'!$B$7:$B$1000,Settings!$B$13),SUMIFS(INDEX('Oxford Economics'!$A$7:$AZ$1000,0,IFERROR(MATCH(AD$5,'Oxford Economics'!$A$6:$AZ$6,0),MATCH(AD$5&amp;"",'Oxford Economics'!$A$6:$AZ$6,0))),'Oxford Economics'!$A$7:$A$1000,$C54,'Oxford Economics'!$B$7:$B$1000,Settings!$B$13)+SUMIFS(INDEX('Oxford Economics'!$A$7:$AZ$1000,0,IFERROR(MATCH(AD$5,'Oxford Economics'!$A$6:$AZ$6,0),MATCH(AD$5&amp;"",'Oxford Economics'!$A$6:$AZ$6,0))),'Oxford Economics'!$A$7:$A$1000,$C54,'Oxford Economics'!$B$7:$B$1000,Settings!$B$15)+IF(Settings!$B$17="",0,SUMIFS(INDEX('Oxford Economics'!$A$7:$AZ$1000,0,IFERROR(MATCH(AD$5,'Oxford Economics'!$A$6:$AZ$6,0),MATCH(AD$5&amp;"",'Oxford Economics'!$A$6:$AZ$6,0))),'Oxford Economics'!$A$7:$A$1000,$C54,'Oxford Economics'!$B$7:$B$1000,Settings!$B$17)))),""))</f>
        <v/>
      </c>
      <c r="AE54" s="37" t="str">
        <f aca="false">IF($A54="","",IFERROR(1/(1/IF($B54="Residential",SUMIFS(INDEX('Oxford Economics'!$A$7:$AZ$1000,0,IFERROR(MATCH(AE$5,'Oxford Economics'!$A$6:$AZ$6,0),MATCH(AE$5&amp;"",'Oxford Economics'!$A$6:$AZ$6,0))),'Oxford Economics'!$A$7:$A$1000,$C54,'Oxford Economics'!$B$7:$B$1000,Settings!$B$11)-SUMIFS(INDEX('Oxford Economics'!$A$7:$AZ$1000,0,IFERROR(MATCH(AE$5,'Oxford Economics'!$A$6:$AZ$6,0),MATCH(AE$5&amp;"",'Oxford Economics'!$A$6:$AZ$6,0))),'Oxford Economics'!$A$7:$A$1000,$C54,'Oxford Economics'!$B$7:$B$1000,Settings!$B$13),SUMIFS(INDEX('Oxford Economics'!$A$7:$AZ$1000,0,IFERROR(MATCH(AE$5,'Oxford Economics'!$A$6:$AZ$6,0),MATCH(AE$5&amp;"",'Oxford Economics'!$A$6:$AZ$6,0))),'Oxford Economics'!$A$7:$A$1000,$C54,'Oxford Economics'!$B$7:$B$1000,Settings!$B$13)+SUMIFS(INDEX('Oxford Economics'!$A$7:$AZ$1000,0,IFERROR(MATCH(AE$5,'Oxford Economics'!$A$6:$AZ$6,0),MATCH(AE$5&amp;"",'Oxford Economics'!$A$6:$AZ$6,0))),'Oxford Economics'!$A$7:$A$1000,$C54,'Oxford Economics'!$B$7:$B$1000,Settings!$B$15)+IF(Settings!$B$17="",0,SUMIFS(INDEX('Oxford Economics'!$A$7:$AZ$1000,0,IFERROR(MATCH(AE$5,'Oxford Economics'!$A$6:$AZ$6,0),MATCH(AE$5&amp;"",'Oxford Economics'!$A$6:$AZ$6,0))),'Oxford Economics'!$A$7:$A$1000,$C54,'Oxford Economics'!$B$7:$B$1000,Settings!$B$17)))),""))</f>
        <v/>
      </c>
      <c r="AF54" s="37" t="str">
        <f aca="false">IF($A54="","",IFERROR(1/(1/IF($B54="Residential",SUMIFS(INDEX('Oxford Economics'!$A$7:$AZ$1000,0,IFERROR(MATCH(AF$5,'Oxford Economics'!$A$6:$AZ$6,0),MATCH(AF$5&amp;"",'Oxford Economics'!$A$6:$AZ$6,0))),'Oxford Economics'!$A$7:$A$1000,$C54,'Oxford Economics'!$B$7:$B$1000,Settings!$B$11)-SUMIFS(INDEX('Oxford Economics'!$A$7:$AZ$1000,0,IFERROR(MATCH(AF$5,'Oxford Economics'!$A$6:$AZ$6,0),MATCH(AF$5&amp;"",'Oxford Economics'!$A$6:$AZ$6,0))),'Oxford Economics'!$A$7:$A$1000,$C54,'Oxford Economics'!$B$7:$B$1000,Settings!$B$13),SUMIFS(INDEX('Oxford Economics'!$A$7:$AZ$1000,0,IFERROR(MATCH(AF$5,'Oxford Economics'!$A$6:$AZ$6,0),MATCH(AF$5&amp;"",'Oxford Economics'!$A$6:$AZ$6,0))),'Oxford Economics'!$A$7:$A$1000,$C54,'Oxford Economics'!$B$7:$B$1000,Settings!$B$13)+SUMIFS(INDEX('Oxford Economics'!$A$7:$AZ$1000,0,IFERROR(MATCH(AF$5,'Oxford Economics'!$A$6:$AZ$6,0),MATCH(AF$5&amp;"",'Oxford Economics'!$A$6:$AZ$6,0))),'Oxford Economics'!$A$7:$A$1000,$C54,'Oxford Economics'!$B$7:$B$1000,Settings!$B$15)+IF(Settings!$B$17="",0,SUMIFS(INDEX('Oxford Economics'!$A$7:$AZ$1000,0,IFERROR(MATCH(AF$5,'Oxford Economics'!$A$6:$AZ$6,0),MATCH(AF$5&amp;"",'Oxford Economics'!$A$6:$AZ$6,0))),'Oxford Economics'!$A$7:$A$1000,$C54,'Oxford Economics'!$B$7:$B$1000,Settings!$B$17)))),""))</f>
        <v/>
      </c>
      <c r="AG54" s="37" t="str">
        <f aca="false">IF($A54="","",IFERROR(1/(1/IF($B54="Residential",SUMIFS(INDEX('Oxford Economics'!$A$7:$AZ$1000,0,IFERROR(MATCH(AG$5,'Oxford Economics'!$A$6:$AZ$6,0),MATCH(AG$5&amp;"",'Oxford Economics'!$A$6:$AZ$6,0))),'Oxford Economics'!$A$7:$A$1000,$C54,'Oxford Economics'!$B$7:$B$1000,Settings!$B$11)-SUMIFS(INDEX('Oxford Economics'!$A$7:$AZ$1000,0,IFERROR(MATCH(AG$5,'Oxford Economics'!$A$6:$AZ$6,0),MATCH(AG$5&amp;"",'Oxford Economics'!$A$6:$AZ$6,0))),'Oxford Economics'!$A$7:$A$1000,$C54,'Oxford Economics'!$B$7:$B$1000,Settings!$B$13),SUMIFS(INDEX('Oxford Economics'!$A$7:$AZ$1000,0,IFERROR(MATCH(AG$5,'Oxford Economics'!$A$6:$AZ$6,0),MATCH(AG$5&amp;"",'Oxford Economics'!$A$6:$AZ$6,0))),'Oxford Economics'!$A$7:$A$1000,$C54,'Oxford Economics'!$B$7:$B$1000,Settings!$B$13)+SUMIFS(INDEX('Oxford Economics'!$A$7:$AZ$1000,0,IFERROR(MATCH(AG$5,'Oxford Economics'!$A$6:$AZ$6,0),MATCH(AG$5&amp;"",'Oxford Economics'!$A$6:$AZ$6,0))),'Oxford Economics'!$A$7:$A$1000,$C54,'Oxford Economics'!$B$7:$B$1000,Settings!$B$15)+IF(Settings!$B$17="",0,SUMIFS(INDEX('Oxford Economics'!$A$7:$AZ$1000,0,IFERROR(MATCH(AG$5,'Oxford Economics'!$A$6:$AZ$6,0),MATCH(AG$5&amp;"",'Oxford Economics'!$A$6:$AZ$6,0))),'Oxford Economics'!$A$7:$A$1000,$C54,'Oxford Economics'!$B$7:$B$1000,Settings!$B$17)))),""))</f>
        <v/>
      </c>
      <c r="AH54" s="37" t="str">
        <f aca="false">IF($A54="","",IFERROR(1/(1/IF($B54="Residential",SUMIFS(INDEX('Oxford Economics'!$A$7:$AZ$1000,0,IFERROR(MATCH(AH$5,'Oxford Economics'!$A$6:$AZ$6,0),MATCH(AH$5&amp;"",'Oxford Economics'!$A$6:$AZ$6,0))),'Oxford Economics'!$A$7:$A$1000,$C54,'Oxford Economics'!$B$7:$B$1000,Settings!$B$11)-SUMIFS(INDEX('Oxford Economics'!$A$7:$AZ$1000,0,IFERROR(MATCH(AH$5,'Oxford Economics'!$A$6:$AZ$6,0),MATCH(AH$5&amp;"",'Oxford Economics'!$A$6:$AZ$6,0))),'Oxford Economics'!$A$7:$A$1000,$C54,'Oxford Economics'!$B$7:$B$1000,Settings!$B$13),SUMIFS(INDEX('Oxford Economics'!$A$7:$AZ$1000,0,IFERROR(MATCH(AH$5,'Oxford Economics'!$A$6:$AZ$6,0),MATCH(AH$5&amp;"",'Oxford Economics'!$A$6:$AZ$6,0))),'Oxford Economics'!$A$7:$A$1000,$C54,'Oxford Economics'!$B$7:$B$1000,Settings!$B$13)+SUMIFS(INDEX('Oxford Economics'!$A$7:$AZ$1000,0,IFERROR(MATCH(AH$5,'Oxford Economics'!$A$6:$AZ$6,0),MATCH(AH$5&amp;"",'Oxford Economics'!$A$6:$AZ$6,0))),'Oxford Economics'!$A$7:$A$1000,$C54,'Oxford Economics'!$B$7:$B$1000,Settings!$B$15)+IF(Settings!$B$17="",0,SUMIFS(INDEX('Oxford Economics'!$A$7:$AZ$1000,0,IFERROR(MATCH(AH$5,'Oxford Economics'!$A$6:$AZ$6,0),MATCH(AH$5&amp;"",'Oxford Economics'!$A$6:$AZ$6,0))),'Oxford Economics'!$A$7:$A$1000,$C54,'Oxford Economics'!$B$7:$B$1000,Settings!$B$17)))),""))</f>
        <v/>
      </c>
      <c r="AI54" s="37" t="str">
        <f aca="false">IF($A54="","",IFERROR(1/(1/IF($B54="Residential",SUMIFS(INDEX('Oxford Economics'!$A$7:$AZ$1000,0,IFERROR(MATCH(AI$5,'Oxford Economics'!$A$6:$AZ$6,0),MATCH(AI$5&amp;"",'Oxford Economics'!$A$6:$AZ$6,0))),'Oxford Economics'!$A$7:$A$1000,$C54,'Oxford Economics'!$B$7:$B$1000,Settings!$B$11)-SUMIFS(INDEX('Oxford Economics'!$A$7:$AZ$1000,0,IFERROR(MATCH(AI$5,'Oxford Economics'!$A$6:$AZ$6,0),MATCH(AI$5&amp;"",'Oxford Economics'!$A$6:$AZ$6,0))),'Oxford Economics'!$A$7:$A$1000,$C54,'Oxford Economics'!$B$7:$B$1000,Settings!$B$13),SUMIFS(INDEX('Oxford Economics'!$A$7:$AZ$1000,0,IFERROR(MATCH(AI$5,'Oxford Economics'!$A$6:$AZ$6,0),MATCH(AI$5&amp;"",'Oxford Economics'!$A$6:$AZ$6,0))),'Oxford Economics'!$A$7:$A$1000,$C54,'Oxford Economics'!$B$7:$B$1000,Settings!$B$13)+SUMIFS(INDEX('Oxford Economics'!$A$7:$AZ$1000,0,IFERROR(MATCH(AI$5,'Oxford Economics'!$A$6:$AZ$6,0),MATCH(AI$5&amp;"",'Oxford Economics'!$A$6:$AZ$6,0))),'Oxford Economics'!$A$7:$A$1000,$C54,'Oxford Economics'!$B$7:$B$1000,Settings!$B$15)+IF(Settings!$B$17="",0,SUMIFS(INDEX('Oxford Economics'!$A$7:$AZ$1000,0,IFERROR(MATCH(AI$5,'Oxford Economics'!$A$6:$AZ$6,0),MATCH(AI$5&amp;"",'Oxford Economics'!$A$6:$AZ$6,0))),'Oxford Economics'!$A$7:$A$1000,$C54,'Oxford Economics'!$B$7:$B$1000,Settings!$B$17)))),""))</f>
        <v/>
      </c>
      <c r="AJ54" s="37" t="str">
        <f aca="false">IF($A54="","",IFERROR(1/(1/IF($B54="Residential",SUMIFS(INDEX('Oxford Economics'!$A$7:$AZ$1000,0,IFERROR(MATCH(AJ$5,'Oxford Economics'!$A$6:$AZ$6,0),MATCH(AJ$5&amp;"",'Oxford Economics'!$A$6:$AZ$6,0))),'Oxford Economics'!$A$7:$A$1000,$C54,'Oxford Economics'!$B$7:$B$1000,Settings!$B$11)-SUMIFS(INDEX('Oxford Economics'!$A$7:$AZ$1000,0,IFERROR(MATCH(AJ$5,'Oxford Economics'!$A$6:$AZ$6,0),MATCH(AJ$5&amp;"",'Oxford Economics'!$A$6:$AZ$6,0))),'Oxford Economics'!$A$7:$A$1000,$C54,'Oxford Economics'!$B$7:$B$1000,Settings!$B$13),SUMIFS(INDEX('Oxford Economics'!$A$7:$AZ$1000,0,IFERROR(MATCH(AJ$5,'Oxford Economics'!$A$6:$AZ$6,0),MATCH(AJ$5&amp;"",'Oxford Economics'!$A$6:$AZ$6,0))),'Oxford Economics'!$A$7:$A$1000,$C54,'Oxford Economics'!$B$7:$B$1000,Settings!$B$13)+SUMIFS(INDEX('Oxford Economics'!$A$7:$AZ$1000,0,IFERROR(MATCH(AJ$5,'Oxford Economics'!$A$6:$AZ$6,0),MATCH(AJ$5&amp;"",'Oxford Economics'!$A$6:$AZ$6,0))),'Oxford Economics'!$A$7:$A$1000,$C54,'Oxford Economics'!$B$7:$B$1000,Settings!$B$15)+IF(Settings!$B$17="",0,SUMIFS(INDEX('Oxford Economics'!$A$7:$AZ$1000,0,IFERROR(MATCH(AJ$5,'Oxford Economics'!$A$6:$AZ$6,0),MATCH(AJ$5&amp;"",'Oxford Economics'!$A$6:$AZ$6,0))),'Oxford Economics'!$A$7:$A$1000,$C54,'Oxford Economics'!$B$7:$B$1000,Settings!$B$17)))),""))</f>
        <v/>
      </c>
      <c r="AK54" s="37" t="str">
        <f aca="false">IF($A54="","",IFERROR(1/(1/IF($B54="Residential",SUMIFS(INDEX('Oxford Economics'!$A$7:$AZ$1000,0,IFERROR(MATCH(AK$5,'Oxford Economics'!$A$6:$AZ$6,0),MATCH(AK$5&amp;"",'Oxford Economics'!$A$6:$AZ$6,0))),'Oxford Economics'!$A$7:$A$1000,$C54,'Oxford Economics'!$B$7:$B$1000,Settings!$B$11)-SUMIFS(INDEX('Oxford Economics'!$A$7:$AZ$1000,0,IFERROR(MATCH(AK$5,'Oxford Economics'!$A$6:$AZ$6,0),MATCH(AK$5&amp;"",'Oxford Economics'!$A$6:$AZ$6,0))),'Oxford Economics'!$A$7:$A$1000,$C54,'Oxford Economics'!$B$7:$B$1000,Settings!$B$13),SUMIFS(INDEX('Oxford Economics'!$A$7:$AZ$1000,0,IFERROR(MATCH(AK$5,'Oxford Economics'!$A$6:$AZ$6,0),MATCH(AK$5&amp;"",'Oxford Economics'!$A$6:$AZ$6,0))),'Oxford Economics'!$A$7:$A$1000,$C54,'Oxford Economics'!$B$7:$B$1000,Settings!$B$13)+SUMIFS(INDEX('Oxford Economics'!$A$7:$AZ$1000,0,IFERROR(MATCH(AK$5,'Oxford Economics'!$A$6:$AZ$6,0),MATCH(AK$5&amp;"",'Oxford Economics'!$A$6:$AZ$6,0))),'Oxford Economics'!$A$7:$A$1000,$C54,'Oxford Economics'!$B$7:$B$1000,Settings!$B$15)+IF(Settings!$B$17="",0,SUMIFS(INDEX('Oxford Economics'!$A$7:$AZ$1000,0,IFERROR(MATCH(AK$5,'Oxford Economics'!$A$6:$AZ$6,0),MATCH(AK$5&amp;"",'Oxford Economics'!$A$6:$AZ$6,0))),'Oxford Economics'!$A$7:$A$1000,$C54,'Oxford Economics'!$B$7:$B$1000,Settings!$B$17)))),""))</f>
        <v/>
      </c>
      <c r="AL54" s="37" t="str">
        <f aca="false">IF($A54="","",IFERROR(1/(1/IF($B54="Residential",SUMIFS(INDEX('Oxford Economics'!$A$7:$AZ$1000,0,IFERROR(MATCH(AL$5,'Oxford Economics'!$A$6:$AZ$6,0),MATCH(AL$5&amp;"",'Oxford Economics'!$A$6:$AZ$6,0))),'Oxford Economics'!$A$7:$A$1000,$C54,'Oxford Economics'!$B$7:$B$1000,Settings!$B$11)-SUMIFS(INDEX('Oxford Economics'!$A$7:$AZ$1000,0,IFERROR(MATCH(AL$5,'Oxford Economics'!$A$6:$AZ$6,0),MATCH(AL$5&amp;"",'Oxford Economics'!$A$6:$AZ$6,0))),'Oxford Economics'!$A$7:$A$1000,$C54,'Oxford Economics'!$B$7:$B$1000,Settings!$B$13),SUMIFS(INDEX('Oxford Economics'!$A$7:$AZ$1000,0,IFERROR(MATCH(AL$5,'Oxford Economics'!$A$6:$AZ$6,0),MATCH(AL$5&amp;"",'Oxford Economics'!$A$6:$AZ$6,0))),'Oxford Economics'!$A$7:$A$1000,$C54,'Oxford Economics'!$B$7:$B$1000,Settings!$B$13)+SUMIFS(INDEX('Oxford Economics'!$A$7:$AZ$1000,0,IFERROR(MATCH(AL$5,'Oxford Economics'!$A$6:$AZ$6,0),MATCH(AL$5&amp;"",'Oxford Economics'!$A$6:$AZ$6,0))),'Oxford Economics'!$A$7:$A$1000,$C54,'Oxford Economics'!$B$7:$B$1000,Settings!$B$15)+IF(Settings!$B$17="",0,SUMIFS(INDEX('Oxford Economics'!$A$7:$AZ$1000,0,IFERROR(MATCH(AL$5,'Oxford Economics'!$A$6:$AZ$6,0),MATCH(AL$5&amp;"",'Oxford Economics'!$A$6:$AZ$6,0))),'Oxford Economics'!$A$7:$A$1000,$C54,'Oxford Economics'!$B$7:$B$1000,Settings!$B$17)))),""))</f>
        <v/>
      </c>
      <c r="AM54" s="37" t="str">
        <f aca="false">IF($A54="","",IFERROR(1/(1/IF($B54="Residential",SUMIFS(INDEX('Oxford Economics'!$A$7:$AZ$1000,0,IFERROR(MATCH(AM$5,'Oxford Economics'!$A$6:$AZ$6,0),MATCH(AM$5&amp;"",'Oxford Economics'!$A$6:$AZ$6,0))),'Oxford Economics'!$A$7:$A$1000,$C54,'Oxford Economics'!$B$7:$B$1000,Settings!$B$11)-SUMIFS(INDEX('Oxford Economics'!$A$7:$AZ$1000,0,IFERROR(MATCH(AM$5,'Oxford Economics'!$A$6:$AZ$6,0),MATCH(AM$5&amp;"",'Oxford Economics'!$A$6:$AZ$6,0))),'Oxford Economics'!$A$7:$A$1000,$C54,'Oxford Economics'!$B$7:$B$1000,Settings!$B$13),SUMIFS(INDEX('Oxford Economics'!$A$7:$AZ$1000,0,IFERROR(MATCH(AM$5,'Oxford Economics'!$A$6:$AZ$6,0),MATCH(AM$5&amp;"",'Oxford Economics'!$A$6:$AZ$6,0))),'Oxford Economics'!$A$7:$A$1000,$C54,'Oxford Economics'!$B$7:$B$1000,Settings!$B$13)+SUMIFS(INDEX('Oxford Economics'!$A$7:$AZ$1000,0,IFERROR(MATCH(AM$5,'Oxford Economics'!$A$6:$AZ$6,0),MATCH(AM$5&amp;"",'Oxford Economics'!$A$6:$AZ$6,0))),'Oxford Economics'!$A$7:$A$1000,$C54,'Oxford Economics'!$B$7:$B$1000,Settings!$B$15)+IF(Settings!$B$17="",0,SUMIFS(INDEX('Oxford Economics'!$A$7:$AZ$1000,0,IFERROR(MATCH(AM$5,'Oxford Economics'!$A$6:$AZ$6,0),MATCH(AM$5&amp;"",'Oxford Economics'!$A$6:$AZ$6,0))),'Oxford Economics'!$A$7:$A$1000,$C54,'Oxford Economics'!$B$7:$B$1000,Settings!$B$17)))),""))</f>
        <v/>
      </c>
    </row>
    <row r="55" customFormat="false" ht="15" hidden="false" customHeight="false" outlineLevel="0" collapsed="false">
      <c r="A55" s="36" t="str">
        <f aca="false">IF('Raw data'!$A55="","",'Raw data'!$A55)</f>
        <v/>
      </c>
      <c r="B55" s="36" t="str">
        <f aca="false">IF($A55="","",'Raw data'!$C55)</f>
        <v/>
      </c>
      <c r="C55" s="36" t="str">
        <f aca="false">IF($A55="","",IF('Raw data'!$D55="",$A55,'Raw data'!$D55))</f>
        <v/>
      </c>
      <c r="D55" s="37" t="str">
        <f aca="false">IF($A55="","",IF(AND(ISNUMBER(P55),ISNUMBER(AB55)),P55+AB55,""))</f>
        <v/>
      </c>
      <c r="E55" s="37" t="str">
        <f aca="false">IF($A55="","",IF(AND(ISNUMBER(Q55),ISNUMBER(AC55)),Q55+AC55,""))</f>
        <v/>
      </c>
      <c r="F55" s="37" t="str">
        <f aca="false">IF($A55="","",IF(AND(ISNUMBER(R55),ISNUMBER(AD55)),R55+AD55,""))</f>
        <v/>
      </c>
      <c r="G55" s="37" t="str">
        <f aca="false">IF($A55="","",IF(AND(ISNUMBER(S55),ISNUMBER(AE55)),S55+AE55,""))</f>
        <v/>
      </c>
      <c r="H55" s="37" t="str">
        <f aca="false">IF($A55="","",IF(AND(ISNUMBER(T55),ISNUMBER(AF55)),T55+AF55,""))</f>
        <v/>
      </c>
      <c r="I55" s="37" t="str">
        <f aca="false">IF($A55="","",IF(AND(ISNUMBER(U55),ISNUMBER(AG55)),U55+AG55,""))</f>
        <v/>
      </c>
      <c r="J55" s="37" t="str">
        <f aca="false">IF($A55="","",IF(AND(ISNUMBER(V55),ISNUMBER(AH55)),V55+AH55,""))</f>
        <v/>
      </c>
      <c r="K55" s="37" t="str">
        <f aca="false">IF($A55="","",IF(AND(ISNUMBER(W55),ISNUMBER(AI55)),W55+AI55,""))</f>
        <v/>
      </c>
      <c r="L55" s="37" t="str">
        <f aca="false">IF($A55="","",IF(AND(ISNUMBER(X55),ISNUMBER(AJ55)),X55+AJ55,""))</f>
        <v/>
      </c>
      <c r="M55" s="37" t="str">
        <f aca="false">IF($A55="","",IF(AND(ISNUMBER(Y55),ISNUMBER(AK55)),Y55+AK55,""))</f>
        <v/>
      </c>
      <c r="N55" s="37" t="str">
        <f aca="false">IF($A55="","",IF(AND(ISNUMBER(Z55),ISNUMBER(AL55)),Z55+AL55,""))</f>
        <v/>
      </c>
      <c r="O55" s="37" t="str">
        <f aca="false">IF($A55="","",IF(AND(ISNUMBER(AA55),ISNUMBER(AM55)),AA55+AM55,""))</f>
        <v/>
      </c>
      <c r="P55" s="37" t="str">
        <f aca="false">IF($A55="","",IFERROR(1/(1/IF($B55="Residential",SUMIFS(INDEX('Oxford Economics'!$A$7:$AZ$1000,0,IFERROR(MATCH(P$5,'Oxford Economics'!$A$6:$AZ$6,0),MATCH(P$5&amp;"",'Oxford Economics'!$A$6:$AZ$6,0))),'Oxford Economics'!$A$7:$A$1000,$C55,'Oxford Economics'!$B$7:$B$1000,Settings!$B$12)-SUMIFS(INDEX('Oxford Economics'!$A$7:$AZ$1000,0,IFERROR(MATCH(P$5,'Oxford Economics'!$A$6:$AZ$6,0),MATCH(P$5&amp;"",'Oxford Economics'!$A$6:$AZ$6,0))),'Oxford Economics'!$A$7:$A$1000,$C55,'Oxford Economics'!$B$7:$B$1000,Settings!$B$14),SUMIFS(INDEX('Oxford Economics'!$A$7:$AZ$1000,0,IFERROR(MATCH(P$5,'Oxford Economics'!$A$6:$AZ$6,0),MATCH(P$5&amp;"",'Oxford Economics'!$A$6:$AZ$6,0))),'Oxford Economics'!$A$7:$A$1000,$C55,'Oxford Economics'!$B$7:$B$1000,Settings!$B$14)+SUMIFS(INDEX('Oxford Economics'!$A$7:$AZ$1000,0,IFERROR(MATCH(P$5,'Oxford Economics'!$A$6:$AZ$6,0),MATCH(P$5&amp;"",'Oxford Economics'!$A$6:$AZ$6,0))),'Oxford Economics'!$A$7:$A$1000,$C55,'Oxford Economics'!$B$7:$B$1000,Settings!$B$16)+IF(Settings!$B$18="",0,SUMIFS(INDEX('Oxford Economics'!$A$7:$AZ$1000,0,IFERROR(MATCH(P$5,'Oxford Economics'!$A$6:$AZ$6,0),MATCH(P$5&amp;"",'Oxford Economics'!$A$6:$AZ$6,0))),'Oxford Economics'!$A$7:$A$1000,$C55,'Oxford Economics'!$B$7:$B$1000,Settings!$B$18)))),""))</f>
        <v/>
      </c>
      <c r="Q55" s="37" t="str">
        <f aca="false">IF($A55="","",IFERROR(1/(1/IF($B55="Residential",SUMIFS(INDEX('Oxford Economics'!$A$7:$AZ$1000,0,IFERROR(MATCH(Q$5,'Oxford Economics'!$A$6:$AZ$6,0),MATCH(Q$5&amp;"",'Oxford Economics'!$A$6:$AZ$6,0))),'Oxford Economics'!$A$7:$A$1000,$C55,'Oxford Economics'!$B$7:$B$1000,Settings!$B$12)-SUMIFS(INDEX('Oxford Economics'!$A$7:$AZ$1000,0,IFERROR(MATCH(Q$5,'Oxford Economics'!$A$6:$AZ$6,0),MATCH(Q$5&amp;"",'Oxford Economics'!$A$6:$AZ$6,0))),'Oxford Economics'!$A$7:$A$1000,$C55,'Oxford Economics'!$B$7:$B$1000,Settings!$B$14),SUMIFS(INDEX('Oxford Economics'!$A$7:$AZ$1000,0,IFERROR(MATCH(Q$5,'Oxford Economics'!$A$6:$AZ$6,0),MATCH(Q$5&amp;"",'Oxford Economics'!$A$6:$AZ$6,0))),'Oxford Economics'!$A$7:$A$1000,$C55,'Oxford Economics'!$B$7:$B$1000,Settings!$B$14)+SUMIFS(INDEX('Oxford Economics'!$A$7:$AZ$1000,0,IFERROR(MATCH(Q$5,'Oxford Economics'!$A$6:$AZ$6,0),MATCH(Q$5&amp;"",'Oxford Economics'!$A$6:$AZ$6,0))),'Oxford Economics'!$A$7:$A$1000,$C55,'Oxford Economics'!$B$7:$B$1000,Settings!$B$16)+IF(Settings!$B$18="",0,SUMIFS(INDEX('Oxford Economics'!$A$7:$AZ$1000,0,IFERROR(MATCH(Q$5,'Oxford Economics'!$A$6:$AZ$6,0),MATCH(Q$5&amp;"",'Oxford Economics'!$A$6:$AZ$6,0))),'Oxford Economics'!$A$7:$A$1000,$C55,'Oxford Economics'!$B$7:$B$1000,Settings!$B$18)))),""))</f>
        <v/>
      </c>
      <c r="R55" s="37" t="str">
        <f aca="false">IF($A55="","",IFERROR(1/(1/IF($B55="Residential",SUMIFS(INDEX('Oxford Economics'!$A$7:$AZ$1000,0,IFERROR(MATCH(R$5,'Oxford Economics'!$A$6:$AZ$6,0),MATCH(R$5&amp;"",'Oxford Economics'!$A$6:$AZ$6,0))),'Oxford Economics'!$A$7:$A$1000,$C55,'Oxford Economics'!$B$7:$B$1000,Settings!$B$12)-SUMIFS(INDEX('Oxford Economics'!$A$7:$AZ$1000,0,IFERROR(MATCH(R$5,'Oxford Economics'!$A$6:$AZ$6,0),MATCH(R$5&amp;"",'Oxford Economics'!$A$6:$AZ$6,0))),'Oxford Economics'!$A$7:$A$1000,$C55,'Oxford Economics'!$B$7:$B$1000,Settings!$B$14),SUMIFS(INDEX('Oxford Economics'!$A$7:$AZ$1000,0,IFERROR(MATCH(R$5,'Oxford Economics'!$A$6:$AZ$6,0),MATCH(R$5&amp;"",'Oxford Economics'!$A$6:$AZ$6,0))),'Oxford Economics'!$A$7:$A$1000,$C55,'Oxford Economics'!$B$7:$B$1000,Settings!$B$14)+SUMIFS(INDEX('Oxford Economics'!$A$7:$AZ$1000,0,IFERROR(MATCH(R$5,'Oxford Economics'!$A$6:$AZ$6,0),MATCH(R$5&amp;"",'Oxford Economics'!$A$6:$AZ$6,0))),'Oxford Economics'!$A$7:$A$1000,$C55,'Oxford Economics'!$B$7:$B$1000,Settings!$B$16)+IF(Settings!$B$18="",0,SUMIFS(INDEX('Oxford Economics'!$A$7:$AZ$1000,0,IFERROR(MATCH(R$5,'Oxford Economics'!$A$6:$AZ$6,0),MATCH(R$5&amp;"",'Oxford Economics'!$A$6:$AZ$6,0))),'Oxford Economics'!$A$7:$A$1000,$C55,'Oxford Economics'!$B$7:$B$1000,Settings!$B$18)))),""))</f>
        <v/>
      </c>
      <c r="S55" s="37" t="str">
        <f aca="false">IF($A55="","",IFERROR(1/(1/IF($B55="Residential",SUMIFS(INDEX('Oxford Economics'!$A$7:$AZ$1000,0,IFERROR(MATCH(S$5,'Oxford Economics'!$A$6:$AZ$6,0),MATCH(S$5&amp;"",'Oxford Economics'!$A$6:$AZ$6,0))),'Oxford Economics'!$A$7:$A$1000,$C55,'Oxford Economics'!$B$7:$B$1000,Settings!$B$12)-SUMIFS(INDEX('Oxford Economics'!$A$7:$AZ$1000,0,IFERROR(MATCH(S$5,'Oxford Economics'!$A$6:$AZ$6,0),MATCH(S$5&amp;"",'Oxford Economics'!$A$6:$AZ$6,0))),'Oxford Economics'!$A$7:$A$1000,$C55,'Oxford Economics'!$B$7:$B$1000,Settings!$B$14),SUMIFS(INDEX('Oxford Economics'!$A$7:$AZ$1000,0,IFERROR(MATCH(S$5,'Oxford Economics'!$A$6:$AZ$6,0),MATCH(S$5&amp;"",'Oxford Economics'!$A$6:$AZ$6,0))),'Oxford Economics'!$A$7:$A$1000,$C55,'Oxford Economics'!$B$7:$B$1000,Settings!$B$14)+SUMIFS(INDEX('Oxford Economics'!$A$7:$AZ$1000,0,IFERROR(MATCH(S$5,'Oxford Economics'!$A$6:$AZ$6,0),MATCH(S$5&amp;"",'Oxford Economics'!$A$6:$AZ$6,0))),'Oxford Economics'!$A$7:$A$1000,$C55,'Oxford Economics'!$B$7:$B$1000,Settings!$B$16)+IF(Settings!$B$18="",0,SUMIFS(INDEX('Oxford Economics'!$A$7:$AZ$1000,0,IFERROR(MATCH(S$5,'Oxford Economics'!$A$6:$AZ$6,0),MATCH(S$5&amp;"",'Oxford Economics'!$A$6:$AZ$6,0))),'Oxford Economics'!$A$7:$A$1000,$C55,'Oxford Economics'!$B$7:$B$1000,Settings!$B$18)))),""))</f>
        <v/>
      </c>
      <c r="T55" s="37" t="str">
        <f aca="false">IF($A55="","",IFERROR(1/(1/IF($B55="Residential",SUMIFS(INDEX('Oxford Economics'!$A$7:$AZ$1000,0,IFERROR(MATCH(T$5,'Oxford Economics'!$A$6:$AZ$6,0),MATCH(T$5&amp;"",'Oxford Economics'!$A$6:$AZ$6,0))),'Oxford Economics'!$A$7:$A$1000,$C55,'Oxford Economics'!$B$7:$B$1000,Settings!$B$12)-SUMIFS(INDEX('Oxford Economics'!$A$7:$AZ$1000,0,IFERROR(MATCH(T$5,'Oxford Economics'!$A$6:$AZ$6,0),MATCH(T$5&amp;"",'Oxford Economics'!$A$6:$AZ$6,0))),'Oxford Economics'!$A$7:$A$1000,$C55,'Oxford Economics'!$B$7:$B$1000,Settings!$B$14),SUMIFS(INDEX('Oxford Economics'!$A$7:$AZ$1000,0,IFERROR(MATCH(T$5,'Oxford Economics'!$A$6:$AZ$6,0),MATCH(T$5&amp;"",'Oxford Economics'!$A$6:$AZ$6,0))),'Oxford Economics'!$A$7:$A$1000,$C55,'Oxford Economics'!$B$7:$B$1000,Settings!$B$14)+SUMIFS(INDEX('Oxford Economics'!$A$7:$AZ$1000,0,IFERROR(MATCH(T$5,'Oxford Economics'!$A$6:$AZ$6,0),MATCH(T$5&amp;"",'Oxford Economics'!$A$6:$AZ$6,0))),'Oxford Economics'!$A$7:$A$1000,$C55,'Oxford Economics'!$B$7:$B$1000,Settings!$B$16)+IF(Settings!$B$18="",0,SUMIFS(INDEX('Oxford Economics'!$A$7:$AZ$1000,0,IFERROR(MATCH(T$5,'Oxford Economics'!$A$6:$AZ$6,0),MATCH(T$5&amp;"",'Oxford Economics'!$A$6:$AZ$6,0))),'Oxford Economics'!$A$7:$A$1000,$C55,'Oxford Economics'!$B$7:$B$1000,Settings!$B$18)))),""))</f>
        <v/>
      </c>
      <c r="U55" s="37" t="str">
        <f aca="false">IF($A55="","",IFERROR(1/(1/IF($B55="Residential",SUMIFS(INDEX('Oxford Economics'!$A$7:$AZ$1000,0,IFERROR(MATCH(U$5,'Oxford Economics'!$A$6:$AZ$6,0),MATCH(U$5&amp;"",'Oxford Economics'!$A$6:$AZ$6,0))),'Oxford Economics'!$A$7:$A$1000,$C55,'Oxford Economics'!$B$7:$B$1000,Settings!$B$12)-SUMIFS(INDEX('Oxford Economics'!$A$7:$AZ$1000,0,IFERROR(MATCH(U$5,'Oxford Economics'!$A$6:$AZ$6,0),MATCH(U$5&amp;"",'Oxford Economics'!$A$6:$AZ$6,0))),'Oxford Economics'!$A$7:$A$1000,$C55,'Oxford Economics'!$B$7:$B$1000,Settings!$B$14),SUMIFS(INDEX('Oxford Economics'!$A$7:$AZ$1000,0,IFERROR(MATCH(U$5,'Oxford Economics'!$A$6:$AZ$6,0),MATCH(U$5&amp;"",'Oxford Economics'!$A$6:$AZ$6,0))),'Oxford Economics'!$A$7:$A$1000,$C55,'Oxford Economics'!$B$7:$B$1000,Settings!$B$14)+SUMIFS(INDEX('Oxford Economics'!$A$7:$AZ$1000,0,IFERROR(MATCH(U$5,'Oxford Economics'!$A$6:$AZ$6,0),MATCH(U$5&amp;"",'Oxford Economics'!$A$6:$AZ$6,0))),'Oxford Economics'!$A$7:$A$1000,$C55,'Oxford Economics'!$B$7:$B$1000,Settings!$B$16)+IF(Settings!$B$18="",0,SUMIFS(INDEX('Oxford Economics'!$A$7:$AZ$1000,0,IFERROR(MATCH(U$5,'Oxford Economics'!$A$6:$AZ$6,0),MATCH(U$5&amp;"",'Oxford Economics'!$A$6:$AZ$6,0))),'Oxford Economics'!$A$7:$A$1000,$C55,'Oxford Economics'!$B$7:$B$1000,Settings!$B$18)))),""))</f>
        <v/>
      </c>
      <c r="V55" s="37" t="str">
        <f aca="false">IF($A55="","",IFERROR(1/(1/IF($B55="Residential",SUMIFS(INDEX('Oxford Economics'!$A$7:$AZ$1000,0,IFERROR(MATCH(V$5,'Oxford Economics'!$A$6:$AZ$6,0),MATCH(V$5&amp;"",'Oxford Economics'!$A$6:$AZ$6,0))),'Oxford Economics'!$A$7:$A$1000,$C55,'Oxford Economics'!$B$7:$B$1000,Settings!$B$12)-SUMIFS(INDEX('Oxford Economics'!$A$7:$AZ$1000,0,IFERROR(MATCH(V$5,'Oxford Economics'!$A$6:$AZ$6,0),MATCH(V$5&amp;"",'Oxford Economics'!$A$6:$AZ$6,0))),'Oxford Economics'!$A$7:$A$1000,$C55,'Oxford Economics'!$B$7:$B$1000,Settings!$B$14),SUMIFS(INDEX('Oxford Economics'!$A$7:$AZ$1000,0,IFERROR(MATCH(V$5,'Oxford Economics'!$A$6:$AZ$6,0),MATCH(V$5&amp;"",'Oxford Economics'!$A$6:$AZ$6,0))),'Oxford Economics'!$A$7:$A$1000,$C55,'Oxford Economics'!$B$7:$B$1000,Settings!$B$14)+SUMIFS(INDEX('Oxford Economics'!$A$7:$AZ$1000,0,IFERROR(MATCH(V$5,'Oxford Economics'!$A$6:$AZ$6,0),MATCH(V$5&amp;"",'Oxford Economics'!$A$6:$AZ$6,0))),'Oxford Economics'!$A$7:$A$1000,$C55,'Oxford Economics'!$B$7:$B$1000,Settings!$B$16)+IF(Settings!$B$18="",0,SUMIFS(INDEX('Oxford Economics'!$A$7:$AZ$1000,0,IFERROR(MATCH(V$5,'Oxford Economics'!$A$6:$AZ$6,0),MATCH(V$5&amp;"",'Oxford Economics'!$A$6:$AZ$6,0))),'Oxford Economics'!$A$7:$A$1000,$C55,'Oxford Economics'!$B$7:$B$1000,Settings!$B$18)))),""))</f>
        <v/>
      </c>
      <c r="W55" s="37" t="str">
        <f aca="false">IF($A55="","",IFERROR(1/(1/IF($B55="Residential",SUMIFS(INDEX('Oxford Economics'!$A$7:$AZ$1000,0,IFERROR(MATCH(W$5,'Oxford Economics'!$A$6:$AZ$6,0),MATCH(W$5&amp;"",'Oxford Economics'!$A$6:$AZ$6,0))),'Oxford Economics'!$A$7:$A$1000,$C55,'Oxford Economics'!$B$7:$B$1000,Settings!$B$12)-SUMIFS(INDEX('Oxford Economics'!$A$7:$AZ$1000,0,IFERROR(MATCH(W$5,'Oxford Economics'!$A$6:$AZ$6,0),MATCH(W$5&amp;"",'Oxford Economics'!$A$6:$AZ$6,0))),'Oxford Economics'!$A$7:$A$1000,$C55,'Oxford Economics'!$B$7:$B$1000,Settings!$B$14),SUMIFS(INDEX('Oxford Economics'!$A$7:$AZ$1000,0,IFERROR(MATCH(W$5,'Oxford Economics'!$A$6:$AZ$6,0),MATCH(W$5&amp;"",'Oxford Economics'!$A$6:$AZ$6,0))),'Oxford Economics'!$A$7:$A$1000,$C55,'Oxford Economics'!$B$7:$B$1000,Settings!$B$14)+SUMIFS(INDEX('Oxford Economics'!$A$7:$AZ$1000,0,IFERROR(MATCH(W$5,'Oxford Economics'!$A$6:$AZ$6,0),MATCH(W$5&amp;"",'Oxford Economics'!$A$6:$AZ$6,0))),'Oxford Economics'!$A$7:$A$1000,$C55,'Oxford Economics'!$B$7:$B$1000,Settings!$B$16)+IF(Settings!$B$18="",0,SUMIFS(INDEX('Oxford Economics'!$A$7:$AZ$1000,0,IFERROR(MATCH(W$5,'Oxford Economics'!$A$6:$AZ$6,0),MATCH(W$5&amp;"",'Oxford Economics'!$A$6:$AZ$6,0))),'Oxford Economics'!$A$7:$A$1000,$C55,'Oxford Economics'!$B$7:$B$1000,Settings!$B$18)))),""))</f>
        <v/>
      </c>
      <c r="X55" s="37" t="str">
        <f aca="false">IF($A55="","",IFERROR(1/(1/IF($B55="Residential",SUMIFS(INDEX('Oxford Economics'!$A$7:$AZ$1000,0,IFERROR(MATCH(X$5,'Oxford Economics'!$A$6:$AZ$6,0),MATCH(X$5&amp;"",'Oxford Economics'!$A$6:$AZ$6,0))),'Oxford Economics'!$A$7:$A$1000,$C55,'Oxford Economics'!$B$7:$B$1000,Settings!$B$12)-SUMIFS(INDEX('Oxford Economics'!$A$7:$AZ$1000,0,IFERROR(MATCH(X$5,'Oxford Economics'!$A$6:$AZ$6,0),MATCH(X$5&amp;"",'Oxford Economics'!$A$6:$AZ$6,0))),'Oxford Economics'!$A$7:$A$1000,$C55,'Oxford Economics'!$B$7:$B$1000,Settings!$B$14),SUMIFS(INDEX('Oxford Economics'!$A$7:$AZ$1000,0,IFERROR(MATCH(X$5,'Oxford Economics'!$A$6:$AZ$6,0),MATCH(X$5&amp;"",'Oxford Economics'!$A$6:$AZ$6,0))),'Oxford Economics'!$A$7:$A$1000,$C55,'Oxford Economics'!$B$7:$B$1000,Settings!$B$14)+SUMIFS(INDEX('Oxford Economics'!$A$7:$AZ$1000,0,IFERROR(MATCH(X$5,'Oxford Economics'!$A$6:$AZ$6,0),MATCH(X$5&amp;"",'Oxford Economics'!$A$6:$AZ$6,0))),'Oxford Economics'!$A$7:$A$1000,$C55,'Oxford Economics'!$B$7:$B$1000,Settings!$B$16)+IF(Settings!$B$18="",0,SUMIFS(INDEX('Oxford Economics'!$A$7:$AZ$1000,0,IFERROR(MATCH(X$5,'Oxford Economics'!$A$6:$AZ$6,0),MATCH(X$5&amp;"",'Oxford Economics'!$A$6:$AZ$6,0))),'Oxford Economics'!$A$7:$A$1000,$C55,'Oxford Economics'!$B$7:$B$1000,Settings!$B$18)))),""))</f>
        <v/>
      </c>
      <c r="Y55" s="37" t="str">
        <f aca="false">IF($A55="","",IFERROR(1/(1/IF($B55="Residential",SUMIFS(INDEX('Oxford Economics'!$A$7:$AZ$1000,0,IFERROR(MATCH(Y$5,'Oxford Economics'!$A$6:$AZ$6,0),MATCH(Y$5&amp;"",'Oxford Economics'!$A$6:$AZ$6,0))),'Oxford Economics'!$A$7:$A$1000,$C55,'Oxford Economics'!$B$7:$B$1000,Settings!$B$12)-SUMIFS(INDEX('Oxford Economics'!$A$7:$AZ$1000,0,IFERROR(MATCH(Y$5,'Oxford Economics'!$A$6:$AZ$6,0),MATCH(Y$5&amp;"",'Oxford Economics'!$A$6:$AZ$6,0))),'Oxford Economics'!$A$7:$A$1000,$C55,'Oxford Economics'!$B$7:$B$1000,Settings!$B$14),SUMIFS(INDEX('Oxford Economics'!$A$7:$AZ$1000,0,IFERROR(MATCH(Y$5,'Oxford Economics'!$A$6:$AZ$6,0),MATCH(Y$5&amp;"",'Oxford Economics'!$A$6:$AZ$6,0))),'Oxford Economics'!$A$7:$A$1000,$C55,'Oxford Economics'!$B$7:$B$1000,Settings!$B$14)+SUMIFS(INDEX('Oxford Economics'!$A$7:$AZ$1000,0,IFERROR(MATCH(Y$5,'Oxford Economics'!$A$6:$AZ$6,0),MATCH(Y$5&amp;"",'Oxford Economics'!$A$6:$AZ$6,0))),'Oxford Economics'!$A$7:$A$1000,$C55,'Oxford Economics'!$B$7:$B$1000,Settings!$B$16)+IF(Settings!$B$18="",0,SUMIFS(INDEX('Oxford Economics'!$A$7:$AZ$1000,0,IFERROR(MATCH(Y$5,'Oxford Economics'!$A$6:$AZ$6,0),MATCH(Y$5&amp;"",'Oxford Economics'!$A$6:$AZ$6,0))),'Oxford Economics'!$A$7:$A$1000,$C55,'Oxford Economics'!$B$7:$B$1000,Settings!$B$18)))),""))</f>
        <v/>
      </c>
      <c r="Z55" s="37" t="str">
        <f aca="false">IF($A55="","",IFERROR(1/(1/IF($B55="Residential",SUMIFS(INDEX('Oxford Economics'!$A$7:$AZ$1000,0,IFERROR(MATCH(Z$5,'Oxford Economics'!$A$6:$AZ$6,0),MATCH(Z$5&amp;"",'Oxford Economics'!$A$6:$AZ$6,0))),'Oxford Economics'!$A$7:$A$1000,$C55,'Oxford Economics'!$B$7:$B$1000,Settings!$B$12)-SUMIFS(INDEX('Oxford Economics'!$A$7:$AZ$1000,0,IFERROR(MATCH(Z$5,'Oxford Economics'!$A$6:$AZ$6,0),MATCH(Z$5&amp;"",'Oxford Economics'!$A$6:$AZ$6,0))),'Oxford Economics'!$A$7:$A$1000,$C55,'Oxford Economics'!$B$7:$B$1000,Settings!$B$14),SUMIFS(INDEX('Oxford Economics'!$A$7:$AZ$1000,0,IFERROR(MATCH(Z$5,'Oxford Economics'!$A$6:$AZ$6,0),MATCH(Z$5&amp;"",'Oxford Economics'!$A$6:$AZ$6,0))),'Oxford Economics'!$A$7:$A$1000,$C55,'Oxford Economics'!$B$7:$B$1000,Settings!$B$14)+SUMIFS(INDEX('Oxford Economics'!$A$7:$AZ$1000,0,IFERROR(MATCH(Z$5,'Oxford Economics'!$A$6:$AZ$6,0),MATCH(Z$5&amp;"",'Oxford Economics'!$A$6:$AZ$6,0))),'Oxford Economics'!$A$7:$A$1000,$C55,'Oxford Economics'!$B$7:$B$1000,Settings!$B$16)+IF(Settings!$B$18="",0,SUMIFS(INDEX('Oxford Economics'!$A$7:$AZ$1000,0,IFERROR(MATCH(Z$5,'Oxford Economics'!$A$6:$AZ$6,0),MATCH(Z$5&amp;"",'Oxford Economics'!$A$6:$AZ$6,0))),'Oxford Economics'!$A$7:$A$1000,$C55,'Oxford Economics'!$B$7:$B$1000,Settings!$B$18)))),""))</f>
        <v/>
      </c>
      <c r="AA55" s="37" t="str">
        <f aca="false">IF($A55="","",IFERROR(1/(1/IF($B55="Residential",SUMIFS(INDEX('Oxford Economics'!$A$7:$AZ$1000,0,IFERROR(MATCH(AA$5,'Oxford Economics'!$A$6:$AZ$6,0),MATCH(AA$5&amp;"",'Oxford Economics'!$A$6:$AZ$6,0))),'Oxford Economics'!$A$7:$A$1000,$C55,'Oxford Economics'!$B$7:$B$1000,Settings!$B$12)-SUMIFS(INDEX('Oxford Economics'!$A$7:$AZ$1000,0,IFERROR(MATCH(AA$5,'Oxford Economics'!$A$6:$AZ$6,0),MATCH(AA$5&amp;"",'Oxford Economics'!$A$6:$AZ$6,0))),'Oxford Economics'!$A$7:$A$1000,$C55,'Oxford Economics'!$B$7:$B$1000,Settings!$B$14),SUMIFS(INDEX('Oxford Economics'!$A$7:$AZ$1000,0,IFERROR(MATCH(AA$5,'Oxford Economics'!$A$6:$AZ$6,0),MATCH(AA$5&amp;"",'Oxford Economics'!$A$6:$AZ$6,0))),'Oxford Economics'!$A$7:$A$1000,$C55,'Oxford Economics'!$B$7:$B$1000,Settings!$B$14)+SUMIFS(INDEX('Oxford Economics'!$A$7:$AZ$1000,0,IFERROR(MATCH(AA$5,'Oxford Economics'!$A$6:$AZ$6,0),MATCH(AA$5&amp;"",'Oxford Economics'!$A$6:$AZ$6,0))),'Oxford Economics'!$A$7:$A$1000,$C55,'Oxford Economics'!$B$7:$B$1000,Settings!$B$16)+IF(Settings!$B$18="",0,SUMIFS(INDEX('Oxford Economics'!$A$7:$AZ$1000,0,IFERROR(MATCH(AA$5,'Oxford Economics'!$A$6:$AZ$6,0),MATCH(AA$5&amp;"",'Oxford Economics'!$A$6:$AZ$6,0))),'Oxford Economics'!$A$7:$A$1000,$C55,'Oxford Economics'!$B$7:$B$1000,Settings!$B$18)))),""))</f>
        <v/>
      </c>
      <c r="AB55" s="37" t="str">
        <f aca="false">IF($A55="","",IFERROR(1/(1/IF($B55="Residential",SUMIFS(INDEX('Oxford Economics'!$A$7:$AZ$1000,0,IFERROR(MATCH(AB$5,'Oxford Economics'!$A$6:$AZ$6,0),MATCH(AB$5&amp;"",'Oxford Economics'!$A$6:$AZ$6,0))),'Oxford Economics'!$A$7:$A$1000,$C55,'Oxford Economics'!$B$7:$B$1000,Settings!$B$11)-SUMIFS(INDEX('Oxford Economics'!$A$7:$AZ$1000,0,IFERROR(MATCH(AB$5,'Oxford Economics'!$A$6:$AZ$6,0),MATCH(AB$5&amp;"",'Oxford Economics'!$A$6:$AZ$6,0))),'Oxford Economics'!$A$7:$A$1000,$C55,'Oxford Economics'!$B$7:$B$1000,Settings!$B$13),SUMIFS(INDEX('Oxford Economics'!$A$7:$AZ$1000,0,IFERROR(MATCH(AB$5,'Oxford Economics'!$A$6:$AZ$6,0),MATCH(AB$5&amp;"",'Oxford Economics'!$A$6:$AZ$6,0))),'Oxford Economics'!$A$7:$A$1000,$C55,'Oxford Economics'!$B$7:$B$1000,Settings!$B$13)+SUMIFS(INDEX('Oxford Economics'!$A$7:$AZ$1000,0,IFERROR(MATCH(AB$5,'Oxford Economics'!$A$6:$AZ$6,0),MATCH(AB$5&amp;"",'Oxford Economics'!$A$6:$AZ$6,0))),'Oxford Economics'!$A$7:$A$1000,$C55,'Oxford Economics'!$B$7:$B$1000,Settings!$B$15)+IF(Settings!$B$17="",0,SUMIFS(INDEX('Oxford Economics'!$A$7:$AZ$1000,0,IFERROR(MATCH(AB$5,'Oxford Economics'!$A$6:$AZ$6,0),MATCH(AB$5&amp;"",'Oxford Economics'!$A$6:$AZ$6,0))),'Oxford Economics'!$A$7:$A$1000,$C55,'Oxford Economics'!$B$7:$B$1000,Settings!$B$17)))),""))</f>
        <v/>
      </c>
      <c r="AC55" s="37" t="str">
        <f aca="false">IF($A55="","",IFERROR(1/(1/IF($B55="Residential",SUMIFS(INDEX('Oxford Economics'!$A$7:$AZ$1000,0,IFERROR(MATCH(AC$5,'Oxford Economics'!$A$6:$AZ$6,0),MATCH(AC$5&amp;"",'Oxford Economics'!$A$6:$AZ$6,0))),'Oxford Economics'!$A$7:$A$1000,$C55,'Oxford Economics'!$B$7:$B$1000,Settings!$B$11)-SUMIFS(INDEX('Oxford Economics'!$A$7:$AZ$1000,0,IFERROR(MATCH(AC$5,'Oxford Economics'!$A$6:$AZ$6,0),MATCH(AC$5&amp;"",'Oxford Economics'!$A$6:$AZ$6,0))),'Oxford Economics'!$A$7:$A$1000,$C55,'Oxford Economics'!$B$7:$B$1000,Settings!$B$13),SUMIFS(INDEX('Oxford Economics'!$A$7:$AZ$1000,0,IFERROR(MATCH(AC$5,'Oxford Economics'!$A$6:$AZ$6,0),MATCH(AC$5&amp;"",'Oxford Economics'!$A$6:$AZ$6,0))),'Oxford Economics'!$A$7:$A$1000,$C55,'Oxford Economics'!$B$7:$B$1000,Settings!$B$13)+SUMIFS(INDEX('Oxford Economics'!$A$7:$AZ$1000,0,IFERROR(MATCH(AC$5,'Oxford Economics'!$A$6:$AZ$6,0),MATCH(AC$5&amp;"",'Oxford Economics'!$A$6:$AZ$6,0))),'Oxford Economics'!$A$7:$A$1000,$C55,'Oxford Economics'!$B$7:$B$1000,Settings!$B$15)+IF(Settings!$B$17="",0,SUMIFS(INDEX('Oxford Economics'!$A$7:$AZ$1000,0,IFERROR(MATCH(AC$5,'Oxford Economics'!$A$6:$AZ$6,0),MATCH(AC$5&amp;"",'Oxford Economics'!$A$6:$AZ$6,0))),'Oxford Economics'!$A$7:$A$1000,$C55,'Oxford Economics'!$B$7:$B$1000,Settings!$B$17)))),""))</f>
        <v/>
      </c>
      <c r="AD55" s="37" t="str">
        <f aca="false">IF($A55="","",IFERROR(1/(1/IF($B55="Residential",SUMIFS(INDEX('Oxford Economics'!$A$7:$AZ$1000,0,IFERROR(MATCH(AD$5,'Oxford Economics'!$A$6:$AZ$6,0),MATCH(AD$5&amp;"",'Oxford Economics'!$A$6:$AZ$6,0))),'Oxford Economics'!$A$7:$A$1000,$C55,'Oxford Economics'!$B$7:$B$1000,Settings!$B$11)-SUMIFS(INDEX('Oxford Economics'!$A$7:$AZ$1000,0,IFERROR(MATCH(AD$5,'Oxford Economics'!$A$6:$AZ$6,0),MATCH(AD$5&amp;"",'Oxford Economics'!$A$6:$AZ$6,0))),'Oxford Economics'!$A$7:$A$1000,$C55,'Oxford Economics'!$B$7:$B$1000,Settings!$B$13),SUMIFS(INDEX('Oxford Economics'!$A$7:$AZ$1000,0,IFERROR(MATCH(AD$5,'Oxford Economics'!$A$6:$AZ$6,0),MATCH(AD$5&amp;"",'Oxford Economics'!$A$6:$AZ$6,0))),'Oxford Economics'!$A$7:$A$1000,$C55,'Oxford Economics'!$B$7:$B$1000,Settings!$B$13)+SUMIFS(INDEX('Oxford Economics'!$A$7:$AZ$1000,0,IFERROR(MATCH(AD$5,'Oxford Economics'!$A$6:$AZ$6,0),MATCH(AD$5&amp;"",'Oxford Economics'!$A$6:$AZ$6,0))),'Oxford Economics'!$A$7:$A$1000,$C55,'Oxford Economics'!$B$7:$B$1000,Settings!$B$15)+IF(Settings!$B$17="",0,SUMIFS(INDEX('Oxford Economics'!$A$7:$AZ$1000,0,IFERROR(MATCH(AD$5,'Oxford Economics'!$A$6:$AZ$6,0),MATCH(AD$5&amp;"",'Oxford Economics'!$A$6:$AZ$6,0))),'Oxford Economics'!$A$7:$A$1000,$C55,'Oxford Economics'!$B$7:$B$1000,Settings!$B$17)))),""))</f>
        <v/>
      </c>
      <c r="AE55" s="37" t="str">
        <f aca="false">IF($A55="","",IFERROR(1/(1/IF($B55="Residential",SUMIFS(INDEX('Oxford Economics'!$A$7:$AZ$1000,0,IFERROR(MATCH(AE$5,'Oxford Economics'!$A$6:$AZ$6,0),MATCH(AE$5&amp;"",'Oxford Economics'!$A$6:$AZ$6,0))),'Oxford Economics'!$A$7:$A$1000,$C55,'Oxford Economics'!$B$7:$B$1000,Settings!$B$11)-SUMIFS(INDEX('Oxford Economics'!$A$7:$AZ$1000,0,IFERROR(MATCH(AE$5,'Oxford Economics'!$A$6:$AZ$6,0),MATCH(AE$5&amp;"",'Oxford Economics'!$A$6:$AZ$6,0))),'Oxford Economics'!$A$7:$A$1000,$C55,'Oxford Economics'!$B$7:$B$1000,Settings!$B$13),SUMIFS(INDEX('Oxford Economics'!$A$7:$AZ$1000,0,IFERROR(MATCH(AE$5,'Oxford Economics'!$A$6:$AZ$6,0),MATCH(AE$5&amp;"",'Oxford Economics'!$A$6:$AZ$6,0))),'Oxford Economics'!$A$7:$A$1000,$C55,'Oxford Economics'!$B$7:$B$1000,Settings!$B$13)+SUMIFS(INDEX('Oxford Economics'!$A$7:$AZ$1000,0,IFERROR(MATCH(AE$5,'Oxford Economics'!$A$6:$AZ$6,0),MATCH(AE$5&amp;"",'Oxford Economics'!$A$6:$AZ$6,0))),'Oxford Economics'!$A$7:$A$1000,$C55,'Oxford Economics'!$B$7:$B$1000,Settings!$B$15)+IF(Settings!$B$17="",0,SUMIFS(INDEX('Oxford Economics'!$A$7:$AZ$1000,0,IFERROR(MATCH(AE$5,'Oxford Economics'!$A$6:$AZ$6,0),MATCH(AE$5&amp;"",'Oxford Economics'!$A$6:$AZ$6,0))),'Oxford Economics'!$A$7:$A$1000,$C55,'Oxford Economics'!$B$7:$B$1000,Settings!$B$17)))),""))</f>
        <v/>
      </c>
      <c r="AF55" s="37" t="str">
        <f aca="false">IF($A55="","",IFERROR(1/(1/IF($B55="Residential",SUMIFS(INDEX('Oxford Economics'!$A$7:$AZ$1000,0,IFERROR(MATCH(AF$5,'Oxford Economics'!$A$6:$AZ$6,0),MATCH(AF$5&amp;"",'Oxford Economics'!$A$6:$AZ$6,0))),'Oxford Economics'!$A$7:$A$1000,$C55,'Oxford Economics'!$B$7:$B$1000,Settings!$B$11)-SUMIFS(INDEX('Oxford Economics'!$A$7:$AZ$1000,0,IFERROR(MATCH(AF$5,'Oxford Economics'!$A$6:$AZ$6,0),MATCH(AF$5&amp;"",'Oxford Economics'!$A$6:$AZ$6,0))),'Oxford Economics'!$A$7:$A$1000,$C55,'Oxford Economics'!$B$7:$B$1000,Settings!$B$13),SUMIFS(INDEX('Oxford Economics'!$A$7:$AZ$1000,0,IFERROR(MATCH(AF$5,'Oxford Economics'!$A$6:$AZ$6,0),MATCH(AF$5&amp;"",'Oxford Economics'!$A$6:$AZ$6,0))),'Oxford Economics'!$A$7:$A$1000,$C55,'Oxford Economics'!$B$7:$B$1000,Settings!$B$13)+SUMIFS(INDEX('Oxford Economics'!$A$7:$AZ$1000,0,IFERROR(MATCH(AF$5,'Oxford Economics'!$A$6:$AZ$6,0),MATCH(AF$5&amp;"",'Oxford Economics'!$A$6:$AZ$6,0))),'Oxford Economics'!$A$7:$A$1000,$C55,'Oxford Economics'!$B$7:$B$1000,Settings!$B$15)+IF(Settings!$B$17="",0,SUMIFS(INDEX('Oxford Economics'!$A$7:$AZ$1000,0,IFERROR(MATCH(AF$5,'Oxford Economics'!$A$6:$AZ$6,0),MATCH(AF$5&amp;"",'Oxford Economics'!$A$6:$AZ$6,0))),'Oxford Economics'!$A$7:$A$1000,$C55,'Oxford Economics'!$B$7:$B$1000,Settings!$B$17)))),""))</f>
        <v/>
      </c>
      <c r="AG55" s="37" t="str">
        <f aca="false">IF($A55="","",IFERROR(1/(1/IF($B55="Residential",SUMIFS(INDEX('Oxford Economics'!$A$7:$AZ$1000,0,IFERROR(MATCH(AG$5,'Oxford Economics'!$A$6:$AZ$6,0),MATCH(AG$5&amp;"",'Oxford Economics'!$A$6:$AZ$6,0))),'Oxford Economics'!$A$7:$A$1000,$C55,'Oxford Economics'!$B$7:$B$1000,Settings!$B$11)-SUMIFS(INDEX('Oxford Economics'!$A$7:$AZ$1000,0,IFERROR(MATCH(AG$5,'Oxford Economics'!$A$6:$AZ$6,0),MATCH(AG$5&amp;"",'Oxford Economics'!$A$6:$AZ$6,0))),'Oxford Economics'!$A$7:$A$1000,$C55,'Oxford Economics'!$B$7:$B$1000,Settings!$B$13),SUMIFS(INDEX('Oxford Economics'!$A$7:$AZ$1000,0,IFERROR(MATCH(AG$5,'Oxford Economics'!$A$6:$AZ$6,0),MATCH(AG$5&amp;"",'Oxford Economics'!$A$6:$AZ$6,0))),'Oxford Economics'!$A$7:$A$1000,$C55,'Oxford Economics'!$B$7:$B$1000,Settings!$B$13)+SUMIFS(INDEX('Oxford Economics'!$A$7:$AZ$1000,0,IFERROR(MATCH(AG$5,'Oxford Economics'!$A$6:$AZ$6,0),MATCH(AG$5&amp;"",'Oxford Economics'!$A$6:$AZ$6,0))),'Oxford Economics'!$A$7:$A$1000,$C55,'Oxford Economics'!$B$7:$B$1000,Settings!$B$15)+IF(Settings!$B$17="",0,SUMIFS(INDEX('Oxford Economics'!$A$7:$AZ$1000,0,IFERROR(MATCH(AG$5,'Oxford Economics'!$A$6:$AZ$6,0),MATCH(AG$5&amp;"",'Oxford Economics'!$A$6:$AZ$6,0))),'Oxford Economics'!$A$7:$A$1000,$C55,'Oxford Economics'!$B$7:$B$1000,Settings!$B$17)))),""))</f>
        <v/>
      </c>
      <c r="AH55" s="37" t="str">
        <f aca="false">IF($A55="","",IFERROR(1/(1/IF($B55="Residential",SUMIFS(INDEX('Oxford Economics'!$A$7:$AZ$1000,0,IFERROR(MATCH(AH$5,'Oxford Economics'!$A$6:$AZ$6,0),MATCH(AH$5&amp;"",'Oxford Economics'!$A$6:$AZ$6,0))),'Oxford Economics'!$A$7:$A$1000,$C55,'Oxford Economics'!$B$7:$B$1000,Settings!$B$11)-SUMIFS(INDEX('Oxford Economics'!$A$7:$AZ$1000,0,IFERROR(MATCH(AH$5,'Oxford Economics'!$A$6:$AZ$6,0),MATCH(AH$5&amp;"",'Oxford Economics'!$A$6:$AZ$6,0))),'Oxford Economics'!$A$7:$A$1000,$C55,'Oxford Economics'!$B$7:$B$1000,Settings!$B$13),SUMIFS(INDEX('Oxford Economics'!$A$7:$AZ$1000,0,IFERROR(MATCH(AH$5,'Oxford Economics'!$A$6:$AZ$6,0),MATCH(AH$5&amp;"",'Oxford Economics'!$A$6:$AZ$6,0))),'Oxford Economics'!$A$7:$A$1000,$C55,'Oxford Economics'!$B$7:$B$1000,Settings!$B$13)+SUMIFS(INDEX('Oxford Economics'!$A$7:$AZ$1000,0,IFERROR(MATCH(AH$5,'Oxford Economics'!$A$6:$AZ$6,0),MATCH(AH$5&amp;"",'Oxford Economics'!$A$6:$AZ$6,0))),'Oxford Economics'!$A$7:$A$1000,$C55,'Oxford Economics'!$B$7:$B$1000,Settings!$B$15)+IF(Settings!$B$17="",0,SUMIFS(INDEX('Oxford Economics'!$A$7:$AZ$1000,0,IFERROR(MATCH(AH$5,'Oxford Economics'!$A$6:$AZ$6,0),MATCH(AH$5&amp;"",'Oxford Economics'!$A$6:$AZ$6,0))),'Oxford Economics'!$A$7:$A$1000,$C55,'Oxford Economics'!$B$7:$B$1000,Settings!$B$17)))),""))</f>
        <v/>
      </c>
      <c r="AI55" s="37" t="str">
        <f aca="false">IF($A55="","",IFERROR(1/(1/IF($B55="Residential",SUMIFS(INDEX('Oxford Economics'!$A$7:$AZ$1000,0,IFERROR(MATCH(AI$5,'Oxford Economics'!$A$6:$AZ$6,0),MATCH(AI$5&amp;"",'Oxford Economics'!$A$6:$AZ$6,0))),'Oxford Economics'!$A$7:$A$1000,$C55,'Oxford Economics'!$B$7:$B$1000,Settings!$B$11)-SUMIFS(INDEX('Oxford Economics'!$A$7:$AZ$1000,0,IFERROR(MATCH(AI$5,'Oxford Economics'!$A$6:$AZ$6,0),MATCH(AI$5&amp;"",'Oxford Economics'!$A$6:$AZ$6,0))),'Oxford Economics'!$A$7:$A$1000,$C55,'Oxford Economics'!$B$7:$B$1000,Settings!$B$13),SUMIFS(INDEX('Oxford Economics'!$A$7:$AZ$1000,0,IFERROR(MATCH(AI$5,'Oxford Economics'!$A$6:$AZ$6,0),MATCH(AI$5&amp;"",'Oxford Economics'!$A$6:$AZ$6,0))),'Oxford Economics'!$A$7:$A$1000,$C55,'Oxford Economics'!$B$7:$B$1000,Settings!$B$13)+SUMIFS(INDEX('Oxford Economics'!$A$7:$AZ$1000,0,IFERROR(MATCH(AI$5,'Oxford Economics'!$A$6:$AZ$6,0),MATCH(AI$5&amp;"",'Oxford Economics'!$A$6:$AZ$6,0))),'Oxford Economics'!$A$7:$A$1000,$C55,'Oxford Economics'!$B$7:$B$1000,Settings!$B$15)+IF(Settings!$B$17="",0,SUMIFS(INDEX('Oxford Economics'!$A$7:$AZ$1000,0,IFERROR(MATCH(AI$5,'Oxford Economics'!$A$6:$AZ$6,0),MATCH(AI$5&amp;"",'Oxford Economics'!$A$6:$AZ$6,0))),'Oxford Economics'!$A$7:$A$1000,$C55,'Oxford Economics'!$B$7:$B$1000,Settings!$B$17)))),""))</f>
        <v/>
      </c>
      <c r="AJ55" s="37" t="str">
        <f aca="false">IF($A55="","",IFERROR(1/(1/IF($B55="Residential",SUMIFS(INDEX('Oxford Economics'!$A$7:$AZ$1000,0,IFERROR(MATCH(AJ$5,'Oxford Economics'!$A$6:$AZ$6,0),MATCH(AJ$5&amp;"",'Oxford Economics'!$A$6:$AZ$6,0))),'Oxford Economics'!$A$7:$A$1000,$C55,'Oxford Economics'!$B$7:$B$1000,Settings!$B$11)-SUMIFS(INDEX('Oxford Economics'!$A$7:$AZ$1000,0,IFERROR(MATCH(AJ$5,'Oxford Economics'!$A$6:$AZ$6,0),MATCH(AJ$5&amp;"",'Oxford Economics'!$A$6:$AZ$6,0))),'Oxford Economics'!$A$7:$A$1000,$C55,'Oxford Economics'!$B$7:$B$1000,Settings!$B$13),SUMIFS(INDEX('Oxford Economics'!$A$7:$AZ$1000,0,IFERROR(MATCH(AJ$5,'Oxford Economics'!$A$6:$AZ$6,0),MATCH(AJ$5&amp;"",'Oxford Economics'!$A$6:$AZ$6,0))),'Oxford Economics'!$A$7:$A$1000,$C55,'Oxford Economics'!$B$7:$B$1000,Settings!$B$13)+SUMIFS(INDEX('Oxford Economics'!$A$7:$AZ$1000,0,IFERROR(MATCH(AJ$5,'Oxford Economics'!$A$6:$AZ$6,0),MATCH(AJ$5&amp;"",'Oxford Economics'!$A$6:$AZ$6,0))),'Oxford Economics'!$A$7:$A$1000,$C55,'Oxford Economics'!$B$7:$B$1000,Settings!$B$15)+IF(Settings!$B$17="",0,SUMIFS(INDEX('Oxford Economics'!$A$7:$AZ$1000,0,IFERROR(MATCH(AJ$5,'Oxford Economics'!$A$6:$AZ$6,0),MATCH(AJ$5&amp;"",'Oxford Economics'!$A$6:$AZ$6,0))),'Oxford Economics'!$A$7:$A$1000,$C55,'Oxford Economics'!$B$7:$B$1000,Settings!$B$17)))),""))</f>
        <v/>
      </c>
      <c r="AK55" s="37" t="str">
        <f aca="false">IF($A55="","",IFERROR(1/(1/IF($B55="Residential",SUMIFS(INDEX('Oxford Economics'!$A$7:$AZ$1000,0,IFERROR(MATCH(AK$5,'Oxford Economics'!$A$6:$AZ$6,0),MATCH(AK$5&amp;"",'Oxford Economics'!$A$6:$AZ$6,0))),'Oxford Economics'!$A$7:$A$1000,$C55,'Oxford Economics'!$B$7:$B$1000,Settings!$B$11)-SUMIFS(INDEX('Oxford Economics'!$A$7:$AZ$1000,0,IFERROR(MATCH(AK$5,'Oxford Economics'!$A$6:$AZ$6,0),MATCH(AK$5&amp;"",'Oxford Economics'!$A$6:$AZ$6,0))),'Oxford Economics'!$A$7:$A$1000,$C55,'Oxford Economics'!$B$7:$B$1000,Settings!$B$13),SUMIFS(INDEX('Oxford Economics'!$A$7:$AZ$1000,0,IFERROR(MATCH(AK$5,'Oxford Economics'!$A$6:$AZ$6,0),MATCH(AK$5&amp;"",'Oxford Economics'!$A$6:$AZ$6,0))),'Oxford Economics'!$A$7:$A$1000,$C55,'Oxford Economics'!$B$7:$B$1000,Settings!$B$13)+SUMIFS(INDEX('Oxford Economics'!$A$7:$AZ$1000,0,IFERROR(MATCH(AK$5,'Oxford Economics'!$A$6:$AZ$6,0),MATCH(AK$5&amp;"",'Oxford Economics'!$A$6:$AZ$6,0))),'Oxford Economics'!$A$7:$A$1000,$C55,'Oxford Economics'!$B$7:$B$1000,Settings!$B$15)+IF(Settings!$B$17="",0,SUMIFS(INDEX('Oxford Economics'!$A$7:$AZ$1000,0,IFERROR(MATCH(AK$5,'Oxford Economics'!$A$6:$AZ$6,0),MATCH(AK$5&amp;"",'Oxford Economics'!$A$6:$AZ$6,0))),'Oxford Economics'!$A$7:$A$1000,$C55,'Oxford Economics'!$B$7:$B$1000,Settings!$B$17)))),""))</f>
        <v/>
      </c>
      <c r="AL55" s="37" t="str">
        <f aca="false">IF($A55="","",IFERROR(1/(1/IF($B55="Residential",SUMIFS(INDEX('Oxford Economics'!$A$7:$AZ$1000,0,IFERROR(MATCH(AL$5,'Oxford Economics'!$A$6:$AZ$6,0),MATCH(AL$5&amp;"",'Oxford Economics'!$A$6:$AZ$6,0))),'Oxford Economics'!$A$7:$A$1000,$C55,'Oxford Economics'!$B$7:$B$1000,Settings!$B$11)-SUMIFS(INDEX('Oxford Economics'!$A$7:$AZ$1000,0,IFERROR(MATCH(AL$5,'Oxford Economics'!$A$6:$AZ$6,0),MATCH(AL$5&amp;"",'Oxford Economics'!$A$6:$AZ$6,0))),'Oxford Economics'!$A$7:$A$1000,$C55,'Oxford Economics'!$B$7:$B$1000,Settings!$B$13),SUMIFS(INDEX('Oxford Economics'!$A$7:$AZ$1000,0,IFERROR(MATCH(AL$5,'Oxford Economics'!$A$6:$AZ$6,0),MATCH(AL$5&amp;"",'Oxford Economics'!$A$6:$AZ$6,0))),'Oxford Economics'!$A$7:$A$1000,$C55,'Oxford Economics'!$B$7:$B$1000,Settings!$B$13)+SUMIFS(INDEX('Oxford Economics'!$A$7:$AZ$1000,0,IFERROR(MATCH(AL$5,'Oxford Economics'!$A$6:$AZ$6,0),MATCH(AL$5&amp;"",'Oxford Economics'!$A$6:$AZ$6,0))),'Oxford Economics'!$A$7:$A$1000,$C55,'Oxford Economics'!$B$7:$B$1000,Settings!$B$15)+IF(Settings!$B$17="",0,SUMIFS(INDEX('Oxford Economics'!$A$7:$AZ$1000,0,IFERROR(MATCH(AL$5,'Oxford Economics'!$A$6:$AZ$6,0),MATCH(AL$5&amp;"",'Oxford Economics'!$A$6:$AZ$6,0))),'Oxford Economics'!$A$7:$A$1000,$C55,'Oxford Economics'!$B$7:$B$1000,Settings!$B$17)))),""))</f>
        <v/>
      </c>
      <c r="AM55" s="37" t="str">
        <f aca="false">IF($A55="","",IFERROR(1/(1/IF($B55="Residential",SUMIFS(INDEX('Oxford Economics'!$A$7:$AZ$1000,0,IFERROR(MATCH(AM$5,'Oxford Economics'!$A$6:$AZ$6,0),MATCH(AM$5&amp;"",'Oxford Economics'!$A$6:$AZ$6,0))),'Oxford Economics'!$A$7:$A$1000,$C55,'Oxford Economics'!$B$7:$B$1000,Settings!$B$11)-SUMIFS(INDEX('Oxford Economics'!$A$7:$AZ$1000,0,IFERROR(MATCH(AM$5,'Oxford Economics'!$A$6:$AZ$6,0),MATCH(AM$5&amp;"",'Oxford Economics'!$A$6:$AZ$6,0))),'Oxford Economics'!$A$7:$A$1000,$C55,'Oxford Economics'!$B$7:$B$1000,Settings!$B$13),SUMIFS(INDEX('Oxford Economics'!$A$7:$AZ$1000,0,IFERROR(MATCH(AM$5,'Oxford Economics'!$A$6:$AZ$6,0),MATCH(AM$5&amp;"",'Oxford Economics'!$A$6:$AZ$6,0))),'Oxford Economics'!$A$7:$A$1000,$C55,'Oxford Economics'!$B$7:$B$1000,Settings!$B$13)+SUMIFS(INDEX('Oxford Economics'!$A$7:$AZ$1000,0,IFERROR(MATCH(AM$5,'Oxford Economics'!$A$6:$AZ$6,0),MATCH(AM$5&amp;"",'Oxford Economics'!$A$6:$AZ$6,0))),'Oxford Economics'!$A$7:$A$1000,$C55,'Oxford Economics'!$B$7:$B$1000,Settings!$B$15)+IF(Settings!$B$17="",0,SUMIFS(INDEX('Oxford Economics'!$A$7:$AZ$1000,0,IFERROR(MATCH(AM$5,'Oxford Economics'!$A$6:$AZ$6,0),MATCH(AM$5&amp;"",'Oxford Economics'!$A$6:$AZ$6,0))),'Oxford Economics'!$A$7:$A$1000,$C55,'Oxford Economics'!$B$7:$B$1000,Settings!$B$17)))),""))</f>
        <v/>
      </c>
    </row>
    <row r="56" customFormat="false" ht="15" hidden="false" customHeight="false" outlineLevel="0" collapsed="false">
      <c r="A56" s="36" t="str">
        <f aca="false">IF('Raw data'!$A56="","",'Raw data'!$A56)</f>
        <v/>
      </c>
      <c r="B56" s="36" t="str">
        <f aca="false">IF($A56="","",'Raw data'!$C56)</f>
        <v/>
      </c>
      <c r="C56" s="36" t="str">
        <f aca="false">IF($A56="","",IF('Raw data'!$D56="",$A56,'Raw data'!$D56))</f>
        <v/>
      </c>
      <c r="D56" s="37" t="str">
        <f aca="false">IF($A56="","",IF(AND(ISNUMBER(P56),ISNUMBER(AB56)),P56+AB56,""))</f>
        <v/>
      </c>
      <c r="E56" s="37" t="str">
        <f aca="false">IF($A56="","",IF(AND(ISNUMBER(Q56),ISNUMBER(AC56)),Q56+AC56,""))</f>
        <v/>
      </c>
      <c r="F56" s="37" t="str">
        <f aca="false">IF($A56="","",IF(AND(ISNUMBER(R56),ISNUMBER(AD56)),R56+AD56,""))</f>
        <v/>
      </c>
      <c r="G56" s="37" t="str">
        <f aca="false">IF($A56="","",IF(AND(ISNUMBER(S56),ISNUMBER(AE56)),S56+AE56,""))</f>
        <v/>
      </c>
      <c r="H56" s="37" t="str">
        <f aca="false">IF($A56="","",IF(AND(ISNUMBER(T56),ISNUMBER(AF56)),T56+AF56,""))</f>
        <v/>
      </c>
      <c r="I56" s="37" t="str">
        <f aca="false">IF($A56="","",IF(AND(ISNUMBER(U56),ISNUMBER(AG56)),U56+AG56,""))</f>
        <v/>
      </c>
      <c r="J56" s="37" t="str">
        <f aca="false">IF($A56="","",IF(AND(ISNUMBER(V56),ISNUMBER(AH56)),V56+AH56,""))</f>
        <v/>
      </c>
      <c r="K56" s="37" t="str">
        <f aca="false">IF($A56="","",IF(AND(ISNUMBER(W56),ISNUMBER(AI56)),W56+AI56,""))</f>
        <v/>
      </c>
      <c r="L56" s="37" t="str">
        <f aca="false">IF($A56="","",IF(AND(ISNUMBER(X56),ISNUMBER(AJ56)),X56+AJ56,""))</f>
        <v/>
      </c>
      <c r="M56" s="37" t="str">
        <f aca="false">IF($A56="","",IF(AND(ISNUMBER(Y56),ISNUMBER(AK56)),Y56+AK56,""))</f>
        <v/>
      </c>
      <c r="N56" s="37" t="str">
        <f aca="false">IF($A56="","",IF(AND(ISNUMBER(Z56),ISNUMBER(AL56)),Z56+AL56,""))</f>
        <v/>
      </c>
      <c r="O56" s="37" t="str">
        <f aca="false">IF($A56="","",IF(AND(ISNUMBER(AA56),ISNUMBER(AM56)),AA56+AM56,""))</f>
        <v/>
      </c>
      <c r="P56" s="37" t="str">
        <f aca="false">IF($A56="","",IFERROR(1/(1/IF($B56="Residential",SUMIFS(INDEX('Oxford Economics'!$A$7:$AZ$1000,0,IFERROR(MATCH(P$5,'Oxford Economics'!$A$6:$AZ$6,0),MATCH(P$5&amp;"",'Oxford Economics'!$A$6:$AZ$6,0))),'Oxford Economics'!$A$7:$A$1000,$C56,'Oxford Economics'!$B$7:$B$1000,Settings!$B$12)-SUMIFS(INDEX('Oxford Economics'!$A$7:$AZ$1000,0,IFERROR(MATCH(P$5,'Oxford Economics'!$A$6:$AZ$6,0),MATCH(P$5&amp;"",'Oxford Economics'!$A$6:$AZ$6,0))),'Oxford Economics'!$A$7:$A$1000,$C56,'Oxford Economics'!$B$7:$B$1000,Settings!$B$14),SUMIFS(INDEX('Oxford Economics'!$A$7:$AZ$1000,0,IFERROR(MATCH(P$5,'Oxford Economics'!$A$6:$AZ$6,0),MATCH(P$5&amp;"",'Oxford Economics'!$A$6:$AZ$6,0))),'Oxford Economics'!$A$7:$A$1000,$C56,'Oxford Economics'!$B$7:$B$1000,Settings!$B$14)+SUMIFS(INDEX('Oxford Economics'!$A$7:$AZ$1000,0,IFERROR(MATCH(P$5,'Oxford Economics'!$A$6:$AZ$6,0),MATCH(P$5&amp;"",'Oxford Economics'!$A$6:$AZ$6,0))),'Oxford Economics'!$A$7:$A$1000,$C56,'Oxford Economics'!$B$7:$B$1000,Settings!$B$16)+IF(Settings!$B$18="",0,SUMIFS(INDEX('Oxford Economics'!$A$7:$AZ$1000,0,IFERROR(MATCH(P$5,'Oxford Economics'!$A$6:$AZ$6,0),MATCH(P$5&amp;"",'Oxford Economics'!$A$6:$AZ$6,0))),'Oxford Economics'!$A$7:$A$1000,$C56,'Oxford Economics'!$B$7:$B$1000,Settings!$B$18)))),""))</f>
        <v/>
      </c>
      <c r="Q56" s="37" t="str">
        <f aca="false">IF($A56="","",IFERROR(1/(1/IF($B56="Residential",SUMIFS(INDEX('Oxford Economics'!$A$7:$AZ$1000,0,IFERROR(MATCH(Q$5,'Oxford Economics'!$A$6:$AZ$6,0),MATCH(Q$5&amp;"",'Oxford Economics'!$A$6:$AZ$6,0))),'Oxford Economics'!$A$7:$A$1000,$C56,'Oxford Economics'!$B$7:$B$1000,Settings!$B$12)-SUMIFS(INDEX('Oxford Economics'!$A$7:$AZ$1000,0,IFERROR(MATCH(Q$5,'Oxford Economics'!$A$6:$AZ$6,0),MATCH(Q$5&amp;"",'Oxford Economics'!$A$6:$AZ$6,0))),'Oxford Economics'!$A$7:$A$1000,$C56,'Oxford Economics'!$B$7:$B$1000,Settings!$B$14),SUMIFS(INDEX('Oxford Economics'!$A$7:$AZ$1000,0,IFERROR(MATCH(Q$5,'Oxford Economics'!$A$6:$AZ$6,0),MATCH(Q$5&amp;"",'Oxford Economics'!$A$6:$AZ$6,0))),'Oxford Economics'!$A$7:$A$1000,$C56,'Oxford Economics'!$B$7:$B$1000,Settings!$B$14)+SUMIFS(INDEX('Oxford Economics'!$A$7:$AZ$1000,0,IFERROR(MATCH(Q$5,'Oxford Economics'!$A$6:$AZ$6,0),MATCH(Q$5&amp;"",'Oxford Economics'!$A$6:$AZ$6,0))),'Oxford Economics'!$A$7:$A$1000,$C56,'Oxford Economics'!$B$7:$B$1000,Settings!$B$16)+IF(Settings!$B$18="",0,SUMIFS(INDEX('Oxford Economics'!$A$7:$AZ$1000,0,IFERROR(MATCH(Q$5,'Oxford Economics'!$A$6:$AZ$6,0),MATCH(Q$5&amp;"",'Oxford Economics'!$A$6:$AZ$6,0))),'Oxford Economics'!$A$7:$A$1000,$C56,'Oxford Economics'!$B$7:$B$1000,Settings!$B$18)))),""))</f>
        <v/>
      </c>
      <c r="R56" s="37" t="str">
        <f aca="false">IF($A56="","",IFERROR(1/(1/IF($B56="Residential",SUMIFS(INDEX('Oxford Economics'!$A$7:$AZ$1000,0,IFERROR(MATCH(R$5,'Oxford Economics'!$A$6:$AZ$6,0),MATCH(R$5&amp;"",'Oxford Economics'!$A$6:$AZ$6,0))),'Oxford Economics'!$A$7:$A$1000,$C56,'Oxford Economics'!$B$7:$B$1000,Settings!$B$12)-SUMIFS(INDEX('Oxford Economics'!$A$7:$AZ$1000,0,IFERROR(MATCH(R$5,'Oxford Economics'!$A$6:$AZ$6,0),MATCH(R$5&amp;"",'Oxford Economics'!$A$6:$AZ$6,0))),'Oxford Economics'!$A$7:$A$1000,$C56,'Oxford Economics'!$B$7:$B$1000,Settings!$B$14),SUMIFS(INDEX('Oxford Economics'!$A$7:$AZ$1000,0,IFERROR(MATCH(R$5,'Oxford Economics'!$A$6:$AZ$6,0),MATCH(R$5&amp;"",'Oxford Economics'!$A$6:$AZ$6,0))),'Oxford Economics'!$A$7:$A$1000,$C56,'Oxford Economics'!$B$7:$B$1000,Settings!$B$14)+SUMIFS(INDEX('Oxford Economics'!$A$7:$AZ$1000,0,IFERROR(MATCH(R$5,'Oxford Economics'!$A$6:$AZ$6,0),MATCH(R$5&amp;"",'Oxford Economics'!$A$6:$AZ$6,0))),'Oxford Economics'!$A$7:$A$1000,$C56,'Oxford Economics'!$B$7:$B$1000,Settings!$B$16)+IF(Settings!$B$18="",0,SUMIFS(INDEX('Oxford Economics'!$A$7:$AZ$1000,0,IFERROR(MATCH(R$5,'Oxford Economics'!$A$6:$AZ$6,0),MATCH(R$5&amp;"",'Oxford Economics'!$A$6:$AZ$6,0))),'Oxford Economics'!$A$7:$A$1000,$C56,'Oxford Economics'!$B$7:$B$1000,Settings!$B$18)))),""))</f>
        <v/>
      </c>
      <c r="S56" s="37" t="str">
        <f aca="false">IF($A56="","",IFERROR(1/(1/IF($B56="Residential",SUMIFS(INDEX('Oxford Economics'!$A$7:$AZ$1000,0,IFERROR(MATCH(S$5,'Oxford Economics'!$A$6:$AZ$6,0),MATCH(S$5&amp;"",'Oxford Economics'!$A$6:$AZ$6,0))),'Oxford Economics'!$A$7:$A$1000,$C56,'Oxford Economics'!$B$7:$B$1000,Settings!$B$12)-SUMIFS(INDEX('Oxford Economics'!$A$7:$AZ$1000,0,IFERROR(MATCH(S$5,'Oxford Economics'!$A$6:$AZ$6,0),MATCH(S$5&amp;"",'Oxford Economics'!$A$6:$AZ$6,0))),'Oxford Economics'!$A$7:$A$1000,$C56,'Oxford Economics'!$B$7:$B$1000,Settings!$B$14),SUMIFS(INDEX('Oxford Economics'!$A$7:$AZ$1000,0,IFERROR(MATCH(S$5,'Oxford Economics'!$A$6:$AZ$6,0),MATCH(S$5&amp;"",'Oxford Economics'!$A$6:$AZ$6,0))),'Oxford Economics'!$A$7:$A$1000,$C56,'Oxford Economics'!$B$7:$B$1000,Settings!$B$14)+SUMIFS(INDEX('Oxford Economics'!$A$7:$AZ$1000,0,IFERROR(MATCH(S$5,'Oxford Economics'!$A$6:$AZ$6,0),MATCH(S$5&amp;"",'Oxford Economics'!$A$6:$AZ$6,0))),'Oxford Economics'!$A$7:$A$1000,$C56,'Oxford Economics'!$B$7:$B$1000,Settings!$B$16)+IF(Settings!$B$18="",0,SUMIFS(INDEX('Oxford Economics'!$A$7:$AZ$1000,0,IFERROR(MATCH(S$5,'Oxford Economics'!$A$6:$AZ$6,0),MATCH(S$5&amp;"",'Oxford Economics'!$A$6:$AZ$6,0))),'Oxford Economics'!$A$7:$A$1000,$C56,'Oxford Economics'!$B$7:$B$1000,Settings!$B$18)))),""))</f>
        <v/>
      </c>
      <c r="T56" s="37" t="str">
        <f aca="false">IF($A56="","",IFERROR(1/(1/IF($B56="Residential",SUMIFS(INDEX('Oxford Economics'!$A$7:$AZ$1000,0,IFERROR(MATCH(T$5,'Oxford Economics'!$A$6:$AZ$6,0),MATCH(T$5&amp;"",'Oxford Economics'!$A$6:$AZ$6,0))),'Oxford Economics'!$A$7:$A$1000,$C56,'Oxford Economics'!$B$7:$B$1000,Settings!$B$12)-SUMIFS(INDEX('Oxford Economics'!$A$7:$AZ$1000,0,IFERROR(MATCH(T$5,'Oxford Economics'!$A$6:$AZ$6,0),MATCH(T$5&amp;"",'Oxford Economics'!$A$6:$AZ$6,0))),'Oxford Economics'!$A$7:$A$1000,$C56,'Oxford Economics'!$B$7:$B$1000,Settings!$B$14),SUMIFS(INDEX('Oxford Economics'!$A$7:$AZ$1000,0,IFERROR(MATCH(T$5,'Oxford Economics'!$A$6:$AZ$6,0),MATCH(T$5&amp;"",'Oxford Economics'!$A$6:$AZ$6,0))),'Oxford Economics'!$A$7:$A$1000,$C56,'Oxford Economics'!$B$7:$B$1000,Settings!$B$14)+SUMIFS(INDEX('Oxford Economics'!$A$7:$AZ$1000,0,IFERROR(MATCH(T$5,'Oxford Economics'!$A$6:$AZ$6,0),MATCH(T$5&amp;"",'Oxford Economics'!$A$6:$AZ$6,0))),'Oxford Economics'!$A$7:$A$1000,$C56,'Oxford Economics'!$B$7:$B$1000,Settings!$B$16)+IF(Settings!$B$18="",0,SUMIFS(INDEX('Oxford Economics'!$A$7:$AZ$1000,0,IFERROR(MATCH(T$5,'Oxford Economics'!$A$6:$AZ$6,0),MATCH(T$5&amp;"",'Oxford Economics'!$A$6:$AZ$6,0))),'Oxford Economics'!$A$7:$A$1000,$C56,'Oxford Economics'!$B$7:$B$1000,Settings!$B$18)))),""))</f>
        <v/>
      </c>
      <c r="U56" s="37" t="str">
        <f aca="false">IF($A56="","",IFERROR(1/(1/IF($B56="Residential",SUMIFS(INDEX('Oxford Economics'!$A$7:$AZ$1000,0,IFERROR(MATCH(U$5,'Oxford Economics'!$A$6:$AZ$6,0),MATCH(U$5&amp;"",'Oxford Economics'!$A$6:$AZ$6,0))),'Oxford Economics'!$A$7:$A$1000,$C56,'Oxford Economics'!$B$7:$B$1000,Settings!$B$12)-SUMIFS(INDEX('Oxford Economics'!$A$7:$AZ$1000,0,IFERROR(MATCH(U$5,'Oxford Economics'!$A$6:$AZ$6,0),MATCH(U$5&amp;"",'Oxford Economics'!$A$6:$AZ$6,0))),'Oxford Economics'!$A$7:$A$1000,$C56,'Oxford Economics'!$B$7:$B$1000,Settings!$B$14),SUMIFS(INDEX('Oxford Economics'!$A$7:$AZ$1000,0,IFERROR(MATCH(U$5,'Oxford Economics'!$A$6:$AZ$6,0),MATCH(U$5&amp;"",'Oxford Economics'!$A$6:$AZ$6,0))),'Oxford Economics'!$A$7:$A$1000,$C56,'Oxford Economics'!$B$7:$B$1000,Settings!$B$14)+SUMIFS(INDEX('Oxford Economics'!$A$7:$AZ$1000,0,IFERROR(MATCH(U$5,'Oxford Economics'!$A$6:$AZ$6,0),MATCH(U$5&amp;"",'Oxford Economics'!$A$6:$AZ$6,0))),'Oxford Economics'!$A$7:$A$1000,$C56,'Oxford Economics'!$B$7:$B$1000,Settings!$B$16)+IF(Settings!$B$18="",0,SUMIFS(INDEX('Oxford Economics'!$A$7:$AZ$1000,0,IFERROR(MATCH(U$5,'Oxford Economics'!$A$6:$AZ$6,0),MATCH(U$5&amp;"",'Oxford Economics'!$A$6:$AZ$6,0))),'Oxford Economics'!$A$7:$A$1000,$C56,'Oxford Economics'!$B$7:$B$1000,Settings!$B$18)))),""))</f>
        <v/>
      </c>
      <c r="V56" s="37" t="str">
        <f aca="false">IF($A56="","",IFERROR(1/(1/IF($B56="Residential",SUMIFS(INDEX('Oxford Economics'!$A$7:$AZ$1000,0,IFERROR(MATCH(V$5,'Oxford Economics'!$A$6:$AZ$6,0),MATCH(V$5&amp;"",'Oxford Economics'!$A$6:$AZ$6,0))),'Oxford Economics'!$A$7:$A$1000,$C56,'Oxford Economics'!$B$7:$B$1000,Settings!$B$12)-SUMIFS(INDEX('Oxford Economics'!$A$7:$AZ$1000,0,IFERROR(MATCH(V$5,'Oxford Economics'!$A$6:$AZ$6,0),MATCH(V$5&amp;"",'Oxford Economics'!$A$6:$AZ$6,0))),'Oxford Economics'!$A$7:$A$1000,$C56,'Oxford Economics'!$B$7:$B$1000,Settings!$B$14),SUMIFS(INDEX('Oxford Economics'!$A$7:$AZ$1000,0,IFERROR(MATCH(V$5,'Oxford Economics'!$A$6:$AZ$6,0),MATCH(V$5&amp;"",'Oxford Economics'!$A$6:$AZ$6,0))),'Oxford Economics'!$A$7:$A$1000,$C56,'Oxford Economics'!$B$7:$B$1000,Settings!$B$14)+SUMIFS(INDEX('Oxford Economics'!$A$7:$AZ$1000,0,IFERROR(MATCH(V$5,'Oxford Economics'!$A$6:$AZ$6,0),MATCH(V$5&amp;"",'Oxford Economics'!$A$6:$AZ$6,0))),'Oxford Economics'!$A$7:$A$1000,$C56,'Oxford Economics'!$B$7:$B$1000,Settings!$B$16)+IF(Settings!$B$18="",0,SUMIFS(INDEX('Oxford Economics'!$A$7:$AZ$1000,0,IFERROR(MATCH(V$5,'Oxford Economics'!$A$6:$AZ$6,0),MATCH(V$5&amp;"",'Oxford Economics'!$A$6:$AZ$6,0))),'Oxford Economics'!$A$7:$A$1000,$C56,'Oxford Economics'!$B$7:$B$1000,Settings!$B$18)))),""))</f>
        <v/>
      </c>
      <c r="W56" s="37" t="str">
        <f aca="false">IF($A56="","",IFERROR(1/(1/IF($B56="Residential",SUMIFS(INDEX('Oxford Economics'!$A$7:$AZ$1000,0,IFERROR(MATCH(W$5,'Oxford Economics'!$A$6:$AZ$6,0),MATCH(W$5&amp;"",'Oxford Economics'!$A$6:$AZ$6,0))),'Oxford Economics'!$A$7:$A$1000,$C56,'Oxford Economics'!$B$7:$B$1000,Settings!$B$12)-SUMIFS(INDEX('Oxford Economics'!$A$7:$AZ$1000,0,IFERROR(MATCH(W$5,'Oxford Economics'!$A$6:$AZ$6,0),MATCH(W$5&amp;"",'Oxford Economics'!$A$6:$AZ$6,0))),'Oxford Economics'!$A$7:$A$1000,$C56,'Oxford Economics'!$B$7:$B$1000,Settings!$B$14),SUMIFS(INDEX('Oxford Economics'!$A$7:$AZ$1000,0,IFERROR(MATCH(W$5,'Oxford Economics'!$A$6:$AZ$6,0),MATCH(W$5&amp;"",'Oxford Economics'!$A$6:$AZ$6,0))),'Oxford Economics'!$A$7:$A$1000,$C56,'Oxford Economics'!$B$7:$B$1000,Settings!$B$14)+SUMIFS(INDEX('Oxford Economics'!$A$7:$AZ$1000,0,IFERROR(MATCH(W$5,'Oxford Economics'!$A$6:$AZ$6,0),MATCH(W$5&amp;"",'Oxford Economics'!$A$6:$AZ$6,0))),'Oxford Economics'!$A$7:$A$1000,$C56,'Oxford Economics'!$B$7:$B$1000,Settings!$B$16)+IF(Settings!$B$18="",0,SUMIFS(INDEX('Oxford Economics'!$A$7:$AZ$1000,0,IFERROR(MATCH(W$5,'Oxford Economics'!$A$6:$AZ$6,0),MATCH(W$5&amp;"",'Oxford Economics'!$A$6:$AZ$6,0))),'Oxford Economics'!$A$7:$A$1000,$C56,'Oxford Economics'!$B$7:$B$1000,Settings!$B$18)))),""))</f>
        <v/>
      </c>
      <c r="X56" s="37" t="str">
        <f aca="false">IF($A56="","",IFERROR(1/(1/IF($B56="Residential",SUMIFS(INDEX('Oxford Economics'!$A$7:$AZ$1000,0,IFERROR(MATCH(X$5,'Oxford Economics'!$A$6:$AZ$6,0),MATCH(X$5&amp;"",'Oxford Economics'!$A$6:$AZ$6,0))),'Oxford Economics'!$A$7:$A$1000,$C56,'Oxford Economics'!$B$7:$B$1000,Settings!$B$12)-SUMIFS(INDEX('Oxford Economics'!$A$7:$AZ$1000,0,IFERROR(MATCH(X$5,'Oxford Economics'!$A$6:$AZ$6,0),MATCH(X$5&amp;"",'Oxford Economics'!$A$6:$AZ$6,0))),'Oxford Economics'!$A$7:$A$1000,$C56,'Oxford Economics'!$B$7:$B$1000,Settings!$B$14),SUMIFS(INDEX('Oxford Economics'!$A$7:$AZ$1000,0,IFERROR(MATCH(X$5,'Oxford Economics'!$A$6:$AZ$6,0),MATCH(X$5&amp;"",'Oxford Economics'!$A$6:$AZ$6,0))),'Oxford Economics'!$A$7:$A$1000,$C56,'Oxford Economics'!$B$7:$B$1000,Settings!$B$14)+SUMIFS(INDEX('Oxford Economics'!$A$7:$AZ$1000,0,IFERROR(MATCH(X$5,'Oxford Economics'!$A$6:$AZ$6,0),MATCH(X$5&amp;"",'Oxford Economics'!$A$6:$AZ$6,0))),'Oxford Economics'!$A$7:$A$1000,$C56,'Oxford Economics'!$B$7:$B$1000,Settings!$B$16)+IF(Settings!$B$18="",0,SUMIFS(INDEX('Oxford Economics'!$A$7:$AZ$1000,0,IFERROR(MATCH(X$5,'Oxford Economics'!$A$6:$AZ$6,0),MATCH(X$5&amp;"",'Oxford Economics'!$A$6:$AZ$6,0))),'Oxford Economics'!$A$7:$A$1000,$C56,'Oxford Economics'!$B$7:$B$1000,Settings!$B$18)))),""))</f>
        <v/>
      </c>
      <c r="Y56" s="37" t="str">
        <f aca="false">IF($A56="","",IFERROR(1/(1/IF($B56="Residential",SUMIFS(INDEX('Oxford Economics'!$A$7:$AZ$1000,0,IFERROR(MATCH(Y$5,'Oxford Economics'!$A$6:$AZ$6,0),MATCH(Y$5&amp;"",'Oxford Economics'!$A$6:$AZ$6,0))),'Oxford Economics'!$A$7:$A$1000,$C56,'Oxford Economics'!$B$7:$B$1000,Settings!$B$12)-SUMIFS(INDEX('Oxford Economics'!$A$7:$AZ$1000,0,IFERROR(MATCH(Y$5,'Oxford Economics'!$A$6:$AZ$6,0),MATCH(Y$5&amp;"",'Oxford Economics'!$A$6:$AZ$6,0))),'Oxford Economics'!$A$7:$A$1000,$C56,'Oxford Economics'!$B$7:$B$1000,Settings!$B$14),SUMIFS(INDEX('Oxford Economics'!$A$7:$AZ$1000,0,IFERROR(MATCH(Y$5,'Oxford Economics'!$A$6:$AZ$6,0),MATCH(Y$5&amp;"",'Oxford Economics'!$A$6:$AZ$6,0))),'Oxford Economics'!$A$7:$A$1000,$C56,'Oxford Economics'!$B$7:$B$1000,Settings!$B$14)+SUMIFS(INDEX('Oxford Economics'!$A$7:$AZ$1000,0,IFERROR(MATCH(Y$5,'Oxford Economics'!$A$6:$AZ$6,0),MATCH(Y$5&amp;"",'Oxford Economics'!$A$6:$AZ$6,0))),'Oxford Economics'!$A$7:$A$1000,$C56,'Oxford Economics'!$B$7:$B$1000,Settings!$B$16)+IF(Settings!$B$18="",0,SUMIFS(INDEX('Oxford Economics'!$A$7:$AZ$1000,0,IFERROR(MATCH(Y$5,'Oxford Economics'!$A$6:$AZ$6,0),MATCH(Y$5&amp;"",'Oxford Economics'!$A$6:$AZ$6,0))),'Oxford Economics'!$A$7:$A$1000,$C56,'Oxford Economics'!$B$7:$B$1000,Settings!$B$18)))),""))</f>
        <v/>
      </c>
      <c r="Z56" s="37" t="str">
        <f aca="false">IF($A56="","",IFERROR(1/(1/IF($B56="Residential",SUMIFS(INDEX('Oxford Economics'!$A$7:$AZ$1000,0,IFERROR(MATCH(Z$5,'Oxford Economics'!$A$6:$AZ$6,0),MATCH(Z$5&amp;"",'Oxford Economics'!$A$6:$AZ$6,0))),'Oxford Economics'!$A$7:$A$1000,$C56,'Oxford Economics'!$B$7:$B$1000,Settings!$B$12)-SUMIFS(INDEX('Oxford Economics'!$A$7:$AZ$1000,0,IFERROR(MATCH(Z$5,'Oxford Economics'!$A$6:$AZ$6,0),MATCH(Z$5&amp;"",'Oxford Economics'!$A$6:$AZ$6,0))),'Oxford Economics'!$A$7:$A$1000,$C56,'Oxford Economics'!$B$7:$B$1000,Settings!$B$14),SUMIFS(INDEX('Oxford Economics'!$A$7:$AZ$1000,0,IFERROR(MATCH(Z$5,'Oxford Economics'!$A$6:$AZ$6,0),MATCH(Z$5&amp;"",'Oxford Economics'!$A$6:$AZ$6,0))),'Oxford Economics'!$A$7:$A$1000,$C56,'Oxford Economics'!$B$7:$B$1000,Settings!$B$14)+SUMIFS(INDEX('Oxford Economics'!$A$7:$AZ$1000,0,IFERROR(MATCH(Z$5,'Oxford Economics'!$A$6:$AZ$6,0),MATCH(Z$5&amp;"",'Oxford Economics'!$A$6:$AZ$6,0))),'Oxford Economics'!$A$7:$A$1000,$C56,'Oxford Economics'!$B$7:$B$1000,Settings!$B$16)+IF(Settings!$B$18="",0,SUMIFS(INDEX('Oxford Economics'!$A$7:$AZ$1000,0,IFERROR(MATCH(Z$5,'Oxford Economics'!$A$6:$AZ$6,0),MATCH(Z$5&amp;"",'Oxford Economics'!$A$6:$AZ$6,0))),'Oxford Economics'!$A$7:$A$1000,$C56,'Oxford Economics'!$B$7:$B$1000,Settings!$B$18)))),""))</f>
        <v/>
      </c>
      <c r="AA56" s="37" t="str">
        <f aca="false">IF($A56="","",IFERROR(1/(1/IF($B56="Residential",SUMIFS(INDEX('Oxford Economics'!$A$7:$AZ$1000,0,IFERROR(MATCH(AA$5,'Oxford Economics'!$A$6:$AZ$6,0),MATCH(AA$5&amp;"",'Oxford Economics'!$A$6:$AZ$6,0))),'Oxford Economics'!$A$7:$A$1000,$C56,'Oxford Economics'!$B$7:$B$1000,Settings!$B$12)-SUMIFS(INDEX('Oxford Economics'!$A$7:$AZ$1000,0,IFERROR(MATCH(AA$5,'Oxford Economics'!$A$6:$AZ$6,0),MATCH(AA$5&amp;"",'Oxford Economics'!$A$6:$AZ$6,0))),'Oxford Economics'!$A$7:$A$1000,$C56,'Oxford Economics'!$B$7:$B$1000,Settings!$B$14),SUMIFS(INDEX('Oxford Economics'!$A$7:$AZ$1000,0,IFERROR(MATCH(AA$5,'Oxford Economics'!$A$6:$AZ$6,0),MATCH(AA$5&amp;"",'Oxford Economics'!$A$6:$AZ$6,0))),'Oxford Economics'!$A$7:$A$1000,$C56,'Oxford Economics'!$B$7:$B$1000,Settings!$B$14)+SUMIFS(INDEX('Oxford Economics'!$A$7:$AZ$1000,0,IFERROR(MATCH(AA$5,'Oxford Economics'!$A$6:$AZ$6,0),MATCH(AA$5&amp;"",'Oxford Economics'!$A$6:$AZ$6,0))),'Oxford Economics'!$A$7:$A$1000,$C56,'Oxford Economics'!$B$7:$B$1000,Settings!$B$16)+IF(Settings!$B$18="",0,SUMIFS(INDEX('Oxford Economics'!$A$7:$AZ$1000,0,IFERROR(MATCH(AA$5,'Oxford Economics'!$A$6:$AZ$6,0),MATCH(AA$5&amp;"",'Oxford Economics'!$A$6:$AZ$6,0))),'Oxford Economics'!$A$7:$A$1000,$C56,'Oxford Economics'!$B$7:$B$1000,Settings!$B$18)))),""))</f>
        <v/>
      </c>
      <c r="AB56" s="37" t="str">
        <f aca="false">IF($A56="","",IFERROR(1/(1/IF($B56="Residential",SUMIFS(INDEX('Oxford Economics'!$A$7:$AZ$1000,0,IFERROR(MATCH(AB$5,'Oxford Economics'!$A$6:$AZ$6,0),MATCH(AB$5&amp;"",'Oxford Economics'!$A$6:$AZ$6,0))),'Oxford Economics'!$A$7:$A$1000,$C56,'Oxford Economics'!$B$7:$B$1000,Settings!$B$11)-SUMIFS(INDEX('Oxford Economics'!$A$7:$AZ$1000,0,IFERROR(MATCH(AB$5,'Oxford Economics'!$A$6:$AZ$6,0),MATCH(AB$5&amp;"",'Oxford Economics'!$A$6:$AZ$6,0))),'Oxford Economics'!$A$7:$A$1000,$C56,'Oxford Economics'!$B$7:$B$1000,Settings!$B$13),SUMIFS(INDEX('Oxford Economics'!$A$7:$AZ$1000,0,IFERROR(MATCH(AB$5,'Oxford Economics'!$A$6:$AZ$6,0),MATCH(AB$5&amp;"",'Oxford Economics'!$A$6:$AZ$6,0))),'Oxford Economics'!$A$7:$A$1000,$C56,'Oxford Economics'!$B$7:$B$1000,Settings!$B$13)+SUMIFS(INDEX('Oxford Economics'!$A$7:$AZ$1000,0,IFERROR(MATCH(AB$5,'Oxford Economics'!$A$6:$AZ$6,0),MATCH(AB$5&amp;"",'Oxford Economics'!$A$6:$AZ$6,0))),'Oxford Economics'!$A$7:$A$1000,$C56,'Oxford Economics'!$B$7:$B$1000,Settings!$B$15)+IF(Settings!$B$17="",0,SUMIFS(INDEX('Oxford Economics'!$A$7:$AZ$1000,0,IFERROR(MATCH(AB$5,'Oxford Economics'!$A$6:$AZ$6,0),MATCH(AB$5&amp;"",'Oxford Economics'!$A$6:$AZ$6,0))),'Oxford Economics'!$A$7:$A$1000,$C56,'Oxford Economics'!$B$7:$B$1000,Settings!$B$17)))),""))</f>
        <v/>
      </c>
      <c r="AC56" s="37" t="str">
        <f aca="false">IF($A56="","",IFERROR(1/(1/IF($B56="Residential",SUMIFS(INDEX('Oxford Economics'!$A$7:$AZ$1000,0,IFERROR(MATCH(AC$5,'Oxford Economics'!$A$6:$AZ$6,0),MATCH(AC$5&amp;"",'Oxford Economics'!$A$6:$AZ$6,0))),'Oxford Economics'!$A$7:$A$1000,$C56,'Oxford Economics'!$B$7:$B$1000,Settings!$B$11)-SUMIFS(INDEX('Oxford Economics'!$A$7:$AZ$1000,0,IFERROR(MATCH(AC$5,'Oxford Economics'!$A$6:$AZ$6,0),MATCH(AC$5&amp;"",'Oxford Economics'!$A$6:$AZ$6,0))),'Oxford Economics'!$A$7:$A$1000,$C56,'Oxford Economics'!$B$7:$B$1000,Settings!$B$13),SUMIFS(INDEX('Oxford Economics'!$A$7:$AZ$1000,0,IFERROR(MATCH(AC$5,'Oxford Economics'!$A$6:$AZ$6,0),MATCH(AC$5&amp;"",'Oxford Economics'!$A$6:$AZ$6,0))),'Oxford Economics'!$A$7:$A$1000,$C56,'Oxford Economics'!$B$7:$B$1000,Settings!$B$13)+SUMIFS(INDEX('Oxford Economics'!$A$7:$AZ$1000,0,IFERROR(MATCH(AC$5,'Oxford Economics'!$A$6:$AZ$6,0),MATCH(AC$5&amp;"",'Oxford Economics'!$A$6:$AZ$6,0))),'Oxford Economics'!$A$7:$A$1000,$C56,'Oxford Economics'!$B$7:$B$1000,Settings!$B$15)+IF(Settings!$B$17="",0,SUMIFS(INDEX('Oxford Economics'!$A$7:$AZ$1000,0,IFERROR(MATCH(AC$5,'Oxford Economics'!$A$6:$AZ$6,0),MATCH(AC$5&amp;"",'Oxford Economics'!$A$6:$AZ$6,0))),'Oxford Economics'!$A$7:$A$1000,$C56,'Oxford Economics'!$B$7:$B$1000,Settings!$B$17)))),""))</f>
        <v/>
      </c>
      <c r="AD56" s="37" t="str">
        <f aca="false">IF($A56="","",IFERROR(1/(1/IF($B56="Residential",SUMIFS(INDEX('Oxford Economics'!$A$7:$AZ$1000,0,IFERROR(MATCH(AD$5,'Oxford Economics'!$A$6:$AZ$6,0),MATCH(AD$5&amp;"",'Oxford Economics'!$A$6:$AZ$6,0))),'Oxford Economics'!$A$7:$A$1000,$C56,'Oxford Economics'!$B$7:$B$1000,Settings!$B$11)-SUMIFS(INDEX('Oxford Economics'!$A$7:$AZ$1000,0,IFERROR(MATCH(AD$5,'Oxford Economics'!$A$6:$AZ$6,0),MATCH(AD$5&amp;"",'Oxford Economics'!$A$6:$AZ$6,0))),'Oxford Economics'!$A$7:$A$1000,$C56,'Oxford Economics'!$B$7:$B$1000,Settings!$B$13),SUMIFS(INDEX('Oxford Economics'!$A$7:$AZ$1000,0,IFERROR(MATCH(AD$5,'Oxford Economics'!$A$6:$AZ$6,0),MATCH(AD$5&amp;"",'Oxford Economics'!$A$6:$AZ$6,0))),'Oxford Economics'!$A$7:$A$1000,$C56,'Oxford Economics'!$B$7:$B$1000,Settings!$B$13)+SUMIFS(INDEX('Oxford Economics'!$A$7:$AZ$1000,0,IFERROR(MATCH(AD$5,'Oxford Economics'!$A$6:$AZ$6,0),MATCH(AD$5&amp;"",'Oxford Economics'!$A$6:$AZ$6,0))),'Oxford Economics'!$A$7:$A$1000,$C56,'Oxford Economics'!$B$7:$B$1000,Settings!$B$15)+IF(Settings!$B$17="",0,SUMIFS(INDEX('Oxford Economics'!$A$7:$AZ$1000,0,IFERROR(MATCH(AD$5,'Oxford Economics'!$A$6:$AZ$6,0),MATCH(AD$5&amp;"",'Oxford Economics'!$A$6:$AZ$6,0))),'Oxford Economics'!$A$7:$A$1000,$C56,'Oxford Economics'!$B$7:$B$1000,Settings!$B$17)))),""))</f>
        <v/>
      </c>
      <c r="AE56" s="37" t="str">
        <f aca="false">IF($A56="","",IFERROR(1/(1/IF($B56="Residential",SUMIFS(INDEX('Oxford Economics'!$A$7:$AZ$1000,0,IFERROR(MATCH(AE$5,'Oxford Economics'!$A$6:$AZ$6,0),MATCH(AE$5&amp;"",'Oxford Economics'!$A$6:$AZ$6,0))),'Oxford Economics'!$A$7:$A$1000,$C56,'Oxford Economics'!$B$7:$B$1000,Settings!$B$11)-SUMIFS(INDEX('Oxford Economics'!$A$7:$AZ$1000,0,IFERROR(MATCH(AE$5,'Oxford Economics'!$A$6:$AZ$6,0),MATCH(AE$5&amp;"",'Oxford Economics'!$A$6:$AZ$6,0))),'Oxford Economics'!$A$7:$A$1000,$C56,'Oxford Economics'!$B$7:$B$1000,Settings!$B$13),SUMIFS(INDEX('Oxford Economics'!$A$7:$AZ$1000,0,IFERROR(MATCH(AE$5,'Oxford Economics'!$A$6:$AZ$6,0),MATCH(AE$5&amp;"",'Oxford Economics'!$A$6:$AZ$6,0))),'Oxford Economics'!$A$7:$A$1000,$C56,'Oxford Economics'!$B$7:$B$1000,Settings!$B$13)+SUMIFS(INDEX('Oxford Economics'!$A$7:$AZ$1000,0,IFERROR(MATCH(AE$5,'Oxford Economics'!$A$6:$AZ$6,0),MATCH(AE$5&amp;"",'Oxford Economics'!$A$6:$AZ$6,0))),'Oxford Economics'!$A$7:$A$1000,$C56,'Oxford Economics'!$B$7:$B$1000,Settings!$B$15)+IF(Settings!$B$17="",0,SUMIFS(INDEX('Oxford Economics'!$A$7:$AZ$1000,0,IFERROR(MATCH(AE$5,'Oxford Economics'!$A$6:$AZ$6,0),MATCH(AE$5&amp;"",'Oxford Economics'!$A$6:$AZ$6,0))),'Oxford Economics'!$A$7:$A$1000,$C56,'Oxford Economics'!$B$7:$B$1000,Settings!$B$17)))),""))</f>
        <v/>
      </c>
      <c r="AF56" s="37" t="str">
        <f aca="false">IF($A56="","",IFERROR(1/(1/IF($B56="Residential",SUMIFS(INDEX('Oxford Economics'!$A$7:$AZ$1000,0,IFERROR(MATCH(AF$5,'Oxford Economics'!$A$6:$AZ$6,0),MATCH(AF$5&amp;"",'Oxford Economics'!$A$6:$AZ$6,0))),'Oxford Economics'!$A$7:$A$1000,$C56,'Oxford Economics'!$B$7:$B$1000,Settings!$B$11)-SUMIFS(INDEX('Oxford Economics'!$A$7:$AZ$1000,0,IFERROR(MATCH(AF$5,'Oxford Economics'!$A$6:$AZ$6,0),MATCH(AF$5&amp;"",'Oxford Economics'!$A$6:$AZ$6,0))),'Oxford Economics'!$A$7:$A$1000,$C56,'Oxford Economics'!$B$7:$B$1000,Settings!$B$13),SUMIFS(INDEX('Oxford Economics'!$A$7:$AZ$1000,0,IFERROR(MATCH(AF$5,'Oxford Economics'!$A$6:$AZ$6,0),MATCH(AF$5&amp;"",'Oxford Economics'!$A$6:$AZ$6,0))),'Oxford Economics'!$A$7:$A$1000,$C56,'Oxford Economics'!$B$7:$B$1000,Settings!$B$13)+SUMIFS(INDEX('Oxford Economics'!$A$7:$AZ$1000,0,IFERROR(MATCH(AF$5,'Oxford Economics'!$A$6:$AZ$6,0),MATCH(AF$5&amp;"",'Oxford Economics'!$A$6:$AZ$6,0))),'Oxford Economics'!$A$7:$A$1000,$C56,'Oxford Economics'!$B$7:$B$1000,Settings!$B$15)+IF(Settings!$B$17="",0,SUMIFS(INDEX('Oxford Economics'!$A$7:$AZ$1000,0,IFERROR(MATCH(AF$5,'Oxford Economics'!$A$6:$AZ$6,0),MATCH(AF$5&amp;"",'Oxford Economics'!$A$6:$AZ$6,0))),'Oxford Economics'!$A$7:$A$1000,$C56,'Oxford Economics'!$B$7:$B$1000,Settings!$B$17)))),""))</f>
        <v/>
      </c>
      <c r="AG56" s="37" t="str">
        <f aca="false">IF($A56="","",IFERROR(1/(1/IF($B56="Residential",SUMIFS(INDEX('Oxford Economics'!$A$7:$AZ$1000,0,IFERROR(MATCH(AG$5,'Oxford Economics'!$A$6:$AZ$6,0),MATCH(AG$5&amp;"",'Oxford Economics'!$A$6:$AZ$6,0))),'Oxford Economics'!$A$7:$A$1000,$C56,'Oxford Economics'!$B$7:$B$1000,Settings!$B$11)-SUMIFS(INDEX('Oxford Economics'!$A$7:$AZ$1000,0,IFERROR(MATCH(AG$5,'Oxford Economics'!$A$6:$AZ$6,0),MATCH(AG$5&amp;"",'Oxford Economics'!$A$6:$AZ$6,0))),'Oxford Economics'!$A$7:$A$1000,$C56,'Oxford Economics'!$B$7:$B$1000,Settings!$B$13),SUMIFS(INDEX('Oxford Economics'!$A$7:$AZ$1000,0,IFERROR(MATCH(AG$5,'Oxford Economics'!$A$6:$AZ$6,0),MATCH(AG$5&amp;"",'Oxford Economics'!$A$6:$AZ$6,0))),'Oxford Economics'!$A$7:$A$1000,$C56,'Oxford Economics'!$B$7:$B$1000,Settings!$B$13)+SUMIFS(INDEX('Oxford Economics'!$A$7:$AZ$1000,0,IFERROR(MATCH(AG$5,'Oxford Economics'!$A$6:$AZ$6,0),MATCH(AG$5&amp;"",'Oxford Economics'!$A$6:$AZ$6,0))),'Oxford Economics'!$A$7:$A$1000,$C56,'Oxford Economics'!$B$7:$B$1000,Settings!$B$15)+IF(Settings!$B$17="",0,SUMIFS(INDEX('Oxford Economics'!$A$7:$AZ$1000,0,IFERROR(MATCH(AG$5,'Oxford Economics'!$A$6:$AZ$6,0),MATCH(AG$5&amp;"",'Oxford Economics'!$A$6:$AZ$6,0))),'Oxford Economics'!$A$7:$A$1000,$C56,'Oxford Economics'!$B$7:$B$1000,Settings!$B$17)))),""))</f>
        <v/>
      </c>
      <c r="AH56" s="37" t="str">
        <f aca="false">IF($A56="","",IFERROR(1/(1/IF($B56="Residential",SUMIFS(INDEX('Oxford Economics'!$A$7:$AZ$1000,0,IFERROR(MATCH(AH$5,'Oxford Economics'!$A$6:$AZ$6,0),MATCH(AH$5&amp;"",'Oxford Economics'!$A$6:$AZ$6,0))),'Oxford Economics'!$A$7:$A$1000,$C56,'Oxford Economics'!$B$7:$B$1000,Settings!$B$11)-SUMIFS(INDEX('Oxford Economics'!$A$7:$AZ$1000,0,IFERROR(MATCH(AH$5,'Oxford Economics'!$A$6:$AZ$6,0),MATCH(AH$5&amp;"",'Oxford Economics'!$A$6:$AZ$6,0))),'Oxford Economics'!$A$7:$A$1000,$C56,'Oxford Economics'!$B$7:$B$1000,Settings!$B$13),SUMIFS(INDEX('Oxford Economics'!$A$7:$AZ$1000,0,IFERROR(MATCH(AH$5,'Oxford Economics'!$A$6:$AZ$6,0),MATCH(AH$5&amp;"",'Oxford Economics'!$A$6:$AZ$6,0))),'Oxford Economics'!$A$7:$A$1000,$C56,'Oxford Economics'!$B$7:$B$1000,Settings!$B$13)+SUMIFS(INDEX('Oxford Economics'!$A$7:$AZ$1000,0,IFERROR(MATCH(AH$5,'Oxford Economics'!$A$6:$AZ$6,0),MATCH(AH$5&amp;"",'Oxford Economics'!$A$6:$AZ$6,0))),'Oxford Economics'!$A$7:$A$1000,$C56,'Oxford Economics'!$B$7:$B$1000,Settings!$B$15)+IF(Settings!$B$17="",0,SUMIFS(INDEX('Oxford Economics'!$A$7:$AZ$1000,0,IFERROR(MATCH(AH$5,'Oxford Economics'!$A$6:$AZ$6,0),MATCH(AH$5&amp;"",'Oxford Economics'!$A$6:$AZ$6,0))),'Oxford Economics'!$A$7:$A$1000,$C56,'Oxford Economics'!$B$7:$B$1000,Settings!$B$17)))),""))</f>
        <v/>
      </c>
      <c r="AI56" s="37" t="str">
        <f aca="false">IF($A56="","",IFERROR(1/(1/IF($B56="Residential",SUMIFS(INDEX('Oxford Economics'!$A$7:$AZ$1000,0,IFERROR(MATCH(AI$5,'Oxford Economics'!$A$6:$AZ$6,0),MATCH(AI$5&amp;"",'Oxford Economics'!$A$6:$AZ$6,0))),'Oxford Economics'!$A$7:$A$1000,$C56,'Oxford Economics'!$B$7:$B$1000,Settings!$B$11)-SUMIFS(INDEX('Oxford Economics'!$A$7:$AZ$1000,0,IFERROR(MATCH(AI$5,'Oxford Economics'!$A$6:$AZ$6,0),MATCH(AI$5&amp;"",'Oxford Economics'!$A$6:$AZ$6,0))),'Oxford Economics'!$A$7:$A$1000,$C56,'Oxford Economics'!$B$7:$B$1000,Settings!$B$13),SUMIFS(INDEX('Oxford Economics'!$A$7:$AZ$1000,0,IFERROR(MATCH(AI$5,'Oxford Economics'!$A$6:$AZ$6,0),MATCH(AI$5&amp;"",'Oxford Economics'!$A$6:$AZ$6,0))),'Oxford Economics'!$A$7:$A$1000,$C56,'Oxford Economics'!$B$7:$B$1000,Settings!$B$13)+SUMIFS(INDEX('Oxford Economics'!$A$7:$AZ$1000,0,IFERROR(MATCH(AI$5,'Oxford Economics'!$A$6:$AZ$6,0),MATCH(AI$5&amp;"",'Oxford Economics'!$A$6:$AZ$6,0))),'Oxford Economics'!$A$7:$A$1000,$C56,'Oxford Economics'!$B$7:$B$1000,Settings!$B$15)+IF(Settings!$B$17="",0,SUMIFS(INDEX('Oxford Economics'!$A$7:$AZ$1000,0,IFERROR(MATCH(AI$5,'Oxford Economics'!$A$6:$AZ$6,0),MATCH(AI$5&amp;"",'Oxford Economics'!$A$6:$AZ$6,0))),'Oxford Economics'!$A$7:$A$1000,$C56,'Oxford Economics'!$B$7:$B$1000,Settings!$B$17)))),""))</f>
        <v/>
      </c>
      <c r="AJ56" s="37" t="str">
        <f aca="false">IF($A56="","",IFERROR(1/(1/IF($B56="Residential",SUMIFS(INDEX('Oxford Economics'!$A$7:$AZ$1000,0,IFERROR(MATCH(AJ$5,'Oxford Economics'!$A$6:$AZ$6,0),MATCH(AJ$5&amp;"",'Oxford Economics'!$A$6:$AZ$6,0))),'Oxford Economics'!$A$7:$A$1000,$C56,'Oxford Economics'!$B$7:$B$1000,Settings!$B$11)-SUMIFS(INDEX('Oxford Economics'!$A$7:$AZ$1000,0,IFERROR(MATCH(AJ$5,'Oxford Economics'!$A$6:$AZ$6,0),MATCH(AJ$5&amp;"",'Oxford Economics'!$A$6:$AZ$6,0))),'Oxford Economics'!$A$7:$A$1000,$C56,'Oxford Economics'!$B$7:$B$1000,Settings!$B$13),SUMIFS(INDEX('Oxford Economics'!$A$7:$AZ$1000,0,IFERROR(MATCH(AJ$5,'Oxford Economics'!$A$6:$AZ$6,0),MATCH(AJ$5&amp;"",'Oxford Economics'!$A$6:$AZ$6,0))),'Oxford Economics'!$A$7:$A$1000,$C56,'Oxford Economics'!$B$7:$B$1000,Settings!$B$13)+SUMIFS(INDEX('Oxford Economics'!$A$7:$AZ$1000,0,IFERROR(MATCH(AJ$5,'Oxford Economics'!$A$6:$AZ$6,0),MATCH(AJ$5&amp;"",'Oxford Economics'!$A$6:$AZ$6,0))),'Oxford Economics'!$A$7:$A$1000,$C56,'Oxford Economics'!$B$7:$B$1000,Settings!$B$15)+IF(Settings!$B$17="",0,SUMIFS(INDEX('Oxford Economics'!$A$7:$AZ$1000,0,IFERROR(MATCH(AJ$5,'Oxford Economics'!$A$6:$AZ$6,0),MATCH(AJ$5&amp;"",'Oxford Economics'!$A$6:$AZ$6,0))),'Oxford Economics'!$A$7:$A$1000,$C56,'Oxford Economics'!$B$7:$B$1000,Settings!$B$17)))),""))</f>
        <v/>
      </c>
      <c r="AK56" s="37" t="str">
        <f aca="false">IF($A56="","",IFERROR(1/(1/IF($B56="Residential",SUMIFS(INDEX('Oxford Economics'!$A$7:$AZ$1000,0,IFERROR(MATCH(AK$5,'Oxford Economics'!$A$6:$AZ$6,0),MATCH(AK$5&amp;"",'Oxford Economics'!$A$6:$AZ$6,0))),'Oxford Economics'!$A$7:$A$1000,$C56,'Oxford Economics'!$B$7:$B$1000,Settings!$B$11)-SUMIFS(INDEX('Oxford Economics'!$A$7:$AZ$1000,0,IFERROR(MATCH(AK$5,'Oxford Economics'!$A$6:$AZ$6,0),MATCH(AK$5&amp;"",'Oxford Economics'!$A$6:$AZ$6,0))),'Oxford Economics'!$A$7:$A$1000,$C56,'Oxford Economics'!$B$7:$B$1000,Settings!$B$13),SUMIFS(INDEX('Oxford Economics'!$A$7:$AZ$1000,0,IFERROR(MATCH(AK$5,'Oxford Economics'!$A$6:$AZ$6,0),MATCH(AK$5&amp;"",'Oxford Economics'!$A$6:$AZ$6,0))),'Oxford Economics'!$A$7:$A$1000,$C56,'Oxford Economics'!$B$7:$B$1000,Settings!$B$13)+SUMIFS(INDEX('Oxford Economics'!$A$7:$AZ$1000,0,IFERROR(MATCH(AK$5,'Oxford Economics'!$A$6:$AZ$6,0),MATCH(AK$5&amp;"",'Oxford Economics'!$A$6:$AZ$6,0))),'Oxford Economics'!$A$7:$A$1000,$C56,'Oxford Economics'!$B$7:$B$1000,Settings!$B$15)+IF(Settings!$B$17="",0,SUMIFS(INDEX('Oxford Economics'!$A$7:$AZ$1000,0,IFERROR(MATCH(AK$5,'Oxford Economics'!$A$6:$AZ$6,0),MATCH(AK$5&amp;"",'Oxford Economics'!$A$6:$AZ$6,0))),'Oxford Economics'!$A$7:$A$1000,$C56,'Oxford Economics'!$B$7:$B$1000,Settings!$B$17)))),""))</f>
        <v/>
      </c>
      <c r="AL56" s="37" t="str">
        <f aca="false">IF($A56="","",IFERROR(1/(1/IF($B56="Residential",SUMIFS(INDEX('Oxford Economics'!$A$7:$AZ$1000,0,IFERROR(MATCH(AL$5,'Oxford Economics'!$A$6:$AZ$6,0),MATCH(AL$5&amp;"",'Oxford Economics'!$A$6:$AZ$6,0))),'Oxford Economics'!$A$7:$A$1000,$C56,'Oxford Economics'!$B$7:$B$1000,Settings!$B$11)-SUMIFS(INDEX('Oxford Economics'!$A$7:$AZ$1000,0,IFERROR(MATCH(AL$5,'Oxford Economics'!$A$6:$AZ$6,0),MATCH(AL$5&amp;"",'Oxford Economics'!$A$6:$AZ$6,0))),'Oxford Economics'!$A$7:$A$1000,$C56,'Oxford Economics'!$B$7:$B$1000,Settings!$B$13),SUMIFS(INDEX('Oxford Economics'!$A$7:$AZ$1000,0,IFERROR(MATCH(AL$5,'Oxford Economics'!$A$6:$AZ$6,0),MATCH(AL$5&amp;"",'Oxford Economics'!$A$6:$AZ$6,0))),'Oxford Economics'!$A$7:$A$1000,$C56,'Oxford Economics'!$B$7:$B$1000,Settings!$B$13)+SUMIFS(INDEX('Oxford Economics'!$A$7:$AZ$1000,0,IFERROR(MATCH(AL$5,'Oxford Economics'!$A$6:$AZ$6,0),MATCH(AL$5&amp;"",'Oxford Economics'!$A$6:$AZ$6,0))),'Oxford Economics'!$A$7:$A$1000,$C56,'Oxford Economics'!$B$7:$B$1000,Settings!$B$15)+IF(Settings!$B$17="",0,SUMIFS(INDEX('Oxford Economics'!$A$7:$AZ$1000,0,IFERROR(MATCH(AL$5,'Oxford Economics'!$A$6:$AZ$6,0),MATCH(AL$5&amp;"",'Oxford Economics'!$A$6:$AZ$6,0))),'Oxford Economics'!$A$7:$A$1000,$C56,'Oxford Economics'!$B$7:$B$1000,Settings!$B$17)))),""))</f>
        <v/>
      </c>
      <c r="AM56" s="37" t="str">
        <f aca="false">IF($A56="","",IFERROR(1/(1/IF($B56="Residential",SUMIFS(INDEX('Oxford Economics'!$A$7:$AZ$1000,0,IFERROR(MATCH(AM$5,'Oxford Economics'!$A$6:$AZ$6,0),MATCH(AM$5&amp;"",'Oxford Economics'!$A$6:$AZ$6,0))),'Oxford Economics'!$A$7:$A$1000,$C56,'Oxford Economics'!$B$7:$B$1000,Settings!$B$11)-SUMIFS(INDEX('Oxford Economics'!$A$7:$AZ$1000,0,IFERROR(MATCH(AM$5,'Oxford Economics'!$A$6:$AZ$6,0),MATCH(AM$5&amp;"",'Oxford Economics'!$A$6:$AZ$6,0))),'Oxford Economics'!$A$7:$A$1000,$C56,'Oxford Economics'!$B$7:$B$1000,Settings!$B$13),SUMIFS(INDEX('Oxford Economics'!$A$7:$AZ$1000,0,IFERROR(MATCH(AM$5,'Oxford Economics'!$A$6:$AZ$6,0),MATCH(AM$5&amp;"",'Oxford Economics'!$A$6:$AZ$6,0))),'Oxford Economics'!$A$7:$A$1000,$C56,'Oxford Economics'!$B$7:$B$1000,Settings!$B$13)+SUMIFS(INDEX('Oxford Economics'!$A$7:$AZ$1000,0,IFERROR(MATCH(AM$5,'Oxford Economics'!$A$6:$AZ$6,0),MATCH(AM$5&amp;"",'Oxford Economics'!$A$6:$AZ$6,0))),'Oxford Economics'!$A$7:$A$1000,$C56,'Oxford Economics'!$B$7:$B$1000,Settings!$B$15)+IF(Settings!$B$17="",0,SUMIFS(INDEX('Oxford Economics'!$A$7:$AZ$1000,0,IFERROR(MATCH(AM$5,'Oxford Economics'!$A$6:$AZ$6,0),MATCH(AM$5&amp;"",'Oxford Economics'!$A$6:$AZ$6,0))),'Oxford Economics'!$A$7:$A$1000,$C56,'Oxford Economics'!$B$7:$B$1000,Settings!$B$17)))),""))</f>
        <v/>
      </c>
    </row>
    <row r="57" customFormat="false" ht="15" hidden="false" customHeight="false" outlineLevel="0" collapsed="false">
      <c r="A57" s="36" t="str">
        <f aca="false">IF('Raw data'!$A57="","",'Raw data'!$A57)</f>
        <v/>
      </c>
      <c r="B57" s="36" t="str">
        <f aca="false">IF($A57="","",'Raw data'!$C57)</f>
        <v/>
      </c>
      <c r="C57" s="36" t="str">
        <f aca="false">IF($A57="","",IF('Raw data'!$D57="",$A57,'Raw data'!$D57))</f>
        <v/>
      </c>
      <c r="D57" s="37" t="str">
        <f aca="false">IF($A57="","",IF(AND(ISNUMBER(P57),ISNUMBER(AB57)),P57+AB57,""))</f>
        <v/>
      </c>
      <c r="E57" s="37" t="str">
        <f aca="false">IF($A57="","",IF(AND(ISNUMBER(Q57),ISNUMBER(AC57)),Q57+AC57,""))</f>
        <v/>
      </c>
      <c r="F57" s="37" t="str">
        <f aca="false">IF($A57="","",IF(AND(ISNUMBER(R57),ISNUMBER(AD57)),R57+AD57,""))</f>
        <v/>
      </c>
      <c r="G57" s="37" t="str">
        <f aca="false">IF($A57="","",IF(AND(ISNUMBER(S57),ISNUMBER(AE57)),S57+AE57,""))</f>
        <v/>
      </c>
      <c r="H57" s="37" t="str">
        <f aca="false">IF($A57="","",IF(AND(ISNUMBER(T57),ISNUMBER(AF57)),T57+AF57,""))</f>
        <v/>
      </c>
      <c r="I57" s="37" t="str">
        <f aca="false">IF($A57="","",IF(AND(ISNUMBER(U57),ISNUMBER(AG57)),U57+AG57,""))</f>
        <v/>
      </c>
      <c r="J57" s="37" t="str">
        <f aca="false">IF($A57="","",IF(AND(ISNUMBER(V57),ISNUMBER(AH57)),V57+AH57,""))</f>
        <v/>
      </c>
      <c r="K57" s="37" t="str">
        <f aca="false">IF($A57="","",IF(AND(ISNUMBER(W57),ISNUMBER(AI57)),W57+AI57,""))</f>
        <v/>
      </c>
      <c r="L57" s="37" t="str">
        <f aca="false">IF($A57="","",IF(AND(ISNUMBER(X57),ISNUMBER(AJ57)),X57+AJ57,""))</f>
        <v/>
      </c>
      <c r="M57" s="37" t="str">
        <f aca="false">IF($A57="","",IF(AND(ISNUMBER(Y57),ISNUMBER(AK57)),Y57+AK57,""))</f>
        <v/>
      </c>
      <c r="N57" s="37" t="str">
        <f aca="false">IF($A57="","",IF(AND(ISNUMBER(Z57),ISNUMBER(AL57)),Z57+AL57,""))</f>
        <v/>
      </c>
      <c r="O57" s="37" t="str">
        <f aca="false">IF($A57="","",IF(AND(ISNUMBER(AA57),ISNUMBER(AM57)),AA57+AM57,""))</f>
        <v/>
      </c>
      <c r="P57" s="37" t="str">
        <f aca="false">IF($A57="","",IFERROR(1/(1/IF($B57="Residential",SUMIFS(INDEX('Oxford Economics'!$A$7:$AZ$1000,0,IFERROR(MATCH(P$5,'Oxford Economics'!$A$6:$AZ$6,0),MATCH(P$5&amp;"",'Oxford Economics'!$A$6:$AZ$6,0))),'Oxford Economics'!$A$7:$A$1000,$C57,'Oxford Economics'!$B$7:$B$1000,Settings!$B$12)-SUMIFS(INDEX('Oxford Economics'!$A$7:$AZ$1000,0,IFERROR(MATCH(P$5,'Oxford Economics'!$A$6:$AZ$6,0),MATCH(P$5&amp;"",'Oxford Economics'!$A$6:$AZ$6,0))),'Oxford Economics'!$A$7:$A$1000,$C57,'Oxford Economics'!$B$7:$B$1000,Settings!$B$14),SUMIFS(INDEX('Oxford Economics'!$A$7:$AZ$1000,0,IFERROR(MATCH(P$5,'Oxford Economics'!$A$6:$AZ$6,0),MATCH(P$5&amp;"",'Oxford Economics'!$A$6:$AZ$6,0))),'Oxford Economics'!$A$7:$A$1000,$C57,'Oxford Economics'!$B$7:$B$1000,Settings!$B$14)+SUMIFS(INDEX('Oxford Economics'!$A$7:$AZ$1000,0,IFERROR(MATCH(P$5,'Oxford Economics'!$A$6:$AZ$6,0),MATCH(P$5&amp;"",'Oxford Economics'!$A$6:$AZ$6,0))),'Oxford Economics'!$A$7:$A$1000,$C57,'Oxford Economics'!$B$7:$B$1000,Settings!$B$16)+IF(Settings!$B$18="",0,SUMIFS(INDEX('Oxford Economics'!$A$7:$AZ$1000,0,IFERROR(MATCH(P$5,'Oxford Economics'!$A$6:$AZ$6,0),MATCH(P$5&amp;"",'Oxford Economics'!$A$6:$AZ$6,0))),'Oxford Economics'!$A$7:$A$1000,$C57,'Oxford Economics'!$B$7:$B$1000,Settings!$B$18)))),""))</f>
        <v/>
      </c>
      <c r="Q57" s="37" t="str">
        <f aca="false">IF($A57="","",IFERROR(1/(1/IF($B57="Residential",SUMIFS(INDEX('Oxford Economics'!$A$7:$AZ$1000,0,IFERROR(MATCH(Q$5,'Oxford Economics'!$A$6:$AZ$6,0),MATCH(Q$5&amp;"",'Oxford Economics'!$A$6:$AZ$6,0))),'Oxford Economics'!$A$7:$A$1000,$C57,'Oxford Economics'!$B$7:$B$1000,Settings!$B$12)-SUMIFS(INDEX('Oxford Economics'!$A$7:$AZ$1000,0,IFERROR(MATCH(Q$5,'Oxford Economics'!$A$6:$AZ$6,0),MATCH(Q$5&amp;"",'Oxford Economics'!$A$6:$AZ$6,0))),'Oxford Economics'!$A$7:$A$1000,$C57,'Oxford Economics'!$B$7:$B$1000,Settings!$B$14),SUMIFS(INDEX('Oxford Economics'!$A$7:$AZ$1000,0,IFERROR(MATCH(Q$5,'Oxford Economics'!$A$6:$AZ$6,0),MATCH(Q$5&amp;"",'Oxford Economics'!$A$6:$AZ$6,0))),'Oxford Economics'!$A$7:$A$1000,$C57,'Oxford Economics'!$B$7:$B$1000,Settings!$B$14)+SUMIFS(INDEX('Oxford Economics'!$A$7:$AZ$1000,0,IFERROR(MATCH(Q$5,'Oxford Economics'!$A$6:$AZ$6,0),MATCH(Q$5&amp;"",'Oxford Economics'!$A$6:$AZ$6,0))),'Oxford Economics'!$A$7:$A$1000,$C57,'Oxford Economics'!$B$7:$B$1000,Settings!$B$16)+IF(Settings!$B$18="",0,SUMIFS(INDEX('Oxford Economics'!$A$7:$AZ$1000,0,IFERROR(MATCH(Q$5,'Oxford Economics'!$A$6:$AZ$6,0),MATCH(Q$5&amp;"",'Oxford Economics'!$A$6:$AZ$6,0))),'Oxford Economics'!$A$7:$A$1000,$C57,'Oxford Economics'!$B$7:$B$1000,Settings!$B$18)))),""))</f>
        <v/>
      </c>
      <c r="R57" s="37" t="str">
        <f aca="false">IF($A57="","",IFERROR(1/(1/IF($B57="Residential",SUMIFS(INDEX('Oxford Economics'!$A$7:$AZ$1000,0,IFERROR(MATCH(R$5,'Oxford Economics'!$A$6:$AZ$6,0),MATCH(R$5&amp;"",'Oxford Economics'!$A$6:$AZ$6,0))),'Oxford Economics'!$A$7:$A$1000,$C57,'Oxford Economics'!$B$7:$B$1000,Settings!$B$12)-SUMIFS(INDEX('Oxford Economics'!$A$7:$AZ$1000,0,IFERROR(MATCH(R$5,'Oxford Economics'!$A$6:$AZ$6,0),MATCH(R$5&amp;"",'Oxford Economics'!$A$6:$AZ$6,0))),'Oxford Economics'!$A$7:$A$1000,$C57,'Oxford Economics'!$B$7:$B$1000,Settings!$B$14),SUMIFS(INDEX('Oxford Economics'!$A$7:$AZ$1000,0,IFERROR(MATCH(R$5,'Oxford Economics'!$A$6:$AZ$6,0),MATCH(R$5&amp;"",'Oxford Economics'!$A$6:$AZ$6,0))),'Oxford Economics'!$A$7:$A$1000,$C57,'Oxford Economics'!$B$7:$B$1000,Settings!$B$14)+SUMIFS(INDEX('Oxford Economics'!$A$7:$AZ$1000,0,IFERROR(MATCH(R$5,'Oxford Economics'!$A$6:$AZ$6,0),MATCH(R$5&amp;"",'Oxford Economics'!$A$6:$AZ$6,0))),'Oxford Economics'!$A$7:$A$1000,$C57,'Oxford Economics'!$B$7:$B$1000,Settings!$B$16)+IF(Settings!$B$18="",0,SUMIFS(INDEX('Oxford Economics'!$A$7:$AZ$1000,0,IFERROR(MATCH(R$5,'Oxford Economics'!$A$6:$AZ$6,0),MATCH(R$5&amp;"",'Oxford Economics'!$A$6:$AZ$6,0))),'Oxford Economics'!$A$7:$A$1000,$C57,'Oxford Economics'!$B$7:$B$1000,Settings!$B$18)))),""))</f>
        <v/>
      </c>
      <c r="S57" s="37" t="str">
        <f aca="false">IF($A57="","",IFERROR(1/(1/IF($B57="Residential",SUMIFS(INDEX('Oxford Economics'!$A$7:$AZ$1000,0,IFERROR(MATCH(S$5,'Oxford Economics'!$A$6:$AZ$6,0),MATCH(S$5&amp;"",'Oxford Economics'!$A$6:$AZ$6,0))),'Oxford Economics'!$A$7:$A$1000,$C57,'Oxford Economics'!$B$7:$B$1000,Settings!$B$12)-SUMIFS(INDEX('Oxford Economics'!$A$7:$AZ$1000,0,IFERROR(MATCH(S$5,'Oxford Economics'!$A$6:$AZ$6,0),MATCH(S$5&amp;"",'Oxford Economics'!$A$6:$AZ$6,0))),'Oxford Economics'!$A$7:$A$1000,$C57,'Oxford Economics'!$B$7:$B$1000,Settings!$B$14),SUMIFS(INDEX('Oxford Economics'!$A$7:$AZ$1000,0,IFERROR(MATCH(S$5,'Oxford Economics'!$A$6:$AZ$6,0),MATCH(S$5&amp;"",'Oxford Economics'!$A$6:$AZ$6,0))),'Oxford Economics'!$A$7:$A$1000,$C57,'Oxford Economics'!$B$7:$B$1000,Settings!$B$14)+SUMIFS(INDEX('Oxford Economics'!$A$7:$AZ$1000,0,IFERROR(MATCH(S$5,'Oxford Economics'!$A$6:$AZ$6,0),MATCH(S$5&amp;"",'Oxford Economics'!$A$6:$AZ$6,0))),'Oxford Economics'!$A$7:$A$1000,$C57,'Oxford Economics'!$B$7:$B$1000,Settings!$B$16)+IF(Settings!$B$18="",0,SUMIFS(INDEX('Oxford Economics'!$A$7:$AZ$1000,0,IFERROR(MATCH(S$5,'Oxford Economics'!$A$6:$AZ$6,0),MATCH(S$5&amp;"",'Oxford Economics'!$A$6:$AZ$6,0))),'Oxford Economics'!$A$7:$A$1000,$C57,'Oxford Economics'!$B$7:$B$1000,Settings!$B$18)))),""))</f>
        <v/>
      </c>
      <c r="T57" s="37" t="str">
        <f aca="false">IF($A57="","",IFERROR(1/(1/IF($B57="Residential",SUMIFS(INDEX('Oxford Economics'!$A$7:$AZ$1000,0,IFERROR(MATCH(T$5,'Oxford Economics'!$A$6:$AZ$6,0),MATCH(T$5&amp;"",'Oxford Economics'!$A$6:$AZ$6,0))),'Oxford Economics'!$A$7:$A$1000,$C57,'Oxford Economics'!$B$7:$B$1000,Settings!$B$12)-SUMIFS(INDEX('Oxford Economics'!$A$7:$AZ$1000,0,IFERROR(MATCH(T$5,'Oxford Economics'!$A$6:$AZ$6,0),MATCH(T$5&amp;"",'Oxford Economics'!$A$6:$AZ$6,0))),'Oxford Economics'!$A$7:$A$1000,$C57,'Oxford Economics'!$B$7:$B$1000,Settings!$B$14),SUMIFS(INDEX('Oxford Economics'!$A$7:$AZ$1000,0,IFERROR(MATCH(T$5,'Oxford Economics'!$A$6:$AZ$6,0),MATCH(T$5&amp;"",'Oxford Economics'!$A$6:$AZ$6,0))),'Oxford Economics'!$A$7:$A$1000,$C57,'Oxford Economics'!$B$7:$B$1000,Settings!$B$14)+SUMIFS(INDEX('Oxford Economics'!$A$7:$AZ$1000,0,IFERROR(MATCH(T$5,'Oxford Economics'!$A$6:$AZ$6,0),MATCH(T$5&amp;"",'Oxford Economics'!$A$6:$AZ$6,0))),'Oxford Economics'!$A$7:$A$1000,$C57,'Oxford Economics'!$B$7:$B$1000,Settings!$B$16)+IF(Settings!$B$18="",0,SUMIFS(INDEX('Oxford Economics'!$A$7:$AZ$1000,0,IFERROR(MATCH(T$5,'Oxford Economics'!$A$6:$AZ$6,0),MATCH(T$5&amp;"",'Oxford Economics'!$A$6:$AZ$6,0))),'Oxford Economics'!$A$7:$A$1000,$C57,'Oxford Economics'!$B$7:$B$1000,Settings!$B$18)))),""))</f>
        <v/>
      </c>
      <c r="U57" s="37" t="str">
        <f aca="false">IF($A57="","",IFERROR(1/(1/IF($B57="Residential",SUMIFS(INDEX('Oxford Economics'!$A$7:$AZ$1000,0,IFERROR(MATCH(U$5,'Oxford Economics'!$A$6:$AZ$6,0),MATCH(U$5&amp;"",'Oxford Economics'!$A$6:$AZ$6,0))),'Oxford Economics'!$A$7:$A$1000,$C57,'Oxford Economics'!$B$7:$B$1000,Settings!$B$12)-SUMIFS(INDEX('Oxford Economics'!$A$7:$AZ$1000,0,IFERROR(MATCH(U$5,'Oxford Economics'!$A$6:$AZ$6,0),MATCH(U$5&amp;"",'Oxford Economics'!$A$6:$AZ$6,0))),'Oxford Economics'!$A$7:$A$1000,$C57,'Oxford Economics'!$B$7:$B$1000,Settings!$B$14),SUMIFS(INDEX('Oxford Economics'!$A$7:$AZ$1000,0,IFERROR(MATCH(U$5,'Oxford Economics'!$A$6:$AZ$6,0),MATCH(U$5&amp;"",'Oxford Economics'!$A$6:$AZ$6,0))),'Oxford Economics'!$A$7:$A$1000,$C57,'Oxford Economics'!$B$7:$B$1000,Settings!$B$14)+SUMIFS(INDEX('Oxford Economics'!$A$7:$AZ$1000,0,IFERROR(MATCH(U$5,'Oxford Economics'!$A$6:$AZ$6,0),MATCH(U$5&amp;"",'Oxford Economics'!$A$6:$AZ$6,0))),'Oxford Economics'!$A$7:$A$1000,$C57,'Oxford Economics'!$B$7:$B$1000,Settings!$B$16)+IF(Settings!$B$18="",0,SUMIFS(INDEX('Oxford Economics'!$A$7:$AZ$1000,0,IFERROR(MATCH(U$5,'Oxford Economics'!$A$6:$AZ$6,0),MATCH(U$5&amp;"",'Oxford Economics'!$A$6:$AZ$6,0))),'Oxford Economics'!$A$7:$A$1000,$C57,'Oxford Economics'!$B$7:$B$1000,Settings!$B$18)))),""))</f>
        <v/>
      </c>
      <c r="V57" s="37" t="str">
        <f aca="false">IF($A57="","",IFERROR(1/(1/IF($B57="Residential",SUMIFS(INDEX('Oxford Economics'!$A$7:$AZ$1000,0,IFERROR(MATCH(V$5,'Oxford Economics'!$A$6:$AZ$6,0),MATCH(V$5&amp;"",'Oxford Economics'!$A$6:$AZ$6,0))),'Oxford Economics'!$A$7:$A$1000,$C57,'Oxford Economics'!$B$7:$B$1000,Settings!$B$12)-SUMIFS(INDEX('Oxford Economics'!$A$7:$AZ$1000,0,IFERROR(MATCH(V$5,'Oxford Economics'!$A$6:$AZ$6,0),MATCH(V$5&amp;"",'Oxford Economics'!$A$6:$AZ$6,0))),'Oxford Economics'!$A$7:$A$1000,$C57,'Oxford Economics'!$B$7:$B$1000,Settings!$B$14),SUMIFS(INDEX('Oxford Economics'!$A$7:$AZ$1000,0,IFERROR(MATCH(V$5,'Oxford Economics'!$A$6:$AZ$6,0),MATCH(V$5&amp;"",'Oxford Economics'!$A$6:$AZ$6,0))),'Oxford Economics'!$A$7:$A$1000,$C57,'Oxford Economics'!$B$7:$B$1000,Settings!$B$14)+SUMIFS(INDEX('Oxford Economics'!$A$7:$AZ$1000,0,IFERROR(MATCH(V$5,'Oxford Economics'!$A$6:$AZ$6,0),MATCH(V$5&amp;"",'Oxford Economics'!$A$6:$AZ$6,0))),'Oxford Economics'!$A$7:$A$1000,$C57,'Oxford Economics'!$B$7:$B$1000,Settings!$B$16)+IF(Settings!$B$18="",0,SUMIFS(INDEX('Oxford Economics'!$A$7:$AZ$1000,0,IFERROR(MATCH(V$5,'Oxford Economics'!$A$6:$AZ$6,0),MATCH(V$5&amp;"",'Oxford Economics'!$A$6:$AZ$6,0))),'Oxford Economics'!$A$7:$A$1000,$C57,'Oxford Economics'!$B$7:$B$1000,Settings!$B$18)))),""))</f>
        <v/>
      </c>
      <c r="W57" s="37" t="str">
        <f aca="false">IF($A57="","",IFERROR(1/(1/IF($B57="Residential",SUMIFS(INDEX('Oxford Economics'!$A$7:$AZ$1000,0,IFERROR(MATCH(W$5,'Oxford Economics'!$A$6:$AZ$6,0),MATCH(W$5&amp;"",'Oxford Economics'!$A$6:$AZ$6,0))),'Oxford Economics'!$A$7:$A$1000,$C57,'Oxford Economics'!$B$7:$B$1000,Settings!$B$12)-SUMIFS(INDEX('Oxford Economics'!$A$7:$AZ$1000,0,IFERROR(MATCH(W$5,'Oxford Economics'!$A$6:$AZ$6,0),MATCH(W$5&amp;"",'Oxford Economics'!$A$6:$AZ$6,0))),'Oxford Economics'!$A$7:$A$1000,$C57,'Oxford Economics'!$B$7:$B$1000,Settings!$B$14),SUMIFS(INDEX('Oxford Economics'!$A$7:$AZ$1000,0,IFERROR(MATCH(W$5,'Oxford Economics'!$A$6:$AZ$6,0),MATCH(W$5&amp;"",'Oxford Economics'!$A$6:$AZ$6,0))),'Oxford Economics'!$A$7:$A$1000,$C57,'Oxford Economics'!$B$7:$B$1000,Settings!$B$14)+SUMIFS(INDEX('Oxford Economics'!$A$7:$AZ$1000,0,IFERROR(MATCH(W$5,'Oxford Economics'!$A$6:$AZ$6,0),MATCH(W$5&amp;"",'Oxford Economics'!$A$6:$AZ$6,0))),'Oxford Economics'!$A$7:$A$1000,$C57,'Oxford Economics'!$B$7:$B$1000,Settings!$B$16)+IF(Settings!$B$18="",0,SUMIFS(INDEX('Oxford Economics'!$A$7:$AZ$1000,0,IFERROR(MATCH(W$5,'Oxford Economics'!$A$6:$AZ$6,0),MATCH(W$5&amp;"",'Oxford Economics'!$A$6:$AZ$6,0))),'Oxford Economics'!$A$7:$A$1000,$C57,'Oxford Economics'!$B$7:$B$1000,Settings!$B$18)))),""))</f>
        <v/>
      </c>
      <c r="X57" s="37" t="str">
        <f aca="false">IF($A57="","",IFERROR(1/(1/IF($B57="Residential",SUMIFS(INDEX('Oxford Economics'!$A$7:$AZ$1000,0,IFERROR(MATCH(X$5,'Oxford Economics'!$A$6:$AZ$6,0),MATCH(X$5&amp;"",'Oxford Economics'!$A$6:$AZ$6,0))),'Oxford Economics'!$A$7:$A$1000,$C57,'Oxford Economics'!$B$7:$B$1000,Settings!$B$12)-SUMIFS(INDEX('Oxford Economics'!$A$7:$AZ$1000,0,IFERROR(MATCH(X$5,'Oxford Economics'!$A$6:$AZ$6,0),MATCH(X$5&amp;"",'Oxford Economics'!$A$6:$AZ$6,0))),'Oxford Economics'!$A$7:$A$1000,$C57,'Oxford Economics'!$B$7:$B$1000,Settings!$B$14),SUMIFS(INDEX('Oxford Economics'!$A$7:$AZ$1000,0,IFERROR(MATCH(X$5,'Oxford Economics'!$A$6:$AZ$6,0),MATCH(X$5&amp;"",'Oxford Economics'!$A$6:$AZ$6,0))),'Oxford Economics'!$A$7:$A$1000,$C57,'Oxford Economics'!$B$7:$B$1000,Settings!$B$14)+SUMIFS(INDEX('Oxford Economics'!$A$7:$AZ$1000,0,IFERROR(MATCH(X$5,'Oxford Economics'!$A$6:$AZ$6,0),MATCH(X$5&amp;"",'Oxford Economics'!$A$6:$AZ$6,0))),'Oxford Economics'!$A$7:$A$1000,$C57,'Oxford Economics'!$B$7:$B$1000,Settings!$B$16)+IF(Settings!$B$18="",0,SUMIFS(INDEX('Oxford Economics'!$A$7:$AZ$1000,0,IFERROR(MATCH(X$5,'Oxford Economics'!$A$6:$AZ$6,0),MATCH(X$5&amp;"",'Oxford Economics'!$A$6:$AZ$6,0))),'Oxford Economics'!$A$7:$A$1000,$C57,'Oxford Economics'!$B$7:$B$1000,Settings!$B$18)))),""))</f>
        <v/>
      </c>
      <c r="Y57" s="37" t="str">
        <f aca="false">IF($A57="","",IFERROR(1/(1/IF($B57="Residential",SUMIFS(INDEX('Oxford Economics'!$A$7:$AZ$1000,0,IFERROR(MATCH(Y$5,'Oxford Economics'!$A$6:$AZ$6,0),MATCH(Y$5&amp;"",'Oxford Economics'!$A$6:$AZ$6,0))),'Oxford Economics'!$A$7:$A$1000,$C57,'Oxford Economics'!$B$7:$B$1000,Settings!$B$12)-SUMIFS(INDEX('Oxford Economics'!$A$7:$AZ$1000,0,IFERROR(MATCH(Y$5,'Oxford Economics'!$A$6:$AZ$6,0),MATCH(Y$5&amp;"",'Oxford Economics'!$A$6:$AZ$6,0))),'Oxford Economics'!$A$7:$A$1000,$C57,'Oxford Economics'!$B$7:$B$1000,Settings!$B$14),SUMIFS(INDEX('Oxford Economics'!$A$7:$AZ$1000,0,IFERROR(MATCH(Y$5,'Oxford Economics'!$A$6:$AZ$6,0),MATCH(Y$5&amp;"",'Oxford Economics'!$A$6:$AZ$6,0))),'Oxford Economics'!$A$7:$A$1000,$C57,'Oxford Economics'!$B$7:$B$1000,Settings!$B$14)+SUMIFS(INDEX('Oxford Economics'!$A$7:$AZ$1000,0,IFERROR(MATCH(Y$5,'Oxford Economics'!$A$6:$AZ$6,0),MATCH(Y$5&amp;"",'Oxford Economics'!$A$6:$AZ$6,0))),'Oxford Economics'!$A$7:$A$1000,$C57,'Oxford Economics'!$B$7:$B$1000,Settings!$B$16)+IF(Settings!$B$18="",0,SUMIFS(INDEX('Oxford Economics'!$A$7:$AZ$1000,0,IFERROR(MATCH(Y$5,'Oxford Economics'!$A$6:$AZ$6,0),MATCH(Y$5&amp;"",'Oxford Economics'!$A$6:$AZ$6,0))),'Oxford Economics'!$A$7:$A$1000,$C57,'Oxford Economics'!$B$7:$B$1000,Settings!$B$18)))),""))</f>
        <v/>
      </c>
      <c r="Z57" s="37" t="str">
        <f aca="false">IF($A57="","",IFERROR(1/(1/IF($B57="Residential",SUMIFS(INDEX('Oxford Economics'!$A$7:$AZ$1000,0,IFERROR(MATCH(Z$5,'Oxford Economics'!$A$6:$AZ$6,0),MATCH(Z$5&amp;"",'Oxford Economics'!$A$6:$AZ$6,0))),'Oxford Economics'!$A$7:$A$1000,$C57,'Oxford Economics'!$B$7:$B$1000,Settings!$B$12)-SUMIFS(INDEX('Oxford Economics'!$A$7:$AZ$1000,0,IFERROR(MATCH(Z$5,'Oxford Economics'!$A$6:$AZ$6,0),MATCH(Z$5&amp;"",'Oxford Economics'!$A$6:$AZ$6,0))),'Oxford Economics'!$A$7:$A$1000,$C57,'Oxford Economics'!$B$7:$B$1000,Settings!$B$14),SUMIFS(INDEX('Oxford Economics'!$A$7:$AZ$1000,0,IFERROR(MATCH(Z$5,'Oxford Economics'!$A$6:$AZ$6,0),MATCH(Z$5&amp;"",'Oxford Economics'!$A$6:$AZ$6,0))),'Oxford Economics'!$A$7:$A$1000,$C57,'Oxford Economics'!$B$7:$B$1000,Settings!$B$14)+SUMIFS(INDEX('Oxford Economics'!$A$7:$AZ$1000,0,IFERROR(MATCH(Z$5,'Oxford Economics'!$A$6:$AZ$6,0),MATCH(Z$5&amp;"",'Oxford Economics'!$A$6:$AZ$6,0))),'Oxford Economics'!$A$7:$A$1000,$C57,'Oxford Economics'!$B$7:$B$1000,Settings!$B$16)+IF(Settings!$B$18="",0,SUMIFS(INDEX('Oxford Economics'!$A$7:$AZ$1000,0,IFERROR(MATCH(Z$5,'Oxford Economics'!$A$6:$AZ$6,0),MATCH(Z$5&amp;"",'Oxford Economics'!$A$6:$AZ$6,0))),'Oxford Economics'!$A$7:$A$1000,$C57,'Oxford Economics'!$B$7:$B$1000,Settings!$B$18)))),""))</f>
        <v/>
      </c>
      <c r="AA57" s="37" t="str">
        <f aca="false">IF($A57="","",IFERROR(1/(1/IF($B57="Residential",SUMIFS(INDEX('Oxford Economics'!$A$7:$AZ$1000,0,IFERROR(MATCH(AA$5,'Oxford Economics'!$A$6:$AZ$6,0),MATCH(AA$5&amp;"",'Oxford Economics'!$A$6:$AZ$6,0))),'Oxford Economics'!$A$7:$A$1000,$C57,'Oxford Economics'!$B$7:$B$1000,Settings!$B$12)-SUMIFS(INDEX('Oxford Economics'!$A$7:$AZ$1000,0,IFERROR(MATCH(AA$5,'Oxford Economics'!$A$6:$AZ$6,0),MATCH(AA$5&amp;"",'Oxford Economics'!$A$6:$AZ$6,0))),'Oxford Economics'!$A$7:$A$1000,$C57,'Oxford Economics'!$B$7:$B$1000,Settings!$B$14),SUMIFS(INDEX('Oxford Economics'!$A$7:$AZ$1000,0,IFERROR(MATCH(AA$5,'Oxford Economics'!$A$6:$AZ$6,0),MATCH(AA$5&amp;"",'Oxford Economics'!$A$6:$AZ$6,0))),'Oxford Economics'!$A$7:$A$1000,$C57,'Oxford Economics'!$B$7:$B$1000,Settings!$B$14)+SUMIFS(INDEX('Oxford Economics'!$A$7:$AZ$1000,0,IFERROR(MATCH(AA$5,'Oxford Economics'!$A$6:$AZ$6,0),MATCH(AA$5&amp;"",'Oxford Economics'!$A$6:$AZ$6,0))),'Oxford Economics'!$A$7:$A$1000,$C57,'Oxford Economics'!$B$7:$B$1000,Settings!$B$16)+IF(Settings!$B$18="",0,SUMIFS(INDEX('Oxford Economics'!$A$7:$AZ$1000,0,IFERROR(MATCH(AA$5,'Oxford Economics'!$A$6:$AZ$6,0),MATCH(AA$5&amp;"",'Oxford Economics'!$A$6:$AZ$6,0))),'Oxford Economics'!$A$7:$A$1000,$C57,'Oxford Economics'!$B$7:$B$1000,Settings!$B$18)))),""))</f>
        <v/>
      </c>
      <c r="AB57" s="37" t="str">
        <f aca="false">IF($A57="","",IFERROR(1/(1/IF($B57="Residential",SUMIFS(INDEX('Oxford Economics'!$A$7:$AZ$1000,0,IFERROR(MATCH(AB$5,'Oxford Economics'!$A$6:$AZ$6,0),MATCH(AB$5&amp;"",'Oxford Economics'!$A$6:$AZ$6,0))),'Oxford Economics'!$A$7:$A$1000,$C57,'Oxford Economics'!$B$7:$B$1000,Settings!$B$11)-SUMIFS(INDEX('Oxford Economics'!$A$7:$AZ$1000,0,IFERROR(MATCH(AB$5,'Oxford Economics'!$A$6:$AZ$6,0),MATCH(AB$5&amp;"",'Oxford Economics'!$A$6:$AZ$6,0))),'Oxford Economics'!$A$7:$A$1000,$C57,'Oxford Economics'!$B$7:$B$1000,Settings!$B$13),SUMIFS(INDEX('Oxford Economics'!$A$7:$AZ$1000,0,IFERROR(MATCH(AB$5,'Oxford Economics'!$A$6:$AZ$6,0),MATCH(AB$5&amp;"",'Oxford Economics'!$A$6:$AZ$6,0))),'Oxford Economics'!$A$7:$A$1000,$C57,'Oxford Economics'!$B$7:$B$1000,Settings!$B$13)+SUMIFS(INDEX('Oxford Economics'!$A$7:$AZ$1000,0,IFERROR(MATCH(AB$5,'Oxford Economics'!$A$6:$AZ$6,0),MATCH(AB$5&amp;"",'Oxford Economics'!$A$6:$AZ$6,0))),'Oxford Economics'!$A$7:$A$1000,$C57,'Oxford Economics'!$B$7:$B$1000,Settings!$B$15)+IF(Settings!$B$17="",0,SUMIFS(INDEX('Oxford Economics'!$A$7:$AZ$1000,0,IFERROR(MATCH(AB$5,'Oxford Economics'!$A$6:$AZ$6,0),MATCH(AB$5&amp;"",'Oxford Economics'!$A$6:$AZ$6,0))),'Oxford Economics'!$A$7:$A$1000,$C57,'Oxford Economics'!$B$7:$B$1000,Settings!$B$17)))),""))</f>
        <v/>
      </c>
      <c r="AC57" s="37" t="str">
        <f aca="false">IF($A57="","",IFERROR(1/(1/IF($B57="Residential",SUMIFS(INDEX('Oxford Economics'!$A$7:$AZ$1000,0,IFERROR(MATCH(AC$5,'Oxford Economics'!$A$6:$AZ$6,0),MATCH(AC$5&amp;"",'Oxford Economics'!$A$6:$AZ$6,0))),'Oxford Economics'!$A$7:$A$1000,$C57,'Oxford Economics'!$B$7:$B$1000,Settings!$B$11)-SUMIFS(INDEX('Oxford Economics'!$A$7:$AZ$1000,0,IFERROR(MATCH(AC$5,'Oxford Economics'!$A$6:$AZ$6,0),MATCH(AC$5&amp;"",'Oxford Economics'!$A$6:$AZ$6,0))),'Oxford Economics'!$A$7:$A$1000,$C57,'Oxford Economics'!$B$7:$B$1000,Settings!$B$13),SUMIFS(INDEX('Oxford Economics'!$A$7:$AZ$1000,0,IFERROR(MATCH(AC$5,'Oxford Economics'!$A$6:$AZ$6,0),MATCH(AC$5&amp;"",'Oxford Economics'!$A$6:$AZ$6,0))),'Oxford Economics'!$A$7:$A$1000,$C57,'Oxford Economics'!$B$7:$B$1000,Settings!$B$13)+SUMIFS(INDEX('Oxford Economics'!$A$7:$AZ$1000,0,IFERROR(MATCH(AC$5,'Oxford Economics'!$A$6:$AZ$6,0),MATCH(AC$5&amp;"",'Oxford Economics'!$A$6:$AZ$6,0))),'Oxford Economics'!$A$7:$A$1000,$C57,'Oxford Economics'!$B$7:$B$1000,Settings!$B$15)+IF(Settings!$B$17="",0,SUMIFS(INDEX('Oxford Economics'!$A$7:$AZ$1000,0,IFERROR(MATCH(AC$5,'Oxford Economics'!$A$6:$AZ$6,0),MATCH(AC$5&amp;"",'Oxford Economics'!$A$6:$AZ$6,0))),'Oxford Economics'!$A$7:$A$1000,$C57,'Oxford Economics'!$B$7:$B$1000,Settings!$B$17)))),""))</f>
        <v/>
      </c>
      <c r="AD57" s="37" t="str">
        <f aca="false">IF($A57="","",IFERROR(1/(1/IF($B57="Residential",SUMIFS(INDEX('Oxford Economics'!$A$7:$AZ$1000,0,IFERROR(MATCH(AD$5,'Oxford Economics'!$A$6:$AZ$6,0),MATCH(AD$5&amp;"",'Oxford Economics'!$A$6:$AZ$6,0))),'Oxford Economics'!$A$7:$A$1000,$C57,'Oxford Economics'!$B$7:$B$1000,Settings!$B$11)-SUMIFS(INDEX('Oxford Economics'!$A$7:$AZ$1000,0,IFERROR(MATCH(AD$5,'Oxford Economics'!$A$6:$AZ$6,0),MATCH(AD$5&amp;"",'Oxford Economics'!$A$6:$AZ$6,0))),'Oxford Economics'!$A$7:$A$1000,$C57,'Oxford Economics'!$B$7:$B$1000,Settings!$B$13),SUMIFS(INDEX('Oxford Economics'!$A$7:$AZ$1000,0,IFERROR(MATCH(AD$5,'Oxford Economics'!$A$6:$AZ$6,0),MATCH(AD$5&amp;"",'Oxford Economics'!$A$6:$AZ$6,0))),'Oxford Economics'!$A$7:$A$1000,$C57,'Oxford Economics'!$B$7:$B$1000,Settings!$B$13)+SUMIFS(INDEX('Oxford Economics'!$A$7:$AZ$1000,0,IFERROR(MATCH(AD$5,'Oxford Economics'!$A$6:$AZ$6,0),MATCH(AD$5&amp;"",'Oxford Economics'!$A$6:$AZ$6,0))),'Oxford Economics'!$A$7:$A$1000,$C57,'Oxford Economics'!$B$7:$B$1000,Settings!$B$15)+IF(Settings!$B$17="",0,SUMIFS(INDEX('Oxford Economics'!$A$7:$AZ$1000,0,IFERROR(MATCH(AD$5,'Oxford Economics'!$A$6:$AZ$6,0),MATCH(AD$5&amp;"",'Oxford Economics'!$A$6:$AZ$6,0))),'Oxford Economics'!$A$7:$A$1000,$C57,'Oxford Economics'!$B$7:$B$1000,Settings!$B$17)))),""))</f>
        <v/>
      </c>
      <c r="AE57" s="37" t="str">
        <f aca="false">IF($A57="","",IFERROR(1/(1/IF($B57="Residential",SUMIFS(INDEX('Oxford Economics'!$A$7:$AZ$1000,0,IFERROR(MATCH(AE$5,'Oxford Economics'!$A$6:$AZ$6,0),MATCH(AE$5&amp;"",'Oxford Economics'!$A$6:$AZ$6,0))),'Oxford Economics'!$A$7:$A$1000,$C57,'Oxford Economics'!$B$7:$B$1000,Settings!$B$11)-SUMIFS(INDEX('Oxford Economics'!$A$7:$AZ$1000,0,IFERROR(MATCH(AE$5,'Oxford Economics'!$A$6:$AZ$6,0),MATCH(AE$5&amp;"",'Oxford Economics'!$A$6:$AZ$6,0))),'Oxford Economics'!$A$7:$A$1000,$C57,'Oxford Economics'!$B$7:$B$1000,Settings!$B$13),SUMIFS(INDEX('Oxford Economics'!$A$7:$AZ$1000,0,IFERROR(MATCH(AE$5,'Oxford Economics'!$A$6:$AZ$6,0),MATCH(AE$5&amp;"",'Oxford Economics'!$A$6:$AZ$6,0))),'Oxford Economics'!$A$7:$A$1000,$C57,'Oxford Economics'!$B$7:$B$1000,Settings!$B$13)+SUMIFS(INDEX('Oxford Economics'!$A$7:$AZ$1000,0,IFERROR(MATCH(AE$5,'Oxford Economics'!$A$6:$AZ$6,0),MATCH(AE$5&amp;"",'Oxford Economics'!$A$6:$AZ$6,0))),'Oxford Economics'!$A$7:$A$1000,$C57,'Oxford Economics'!$B$7:$B$1000,Settings!$B$15)+IF(Settings!$B$17="",0,SUMIFS(INDEX('Oxford Economics'!$A$7:$AZ$1000,0,IFERROR(MATCH(AE$5,'Oxford Economics'!$A$6:$AZ$6,0),MATCH(AE$5&amp;"",'Oxford Economics'!$A$6:$AZ$6,0))),'Oxford Economics'!$A$7:$A$1000,$C57,'Oxford Economics'!$B$7:$B$1000,Settings!$B$17)))),""))</f>
        <v/>
      </c>
      <c r="AF57" s="37" t="str">
        <f aca="false">IF($A57="","",IFERROR(1/(1/IF($B57="Residential",SUMIFS(INDEX('Oxford Economics'!$A$7:$AZ$1000,0,IFERROR(MATCH(AF$5,'Oxford Economics'!$A$6:$AZ$6,0),MATCH(AF$5&amp;"",'Oxford Economics'!$A$6:$AZ$6,0))),'Oxford Economics'!$A$7:$A$1000,$C57,'Oxford Economics'!$B$7:$B$1000,Settings!$B$11)-SUMIFS(INDEX('Oxford Economics'!$A$7:$AZ$1000,0,IFERROR(MATCH(AF$5,'Oxford Economics'!$A$6:$AZ$6,0),MATCH(AF$5&amp;"",'Oxford Economics'!$A$6:$AZ$6,0))),'Oxford Economics'!$A$7:$A$1000,$C57,'Oxford Economics'!$B$7:$B$1000,Settings!$B$13),SUMIFS(INDEX('Oxford Economics'!$A$7:$AZ$1000,0,IFERROR(MATCH(AF$5,'Oxford Economics'!$A$6:$AZ$6,0),MATCH(AF$5&amp;"",'Oxford Economics'!$A$6:$AZ$6,0))),'Oxford Economics'!$A$7:$A$1000,$C57,'Oxford Economics'!$B$7:$B$1000,Settings!$B$13)+SUMIFS(INDEX('Oxford Economics'!$A$7:$AZ$1000,0,IFERROR(MATCH(AF$5,'Oxford Economics'!$A$6:$AZ$6,0),MATCH(AF$5&amp;"",'Oxford Economics'!$A$6:$AZ$6,0))),'Oxford Economics'!$A$7:$A$1000,$C57,'Oxford Economics'!$B$7:$B$1000,Settings!$B$15)+IF(Settings!$B$17="",0,SUMIFS(INDEX('Oxford Economics'!$A$7:$AZ$1000,0,IFERROR(MATCH(AF$5,'Oxford Economics'!$A$6:$AZ$6,0),MATCH(AF$5&amp;"",'Oxford Economics'!$A$6:$AZ$6,0))),'Oxford Economics'!$A$7:$A$1000,$C57,'Oxford Economics'!$B$7:$B$1000,Settings!$B$17)))),""))</f>
        <v/>
      </c>
      <c r="AG57" s="37" t="str">
        <f aca="false">IF($A57="","",IFERROR(1/(1/IF($B57="Residential",SUMIFS(INDEX('Oxford Economics'!$A$7:$AZ$1000,0,IFERROR(MATCH(AG$5,'Oxford Economics'!$A$6:$AZ$6,0),MATCH(AG$5&amp;"",'Oxford Economics'!$A$6:$AZ$6,0))),'Oxford Economics'!$A$7:$A$1000,$C57,'Oxford Economics'!$B$7:$B$1000,Settings!$B$11)-SUMIFS(INDEX('Oxford Economics'!$A$7:$AZ$1000,0,IFERROR(MATCH(AG$5,'Oxford Economics'!$A$6:$AZ$6,0),MATCH(AG$5&amp;"",'Oxford Economics'!$A$6:$AZ$6,0))),'Oxford Economics'!$A$7:$A$1000,$C57,'Oxford Economics'!$B$7:$B$1000,Settings!$B$13),SUMIFS(INDEX('Oxford Economics'!$A$7:$AZ$1000,0,IFERROR(MATCH(AG$5,'Oxford Economics'!$A$6:$AZ$6,0),MATCH(AG$5&amp;"",'Oxford Economics'!$A$6:$AZ$6,0))),'Oxford Economics'!$A$7:$A$1000,$C57,'Oxford Economics'!$B$7:$B$1000,Settings!$B$13)+SUMIFS(INDEX('Oxford Economics'!$A$7:$AZ$1000,0,IFERROR(MATCH(AG$5,'Oxford Economics'!$A$6:$AZ$6,0),MATCH(AG$5&amp;"",'Oxford Economics'!$A$6:$AZ$6,0))),'Oxford Economics'!$A$7:$A$1000,$C57,'Oxford Economics'!$B$7:$B$1000,Settings!$B$15)+IF(Settings!$B$17="",0,SUMIFS(INDEX('Oxford Economics'!$A$7:$AZ$1000,0,IFERROR(MATCH(AG$5,'Oxford Economics'!$A$6:$AZ$6,0),MATCH(AG$5&amp;"",'Oxford Economics'!$A$6:$AZ$6,0))),'Oxford Economics'!$A$7:$A$1000,$C57,'Oxford Economics'!$B$7:$B$1000,Settings!$B$17)))),""))</f>
        <v/>
      </c>
      <c r="AH57" s="37" t="str">
        <f aca="false">IF($A57="","",IFERROR(1/(1/IF($B57="Residential",SUMIFS(INDEX('Oxford Economics'!$A$7:$AZ$1000,0,IFERROR(MATCH(AH$5,'Oxford Economics'!$A$6:$AZ$6,0),MATCH(AH$5&amp;"",'Oxford Economics'!$A$6:$AZ$6,0))),'Oxford Economics'!$A$7:$A$1000,$C57,'Oxford Economics'!$B$7:$B$1000,Settings!$B$11)-SUMIFS(INDEX('Oxford Economics'!$A$7:$AZ$1000,0,IFERROR(MATCH(AH$5,'Oxford Economics'!$A$6:$AZ$6,0),MATCH(AH$5&amp;"",'Oxford Economics'!$A$6:$AZ$6,0))),'Oxford Economics'!$A$7:$A$1000,$C57,'Oxford Economics'!$B$7:$B$1000,Settings!$B$13),SUMIFS(INDEX('Oxford Economics'!$A$7:$AZ$1000,0,IFERROR(MATCH(AH$5,'Oxford Economics'!$A$6:$AZ$6,0),MATCH(AH$5&amp;"",'Oxford Economics'!$A$6:$AZ$6,0))),'Oxford Economics'!$A$7:$A$1000,$C57,'Oxford Economics'!$B$7:$B$1000,Settings!$B$13)+SUMIFS(INDEX('Oxford Economics'!$A$7:$AZ$1000,0,IFERROR(MATCH(AH$5,'Oxford Economics'!$A$6:$AZ$6,0),MATCH(AH$5&amp;"",'Oxford Economics'!$A$6:$AZ$6,0))),'Oxford Economics'!$A$7:$A$1000,$C57,'Oxford Economics'!$B$7:$B$1000,Settings!$B$15)+IF(Settings!$B$17="",0,SUMIFS(INDEX('Oxford Economics'!$A$7:$AZ$1000,0,IFERROR(MATCH(AH$5,'Oxford Economics'!$A$6:$AZ$6,0),MATCH(AH$5&amp;"",'Oxford Economics'!$A$6:$AZ$6,0))),'Oxford Economics'!$A$7:$A$1000,$C57,'Oxford Economics'!$B$7:$B$1000,Settings!$B$17)))),""))</f>
        <v/>
      </c>
      <c r="AI57" s="37" t="str">
        <f aca="false">IF($A57="","",IFERROR(1/(1/IF($B57="Residential",SUMIFS(INDEX('Oxford Economics'!$A$7:$AZ$1000,0,IFERROR(MATCH(AI$5,'Oxford Economics'!$A$6:$AZ$6,0),MATCH(AI$5&amp;"",'Oxford Economics'!$A$6:$AZ$6,0))),'Oxford Economics'!$A$7:$A$1000,$C57,'Oxford Economics'!$B$7:$B$1000,Settings!$B$11)-SUMIFS(INDEX('Oxford Economics'!$A$7:$AZ$1000,0,IFERROR(MATCH(AI$5,'Oxford Economics'!$A$6:$AZ$6,0),MATCH(AI$5&amp;"",'Oxford Economics'!$A$6:$AZ$6,0))),'Oxford Economics'!$A$7:$A$1000,$C57,'Oxford Economics'!$B$7:$B$1000,Settings!$B$13),SUMIFS(INDEX('Oxford Economics'!$A$7:$AZ$1000,0,IFERROR(MATCH(AI$5,'Oxford Economics'!$A$6:$AZ$6,0),MATCH(AI$5&amp;"",'Oxford Economics'!$A$6:$AZ$6,0))),'Oxford Economics'!$A$7:$A$1000,$C57,'Oxford Economics'!$B$7:$B$1000,Settings!$B$13)+SUMIFS(INDEX('Oxford Economics'!$A$7:$AZ$1000,0,IFERROR(MATCH(AI$5,'Oxford Economics'!$A$6:$AZ$6,0),MATCH(AI$5&amp;"",'Oxford Economics'!$A$6:$AZ$6,0))),'Oxford Economics'!$A$7:$A$1000,$C57,'Oxford Economics'!$B$7:$B$1000,Settings!$B$15)+IF(Settings!$B$17="",0,SUMIFS(INDEX('Oxford Economics'!$A$7:$AZ$1000,0,IFERROR(MATCH(AI$5,'Oxford Economics'!$A$6:$AZ$6,0),MATCH(AI$5&amp;"",'Oxford Economics'!$A$6:$AZ$6,0))),'Oxford Economics'!$A$7:$A$1000,$C57,'Oxford Economics'!$B$7:$B$1000,Settings!$B$17)))),""))</f>
        <v/>
      </c>
      <c r="AJ57" s="37" t="str">
        <f aca="false">IF($A57="","",IFERROR(1/(1/IF($B57="Residential",SUMIFS(INDEX('Oxford Economics'!$A$7:$AZ$1000,0,IFERROR(MATCH(AJ$5,'Oxford Economics'!$A$6:$AZ$6,0),MATCH(AJ$5&amp;"",'Oxford Economics'!$A$6:$AZ$6,0))),'Oxford Economics'!$A$7:$A$1000,$C57,'Oxford Economics'!$B$7:$B$1000,Settings!$B$11)-SUMIFS(INDEX('Oxford Economics'!$A$7:$AZ$1000,0,IFERROR(MATCH(AJ$5,'Oxford Economics'!$A$6:$AZ$6,0),MATCH(AJ$5&amp;"",'Oxford Economics'!$A$6:$AZ$6,0))),'Oxford Economics'!$A$7:$A$1000,$C57,'Oxford Economics'!$B$7:$B$1000,Settings!$B$13),SUMIFS(INDEX('Oxford Economics'!$A$7:$AZ$1000,0,IFERROR(MATCH(AJ$5,'Oxford Economics'!$A$6:$AZ$6,0),MATCH(AJ$5&amp;"",'Oxford Economics'!$A$6:$AZ$6,0))),'Oxford Economics'!$A$7:$A$1000,$C57,'Oxford Economics'!$B$7:$B$1000,Settings!$B$13)+SUMIFS(INDEX('Oxford Economics'!$A$7:$AZ$1000,0,IFERROR(MATCH(AJ$5,'Oxford Economics'!$A$6:$AZ$6,0),MATCH(AJ$5&amp;"",'Oxford Economics'!$A$6:$AZ$6,0))),'Oxford Economics'!$A$7:$A$1000,$C57,'Oxford Economics'!$B$7:$B$1000,Settings!$B$15)+IF(Settings!$B$17="",0,SUMIFS(INDEX('Oxford Economics'!$A$7:$AZ$1000,0,IFERROR(MATCH(AJ$5,'Oxford Economics'!$A$6:$AZ$6,0),MATCH(AJ$5&amp;"",'Oxford Economics'!$A$6:$AZ$6,0))),'Oxford Economics'!$A$7:$A$1000,$C57,'Oxford Economics'!$B$7:$B$1000,Settings!$B$17)))),""))</f>
        <v/>
      </c>
      <c r="AK57" s="37" t="str">
        <f aca="false">IF($A57="","",IFERROR(1/(1/IF($B57="Residential",SUMIFS(INDEX('Oxford Economics'!$A$7:$AZ$1000,0,IFERROR(MATCH(AK$5,'Oxford Economics'!$A$6:$AZ$6,0),MATCH(AK$5&amp;"",'Oxford Economics'!$A$6:$AZ$6,0))),'Oxford Economics'!$A$7:$A$1000,$C57,'Oxford Economics'!$B$7:$B$1000,Settings!$B$11)-SUMIFS(INDEX('Oxford Economics'!$A$7:$AZ$1000,0,IFERROR(MATCH(AK$5,'Oxford Economics'!$A$6:$AZ$6,0),MATCH(AK$5&amp;"",'Oxford Economics'!$A$6:$AZ$6,0))),'Oxford Economics'!$A$7:$A$1000,$C57,'Oxford Economics'!$B$7:$B$1000,Settings!$B$13),SUMIFS(INDEX('Oxford Economics'!$A$7:$AZ$1000,0,IFERROR(MATCH(AK$5,'Oxford Economics'!$A$6:$AZ$6,0),MATCH(AK$5&amp;"",'Oxford Economics'!$A$6:$AZ$6,0))),'Oxford Economics'!$A$7:$A$1000,$C57,'Oxford Economics'!$B$7:$B$1000,Settings!$B$13)+SUMIFS(INDEX('Oxford Economics'!$A$7:$AZ$1000,0,IFERROR(MATCH(AK$5,'Oxford Economics'!$A$6:$AZ$6,0),MATCH(AK$5&amp;"",'Oxford Economics'!$A$6:$AZ$6,0))),'Oxford Economics'!$A$7:$A$1000,$C57,'Oxford Economics'!$B$7:$B$1000,Settings!$B$15)+IF(Settings!$B$17="",0,SUMIFS(INDEX('Oxford Economics'!$A$7:$AZ$1000,0,IFERROR(MATCH(AK$5,'Oxford Economics'!$A$6:$AZ$6,0),MATCH(AK$5&amp;"",'Oxford Economics'!$A$6:$AZ$6,0))),'Oxford Economics'!$A$7:$A$1000,$C57,'Oxford Economics'!$B$7:$B$1000,Settings!$B$17)))),""))</f>
        <v/>
      </c>
      <c r="AL57" s="37" t="str">
        <f aca="false">IF($A57="","",IFERROR(1/(1/IF($B57="Residential",SUMIFS(INDEX('Oxford Economics'!$A$7:$AZ$1000,0,IFERROR(MATCH(AL$5,'Oxford Economics'!$A$6:$AZ$6,0),MATCH(AL$5&amp;"",'Oxford Economics'!$A$6:$AZ$6,0))),'Oxford Economics'!$A$7:$A$1000,$C57,'Oxford Economics'!$B$7:$B$1000,Settings!$B$11)-SUMIFS(INDEX('Oxford Economics'!$A$7:$AZ$1000,0,IFERROR(MATCH(AL$5,'Oxford Economics'!$A$6:$AZ$6,0),MATCH(AL$5&amp;"",'Oxford Economics'!$A$6:$AZ$6,0))),'Oxford Economics'!$A$7:$A$1000,$C57,'Oxford Economics'!$B$7:$B$1000,Settings!$B$13),SUMIFS(INDEX('Oxford Economics'!$A$7:$AZ$1000,0,IFERROR(MATCH(AL$5,'Oxford Economics'!$A$6:$AZ$6,0),MATCH(AL$5&amp;"",'Oxford Economics'!$A$6:$AZ$6,0))),'Oxford Economics'!$A$7:$A$1000,$C57,'Oxford Economics'!$B$7:$B$1000,Settings!$B$13)+SUMIFS(INDEX('Oxford Economics'!$A$7:$AZ$1000,0,IFERROR(MATCH(AL$5,'Oxford Economics'!$A$6:$AZ$6,0),MATCH(AL$5&amp;"",'Oxford Economics'!$A$6:$AZ$6,0))),'Oxford Economics'!$A$7:$A$1000,$C57,'Oxford Economics'!$B$7:$B$1000,Settings!$B$15)+IF(Settings!$B$17="",0,SUMIFS(INDEX('Oxford Economics'!$A$7:$AZ$1000,0,IFERROR(MATCH(AL$5,'Oxford Economics'!$A$6:$AZ$6,0),MATCH(AL$5&amp;"",'Oxford Economics'!$A$6:$AZ$6,0))),'Oxford Economics'!$A$7:$A$1000,$C57,'Oxford Economics'!$B$7:$B$1000,Settings!$B$17)))),""))</f>
        <v/>
      </c>
      <c r="AM57" s="37" t="str">
        <f aca="false">IF($A57="","",IFERROR(1/(1/IF($B57="Residential",SUMIFS(INDEX('Oxford Economics'!$A$7:$AZ$1000,0,IFERROR(MATCH(AM$5,'Oxford Economics'!$A$6:$AZ$6,0),MATCH(AM$5&amp;"",'Oxford Economics'!$A$6:$AZ$6,0))),'Oxford Economics'!$A$7:$A$1000,$C57,'Oxford Economics'!$B$7:$B$1000,Settings!$B$11)-SUMIFS(INDEX('Oxford Economics'!$A$7:$AZ$1000,0,IFERROR(MATCH(AM$5,'Oxford Economics'!$A$6:$AZ$6,0),MATCH(AM$5&amp;"",'Oxford Economics'!$A$6:$AZ$6,0))),'Oxford Economics'!$A$7:$A$1000,$C57,'Oxford Economics'!$B$7:$B$1000,Settings!$B$13),SUMIFS(INDEX('Oxford Economics'!$A$7:$AZ$1000,0,IFERROR(MATCH(AM$5,'Oxford Economics'!$A$6:$AZ$6,0),MATCH(AM$5&amp;"",'Oxford Economics'!$A$6:$AZ$6,0))),'Oxford Economics'!$A$7:$A$1000,$C57,'Oxford Economics'!$B$7:$B$1000,Settings!$B$13)+SUMIFS(INDEX('Oxford Economics'!$A$7:$AZ$1000,0,IFERROR(MATCH(AM$5,'Oxford Economics'!$A$6:$AZ$6,0),MATCH(AM$5&amp;"",'Oxford Economics'!$A$6:$AZ$6,0))),'Oxford Economics'!$A$7:$A$1000,$C57,'Oxford Economics'!$B$7:$B$1000,Settings!$B$15)+IF(Settings!$B$17="",0,SUMIFS(INDEX('Oxford Economics'!$A$7:$AZ$1000,0,IFERROR(MATCH(AM$5,'Oxford Economics'!$A$6:$AZ$6,0),MATCH(AM$5&amp;"",'Oxford Economics'!$A$6:$AZ$6,0))),'Oxford Economics'!$A$7:$A$1000,$C57,'Oxford Economics'!$B$7:$B$1000,Settings!$B$17)))),""))</f>
        <v/>
      </c>
    </row>
    <row r="58" customFormat="false" ht="15" hidden="false" customHeight="false" outlineLevel="0" collapsed="false">
      <c r="A58" s="36" t="str">
        <f aca="false">IF('Raw data'!$A58="","",'Raw data'!$A58)</f>
        <v/>
      </c>
      <c r="B58" s="36" t="str">
        <f aca="false">IF($A58="","",'Raw data'!$C58)</f>
        <v/>
      </c>
      <c r="C58" s="36" t="str">
        <f aca="false">IF($A58="","",IF('Raw data'!$D58="",$A58,'Raw data'!$D58))</f>
        <v/>
      </c>
      <c r="D58" s="37" t="str">
        <f aca="false">IF($A58="","",IF(AND(ISNUMBER(P58),ISNUMBER(AB58)),P58+AB58,""))</f>
        <v/>
      </c>
      <c r="E58" s="37" t="str">
        <f aca="false">IF($A58="","",IF(AND(ISNUMBER(Q58),ISNUMBER(AC58)),Q58+AC58,""))</f>
        <v/>
      </c>
      <c r="F58" s="37" t="str">
        <f aca="false">IF($A58="","",IF(AND(ISNUMBER(R58),ISNUMBER(AD58)),R58+AD58,""))</f>
        <v/>
      </c>
      <c r="G58" s="37" t="str">
        <f aca="false">IF($A58="","",IF(AND(ISNUMBER(S58),ISNUMBER(AE58)),S58+AE58,""))</f>
        <v/>
      </c>
      <c r="H58" s="37" t="str">
        <f aca="false">IF($A58="","",IF(AND(ISNUMBER(T58),ISNUMBER(AF58)),T58+AF58,""))</f>
        <v/>
      </c>
      <c r="I58" s="37" t="str">
        <f aca="false">IF($A58="","",IF(AND(ISNUMBER(U58),ISNUMBER(AG58)),U58+AG58,""))</f>
        <v/>
      </c>
      <c r="J58" s="37" t="str">
        <f aca="false">IF($A58="","",IF(AND(ISNUMBER(V58),ISNUMBER(AH58)),V58+AH58,""))</f>
        <v/>
      </c>
      <c r="K58" s="37" t="str">
        <f aca="false">IF($A58="","",IF(AND(ISNUMBER(W58),ISNUMBER(AI58)),W58+AI58,""))</f>
        <v/>
      </c>
      <c r="L58" s="37" t="str">
        <f aca="false">IF($A58="","",IF(AND(ISNUMBER(X58),ISNUMBER(AJ58)),X58+AJ58,""))</f>
        <v/>
      </c>
      <c r="M58" s="37" t="str">
        <f aca="false">IF($A58="","",IF(AND(ISNUMBER(Y58),ISNUMBER(AK58)),Y58+AK58,""))</f>
        <v/>
      </c>
      <c r="N58" s="37" t="str">
        <f aca="false">IF($A58="","",IF(AND(ISNUMBER(Z58),ISNUMBER(AL58)),Z58+AL58,""))</f>
        <v/>
      </c>
      <c r="O58" s="37" t="str">
        <f aca="false">IF($A58="","",IF(AND(ISNUMBER(AA58),ISNUMBER(AM58)),AA58+AM58,""))</f>
        <v/>
      </c>
      <c r="P58" s="37" t="str">
        <f aca="false">IF($A58="","",IFERROR(1/(1/IF($B58="Residential",SUMIFS(INDEX('Oxford Economics'!$A$7:$AZ$1000,0,IFERROR(MATCH(P$5,'Oxford Economics'!$A$6:$AZ$6,0),MATCH(P$5&amp;"",'Oxford Economics'!$A$6:$AZ$6,0))),'Oxford Economics'!$A$7:$A$1000,$C58,'Oxford Economics'!$B$7:$B$1000,Settings!$B$12)-SUMIFS(INDEX('Oxford Economics'!$A$7:$AZ$1000,0,IFERROR(MATCH(P$5,'Oxford Economics'!$A$6:$AZ$6,0),MATCH(P$5&amp;"",'Oxford Economics'!$A$6:$AZ$6,0))),'Oxford Economics'!$A$7:$A$1000,$C58,'Oxford Economics'!$B$7:$B$1000,Settings!$B$14),SUMIFS(INDEX('Oxford Economics'!$A$7:$AZ$1000,0,IFERROR(MATCH(P$5,'Oxford Economics'!$A$6:$AZ$6,0),MATCH(P$5&amp;"",'Oxford Economics'!$A$6:$AZ$6,0))),'Oxford Economics'!$A$7:$A$1000,$C58,'Oxford Economics'!$B$7:$B$1000,Settings!$B$14)+SUMIFS(INDEX('Oxford Economics'!$A$7:$AZ$1000,0,IFERROR(MATCH(P$5,'Oxford Economics'!$A$6:$AZ$6,0),MATCH(P$5&amp;"",'Oxford Economics'!$A$6:$AZ$6,0))),'Oxford Economics'!$A$7:$A$1000,$C58,'Oxford Economics'!$B$7:$B$1000,Settings!$B$16)+IF(Settings!$B$18="",0,SUMIFS(INDEX('Oxford Economics'!$A$7:$AZ$1000,0,IFERROR(MATCH(P$5,'Oxford Economics'!$A$6:$AZ$6,0),MATCH(P$5&amp;"",'Oxford Economics'!$A$6:$AZ$6,0))),'Oxford Economics'!$A$7:$A$1000,$C58,'Oxford Economics'!$B$7:$B$1000,Settings!$B$18)))),""))</f>
        <v/>
      </c>
      <c r="Q58" s="37" t="str">
        <f aca="false">IF($A58="","",IFERROR(1/(1/IF($B58="Residential",SUMIFS(INDEX('Oxford Economics'!$A$7:$AZ$1000,0,IFERROR(MATCH(Q$5,'Oxford Economics'!$A$6:$AZ$6,0),MATCH(Q$5&amp;"",'Oxford Economics'!$A$6:$AZ$6,0))),'Oxford Economics'!$A$7:$A$1000,$C58,'Oxford Economics'!$B$7:$B$1000,Settings!$B$12)-SUMIFS(INDEX('Oxford Economics'!$A$7:$AZ$1000,0,IFERROR(MATCH(Q$5,'Oxford Economics'!$A$6:$AZ$6,0),MATCH(Q$5&amp;"",'Oxford Economics'!$A$6:$AZ$6,0))),'Oxford Economics'!$A$7:$A$1000,$C58,'Oxford Economics'!$B$7:$B$1000,Settings!$B$14),SUMIFS(INDEX('Oxford Economics'!$A$7:$AZ$1000,0,IFERROR(MATCH(Q$5,'Oxford Economics'!$A$6:$AZ$6,0),MATCH(Q$5&amp;"",'Oxford Economics'!$A$6:$AZ$6,0))),'Oxford Economics'!$A$7:$A$1000,$C58,'Oxford Economics'!$B$7:$B$1000,Settings!$B$14)+SUMIFS(INDEX('Oxford Economics'!$A$7:$AZ$1000,0,IFERROR(MATCH(Q$5,'Oxford Economics'!$A$6:$AZ$6,0),MATCH(Q$5&amp;"",'Oxford Economics'!$A$6:$AZ$6,0))),'Oxford Economics'!$A$7:$A$1000,$C58,'Oxford Economics'!$B$7:$B$1000,Settings!$B$16)+IF(Settings!$B$18="",0,SUMIFS(INDEX('Oxford Economics'!$A$7:$AZ$1000,0,IFERROR(MATCH(Q$5,'Oxford Economics'!$A$6:$AZ$6,0),MATCH(Q$5&amp;"",'Oxford Economics'!$A$6:$AZ$6,0))),'Oxford Economics'!$A$7:$A$1000,$C58,'Oxford Economics'!$B$7:$B$1000,Settings!$B$18)))),""))</f>
        <v/>
      </c>
      <c r="R58" s="37" t="str">
        <f aca="false">IF($A58="","",IFERROR(1/(1/IF($B58="Residential",SUMIFS(INDEX('Oxford Economics'!$A$7:$AZ$1000,0,IFERROR(MATCH(R$5,'Oxford Economics'!$A$6:$AZ$6,0),MATCH(R$5&amp;"",'Oxford Economics'!$A$6:$AZ$6,0))),'Oxford Economics'!$A$7:$A$1000,$C58,'Oxford Economics'!$B$7:$B$1000,Settings!$B$12)-SUMIFS(INDEX('Oxford Economics'!$A$7:$AZ$1000,0,IFERROR(MATCH(R$5,'Oxford Economics'!$A$6:$AZ$6,0),MATCH(R$5&amp;"",'Oxford Economics'!$A$6:$AZ$6,0))),'Oxford Economics'!$A$7:$A$1000,$C58,'Oxford Economics'!$B$7:$B$1000,Settings!$B$14),SUMIFS(INDEX('Oxford Economics'!$A$7:$AZ$1000,0,IFERROR(MATCH(R$5,'Oxford Economics'!$A$6:$AZ$6,0),MATCH(R$5&amp;"",'Oxford Economics'!$A$6:$AZ$6,0))),'Oxford Economics'!$A$7:$A$1000,$C58,'Oxford Economics'!$B$7:$B$1000,Settings!$B$14)+SUMIFS(INDEX('Oxford Economics'!$A$7:$AZ$1000,0,IFERROR(MATCH(R$5,'Oxford Economics'!$A$6:$AZ$6,0),MATCH(R$5&amp;"",'Oxford Economics'!$A$6:$AZ$6,0))),'Oxford Economics'!$A$7:$A$1000,$C58,'Oxford Economics'!$B$7:$B$1000,Settings!$B$16)+IF(Settings!$B$18="",0,SUMIFS(INDEX('Oxford Economics'!$A$7:$AZ$1000,0,IFERROR(MATCH(R$5,'Oxford Economics'!$A$6:$AZ$6,0),MATCH(R$5&amp;"",'Oxford Economics'!$A$6:$AZ$6,0))),'Oxford Economics'!$A$7:$A$1000,$C58,'Oxford Economics'!$B$7:$B$1000,Settings!$B$18)))),""))</f>
        <v/>
      </c>
      <c r="S58" s="37" t="str">
        <f aca="false">IF($A58="","",IFERROR(1/(1/IF($B58="Residential",SUMIFS(INDEX('Oxford Economics'!$A$7:$AZ$1000,0,IFERROR(MATCH(S$5,'Oxford Economics'!$A$6:$AZ$6,0),MATCH(S$5&amp;"",'Oxford Economics'!$A$6:$AZ$6,0))),'Oxford Economics'!$A$7:$A$1000,$C58,'Oxford Economics'!$B$7:$B$1000,Settings!$B$12)-SUMIFS(INDEX('Oxford Economics'!$A$7:$AZ$1000,0,IFERROR(MATCH(S$5,'Oxford Economics'!$A$6:$AZ$6,0),MATCH(S$5&amp;"",'Oxford Economics'!$A$6:$AZ$6,0))),'Oxford Economics'!$A$7:$A$1000,$C58,'Oxford Economics'!$B$7:$B$1000,Settings!$B$14),SUMIFS(INDEX('Oxford Economics'!$A$7:$AZ$1000,0,IFERROR(MATCH(S$5,'Oxford Economics'!$A$6:$AZ$6,0),MATCH(S$5&amp;"",'Oxford Economics'!$A$6:$AZ$6,0))),'Oxford Economics'!$A$7:$A$1000,$C58,'Oxford Economics'!$B$7:$B$1000,Settings!$B$14)+SUMIFS(INDEX('Oxford Economics'!$A$7:$AZ$1000,0,IFERROR(MATCH(S$5,'Oxford Economics'!$A$6:$AZ$6,0),MATCH(S$5&amp;"",'Oxford Economics'!$A$6:$AZ$6,0))),'Oxford Economics'!$A$7:$A$1000,$C58,'Oxford Economics'!$B$7:$B$1000,Settings!$B$16)+IF(Settings!$B$18="",0,SUMIFS(INDEX('Oxford Economics'!$A$7:$AZ$1000,0,IFERROR(MATCH(S$5,'Oxford Economics'!$A$6:$AZ$6,0),MATCH(S$5&amp;"",'Oxford Economics'!$A$6:$AZ$6,0))),'Oxford Economics'!$A$7:$A$1000,$C58,'Oxford Economics'!$B$7:$B$1000,Settings!$B$18)))),""))</f>
        <v/>
      </c>
      <c r="T58" s="37" t="str">
        <f aca="false">IF($A58="","",IFERROR(1/(1/IF($B58="Residential",SUMIFS(INDEX('Oxford Economics'!$A$7:$AZ$1000,0,IFERROR(MATCH(T$5,'Oxford Economics'!$A$6:$AZ$6,0),MATCH(T$5&amp;"",'Oxford Economics'!$A$6:$AZ$6,0))),'Oxford Economics'!$A$7:$A$1000,$C58,'Oxford Economics'!$B$7:$B$1000,Settings!$B$12)-SUMIFS(INDEX('Oxford Economics'!$A$7:$AZ$1000,0,IFERROR(MATCH(T$5,'Oxford Economics'!$A$6:$AZ$6,0),MATCH(T$5&amp;"",'Oxford Economics'!$A$6:$AZ$6,0))),'Oxford Economics'!$A$7:$A$1000,$C58,'Oxford Economics'!$B$7:$B$1000,Settings!$B$14),SUMIFS(INDEX('Oxford Economics'!$A$7:$AZ$1000,0,IFERROR(MATCH(T$5,'Oxford Economics'!$A$6:$AZ$6,0),MATCH(T$5&amp;"",'Oxford Economics'!$A$6:$AZ$6,0))),'Oxford Economics'!$A$7:$A$1000,$C58,'Oxford Economics'!$B$7:$B$1000,Settings!$B$14)+SUMIFS(INDEX('Oxford Economics'!$A$7:$AZ$1000,0,IFERROR(MATCH(T$5,'Oxford Economics'!$A$6:$AZ$6,0),MATCH(T$5&amp;"",'Oxford Economics'!$A$6:$AZ$6,0))),'Oxford Economics'!$A$7:$A$1000,$C58,'Oxford Economics'!$B$7:$B$1000,Settings!$B$16)+IF(Settings!$B$18="",0,SUMIFS(INDEX('Oxford Economics'!$A$7:$AZ$1000,0,IFERROR(MATCH(T$5,'Oxford Economics'!$A$6:$AZ$6,0),MATCH(T$5&amp;"",'Oxford Economics'!$A$6:$AZ$6,0))),'Oxford Economics'!$A$7:$A$1000,$C58,'Oxford Economics'!$B$7:$B$1000,Settings!$B$18)))),""))</f>
        <v/>
      </c>
      <c r="U58" s="37" t="str">
        <f aca="false">IF($A58="","",IFERROR(1/(1/IF($B58="Residential",SUMIFS(INDEX('Oxford Economics'!$A$7:$AZ$1000,0,IFERROR(MATCH(U$5,'Oxford Economics'!$A$6:$AZ$6,0),MATCH(U$5&amp;"",'Oxford Economics'!$A$6:$AZ$6,0))),'Oxford Economics'!$A$7:$A$1000,$C58,'Oxford Economics'!$B$7:$B$1000,Settings!$B$12)-SUMIFS(INDEX('Oxford Economics'!$A$7:$AZ$1000,0,IFERROR(MATCH(U$5,'Oxford Economics'!$A$6:$AZ$6,0),MATCH(U$5&amp;"",'Oxford Economics'!$A$6:$AZ$6,0))),'Oxford Economics'!$A$7:$A$1000,$C58,'Oxford Economics'!$B$7:$B$1000,Settings!$B$14),SUMIFS(INDEX('Oxford Economics'!$A$7:$AZ$1000,0,IFERROR(MATCH(U$5,'Oxford Economics'!$A$6:$AZ$6,0),MATCH(U$5&amp;"",'Oxford Economics'!$A$6:$AZ$6,0))),'Oxford Economics'!$A$7:$A$1000,$C58,'Oxford Economics'!$B$7:$B$1000,Settings!$B$14)+SUMIFS(INDEX('Oxford Economics'!$A$7:$AZ$1000,0,IFERROR(MATCH(U$5,'Oxford Economics'!$A$6:$AZ$6,0),MATCH(U$5&amp;"",'Oxford Economics'!$A$6:$AZ$6,0))),'Oxford Economics'!$A$7:$A$1000,$C58,'Oxford Economics'!$B$7:$B$1000,Settings!$B$16)+IF(Settings!$B$18="",0,SUMIFS(INDEX('Oxford Economics'!$A$7:$AZ$1000,0,IFERROR(MATCH(U$5,'Oxford Economics'!$A$6:$AZ$6,0),MATCH(U$5&amp;"",'Oxford Economics'!$A$6:$AZ$6,0))),'Oxford Economics'!$A$7:$A$1000,$C58,'Oxford Economics'!$B$7:$B$1000,Settings!$B$18)))),""))</f>
        <v/>
      </c>
      <c r="V58" s="37" t="str">
        <f aca="false">IF($A58="","",IFERROR(1/(1/IF($B58="Residential",SUMIFS(INDEX('Oxford Economics'!$A$7:$AZ$1000,0,IFERROR(MATCH(V$5,'Oxford Economics'!$A$6:$AZ$6,0),MATCH(V$5&amp;"",'Oxford Economics'!$A$6:$AZ$6,0))),'Oxford Economics'!$A$7:$A$1000,$C58,'Oxford Economics'!$B$7:$B$1000,Settings!$B$12)-SUMIFS(INDEX('Oxford Economics'!$A$7:$AZ$1000,0,IFERROR(MATCH(V$5,'Oxford Economics'!$A$6:$AZ$6,0),MATCH(V$5&amp;"",'Oxford Economics'!$A$6:$AZ$6,0))),'Oxford Economics'!$A$7:$A$1000,$C58,'Oxford Economics'!$B$7:$B$1000,Settings!$B$14),SUMIFS(INDEX('Oxford Economics'!$A$7:$AZ$1000,0,IFERROR(MATCH(V$5,'Oxford Economics'!$A$6:$AZ$6,0),MATCH(V$5&amp;"",'Oxford Economics'!$A$6:$AZ$6,0))),'Oxford Economics'!$A$7:$A$1000,$C58,'Oxford Economics'!$B$7:$B$1000,Settings!$B$14)+SUMIFS(INDEX('Oxford Economics'!$A$7:$AZ$1000,0,IFERROR(MATCH(V$5,'Oxford Economics'!$A$6:$AZ$6,0),MATCH(V$5&amp;"",'Oxford Economics'!$A$6:$AZ$6,0))),'Oxford Economics'!$A$7:$A$1000,$C58,'Oxford Economics'!$B$7:$B$1000,Settings!$B$16)+IF(Settings!$B$18="",0,SUMIFS(INDEX('Oxford Economics'!$A$7:$AZ$1000,0,IFERROR(MATCH(V$5,'Oxford Economics'!$A$6:$AZ$6,0),MATCH(V$5&amp;"",'Oxford Economics'!$A$6:$AZ$6,0))),'Oxford Economics'!$A$7:$A$1000,$C58,'Oxford Economics'!$B$7:$B$1000,Settings!$B$18)))),""))</f>
        <v/>
      </c>
      <c r="W58" s="37" t="str">
        <f aca="false">IF($A58="","",IFERROR(1/(1/IF($B58="Residential",SUMIFS(INDEX('Oxford Economics'!$A$7:$AZ$1000,0,IFERROR(MATCH(W$5,'Oxford Economics'!$A$6:$AZ$6,0),MATCH(W$5&amp;"",'Oxford Economics'!$A$6:$AZ$6,0))),'Oxford Economics'!$A$7:$A$1000,$C58,'Oxford Economics'!$B$7:$B$1000,Settings!$B$12)-SUMIFS(INDEX('Oxford Economics'!$A$7:$AZ$1000,0,IFERROR(MATCH(W$5,'Oxford Economics'!$A$6:$AZ$6,0),MATCH(W$5&amp;"",'Oxford Economics'!$A$6:$AZ$6,0))),'Oxford Economics'!$A$7:$A$1000,$C58,'Oxford Economics'!$B$7:$B$1000,Settings!$B$14),SUMIFS(INDEX('Oxford Economics'!$A$7:$AZ$1000,0,IFERROR(MATCH(W$5,'Oxford Economics'!$A$6:$AZ$6,0),MATCH(W$5&amp;"",'Oxford Economics'!$A$6:$AZ$6,0))),'Oxford Economics'!$A$7:$A$1000,$C58,'Oxford Economics'!$B$7:$B$1000,Settings!$B$14)+SUMIFS(INDEX('Oxford Economics'!$A$7:$AZ$1000,0,IFERROR(MATCH(W$5,'Oxford Economics'!$A$6:$AZ$6,0),MATCH(W$5&amp;"",'Oxford Economics'!$A$6:$AZ$6,0))),'Oxford Economics'!$A$7:$A$1000,$C58,'Oxford Economics'!$B$7:$B$1000,Settings!$B$16)+IF(Settings!$B$18="",0,SUMIFS(INDEX('Oxford Economics'!$A$7:$AZ$1000,0,IFERROR(MATCH(W$5,'Oxford Economics'!$A$6:$AZ$6,0),MATCH(W$5&amp;"",'Oxford Economics'!$A$6:$AZ$6,0))),'Oxford Economics'!$A$7:$A$1000,$C58,'Oxford Economics'!$B$7:$B$1000,Settings!$B$18)))),""))</f>
        <v/>
      </c>
      <c r="X58" s="37" t="str">
        <f aca="false">IF($A58="","",IFERROR(1/(1/IF($B58="Residential",SUMIFS(INDEX('Oxford Economics'!$A$7:$AZ$1000,0,IFERROR(MATCH(X$5,'Oxford Economics'!$A$6:$AZ$6,0),MATCH(X$5&amp;"",'Oxford Economics'!$A$6:$AZ$6,0))),'Oxford Economics'!$A$7:$A$1000,$C58,'Oxford Economics'!$B$7:$B$1000,Settings!$B$12)-SUMIFS(INDEX('Oxford Economics'!$A$7:$AZ$1000,0,IFERROR(MATCH(X$5,'Oxford Economics'!$A$6:$AZ$6,0),MATCH(X$5&amp;"",'Oxford Economics'!$A$6:$AZ$6,0))),'Oxford Economics'!$A$7:$A$1000,$C58,'Oxford Economics'!$B$7:$B$1000,Settings!$B$14),SUMIFS(INDEX('Oxford Economics'!$A$7:$AZ$1000,0,IFERROR(MATCH(X$5,'Oxford Economics'!$A$6:$AZ$6,0),MATCH(X$5&amp;"",'Oxford Economics'!$A$6:$AZ$6,0))),'Oxford Economics'!$A$7:$A$1000,$C58,'Oxford Economics'!$B$7:$B$1000,Settings!$B$14)+SUMIFS(INDEX('Oxford Economics'!$A$7:$AZ$1000,0,IFERROR(MATCH(X$5,'Oxford Economics'!$A$6:$AZ$6,0),MATCH(X$5&amp;"",'Oxford Economics'!$A$6:$AZ$6,0))),'Oxford Economics'!$A$7:$A$1000,$C58,'Oxford Economics'!$B$7:$B$1000,Settings!$B$16)+IF(Settings!$B$18="",0,SUMIFS(INDEX('Oxford Economics'!$A$7:$AZ$1000,0,IFERROR(MATCH(X$5,'Oxford Economics'!$A$6:$AZ$6,0),MATCH(X$5&amp;"",'Oxford Economics'!$A$6:$AZ$6,0))),'Oxford Economics'!$A$7:$A$1000,$C58,'Oxford Economics'!$B$7:$B$1000,Settings!$B$18)))),""))</f>
        <v/>
      </c>
      <c r="Y58" s="37" t="str">
        <f aca="false">IF($A58="","",IFERROR(1/(1/IF($B58="Residential",SUMIFS(INDEX('Oxford Economics'!$A$7:$AZ$1000,0,IFERROR(MATCH(Y$5,'Oxford Economics'!$A$6:$AZ$6,0),MATCH(Y$5&amp;"",'Oxford Economics'!$A$6:$AZ$6,0))),'Oxford Economics'!$A$7:$A$1000,$C58,'Oxford Economics'!$B$7:$B$1000,Settings!$B$12)-SUMIFS(INDEX('Oxford Economics'!$A$7:$AZ$1000,0,IFERROR(MATCH(Y$5,'Oxford Economics'!$A$6:$AZ$6,0),MATCH(Y$5&amp;"",'Oxford Economics'!$A$6:$AZ$6,0))),'Oxford Economics'!$A$7:$A$1000,$C58,'Oxford Economics'!$B$7:$B$1000,Settings!$B$14),SUMIFS(INDEX('Oxford Economics'!$A$7:$AZ$1000,0,IFERROR(MATCH(Y$5,'Oxford Economics'!$A$6:$AZ$6,0),MATCH(Y$5&amp;"",'Oxford Economics'!$A$6:$AZ$6,0))),'Oxford Economics'!$A$7:$A$1000,$C58,'Oxford Economics'!$B$7:$B$1000,Settings!$B$14)+SUMIFS(INDEX('Oxford Economics'!$A$7:$AZ$1000,0,IFERROR(MATCH(Y$5,'Oxford Economics'!$A$6:$AZ$6,0),MATCH(Y$5&amp;"",'Oxford Economics'!$A$6:$AZ$6,0))),'Oxford Economics'!$A$7:$A$1000,$C58,'Oxford Economics'!$B$7:$B$1000,Settings!$B$16)+IF(Settings!$B$18="",0,SUMIFS(INDEX('Oxford Economics'!$A$7:$AZ$1000,0,IFERROR(MATCH(Y$5,'Oxford Economics'!$A$6:$AZ$6,0),MATCH(Y$5&amp;"",'Oxford Economics'!$A$6:$AZ$6,0))),'Oxford Economics'!$A$7:$A$1000,$C58,'Oxford Economics'!$B$7:$B$1000,Settings!$B$18)))),""))</f>
        <v/>
      </c>
      <c r="Z58" s="37" t="str">
        <f aca="false">IF($A58="","",IFERROR(1/(1/IF($B58="Residential",SUMIFS(INDEX('Oxford Economics'!$A$7:$AZ$1000,0,IFERROR(MATCH(Z$5,'Oxford Economics'!$A$6:$AZ$6,0),MATCH(Z$5&amp;"",'Oxford Economics'!$A$6:$AZ$6,0))),'Oxford Economics'!$A$7:$A$1000,$C58,'Oxford Economics'!$B$7:$B$1000,Settings!$B$12)-SUMIFS(INDEX('Oxford Economics'!$A$7:$AZ$1000,0,IFERROR(MATCH(Z$5,'Oxford Economics'!$A$6:$AZ$6,0),MATCH(Z$5&amp;"",'Oxford Economics'!$A$6:$AZ$6,0))),'Oxford Economics'!$A$7:$A$1000,$C58,'Oxford Economics'!$B$7:$B$1000,Settings!$B$14),SUMIFS(INDEX('Oxford Economics'!$A$7:$AZ$1000,0,IFERROR(MATCH(Z$5,'Oxford Economics'!$A$6:$AZ$6,0),MATCH(Z$5&amp;"",'Oxford Economics'!$A$6:$AZ$6,0))),'Oxford Economics'!$A$7:$A$1000,$C58,'Oxford Economics'!$B$7:$B$1000,Settings!$B$14)+SUMIFS(INDEX('Oxford Economics'!$A$7:$AZ$1000,0,IFERROR(MATCH(Z$5,'Oxford Economics'!$A$6:$AZ$6,0),MATCH(Z$5&amp;"",'Oxford Economics'!$A$6:$AZ$6,0))),'Oxford Economics'!$A$7:$A$1000,$C58,'Oxford Economics'!$B$7:$B$1000,Settings!$B$16)+IF(Settings!$B$18="",0,SUMIFS(INDEX('Oxford Economics'!$A$7:$AZ$1000,0,IFERROR(MATCH(Z$5,'Oxford Economics'!$A$6:$AZ$6,0),MATCH(Z$5&amp;"",'Oxford Economics'!$A$6:$AZ$6,0))),'Oxford Economics'!$A$7:$A$1000,$C58,'Oxford Economics'!$B$7:$B$1000,Settings!$B$18)))),""))</f>
        <v/>
      </c>
      <c r="AA58" s="37" t="str">
        <f aca="false">IF($A58="","",IFERROR(1/(1/IF($B58="Residential",SUMIFS(INDEX('Oxford Economics'!$A$7:$AZ$1000,0,IFERROR(MATCH(AA$5,'Oxford Economics'!$A$6:$AZ$6,0),MATCH(AA$5&amp;"",'Oxford Economics'!$A$6:$AZ$6,0))),'Oxford Economics'!$A$7:$A$1000,$C58,'Oxford Economics'!$B$7:$B$1000,Settings!$B$12)-SUMIFS(INDEX('Oxford Economics'!$A$7:$AZ$1000,0,IFERROR(MATCH(AA$5,'Oxford Economics'!$A$6:$AZ$6,0),MATCH(AA$5&amp;"",'Oxford Economics'!$A$6:$AZ$6,0))),'Oxford Economics'!$A$7:$A$1000,$C58,'Oxford Economics'!$B$7:$B$1000,Settings!$B$14),SUMIFS(INDEX('Oxford Economics'!$A$7:$AZ$1000,0,IFERROR(MATCH(AA$5,'Oxford Economics'!$A$6:$AZ$6,0),MATCH(AA$5&amp;"",'Oxford Economics'!$A$6:$AZ$6,0))),'Oxford Economics'!$A$7:$A$1000,$C58,'Oxford Economics'!$B$7:$B$1000,Settings!$B$14)+SUMIFS(INDEX('Oxford Economics'!$A$7:$AZ$1000,0,IFERROR(MATCH(AA$5,'Oxford Economics'!$A$6:$AZ$6,0),MATCH(AA$5&amp;"",'Oxford Economics'!$A$6:$AZ$6,0))),'Oxford Economics'!$A$7:$A$1000,$C58,'Oxford Economics'!$B$7:$B$1000,Settings!$B$16)+IF(Settings!$B$18="",0,SUMIFS(INDEX('Oxford Economics'!$A$7:$AZ$1000,0,IFERROR(MATCH(AA$5,'Oxford Economics'!$A$6:$AZ$6,0),MATCH(AA$5&amp;"",'Oxford Economics'!$A$6:$AZ$6,0))),'Oxford Economics'!$A$7:$A$1000,$C58,'Oxford Economics'!$B$7:$B$1000,Settings!$B$18)))),""))</f>
        <v/>
      </c>
      <c r="AB58" s="37" t="str">
        <f aca="false">IF($A58="","",IFERROR(1/(1/IF($B58="Residential",SUMIFS(INDEX('Oxford Economics'!$A$7:$AZ$1000,0,IFERROR(MATCH(AB$5,'Oxford Economics'!$A$6:$AZ$6,0),MATCH(AB$5&amp;"",'Oxford Economics'!$A$6:$AZ$6,0))),'Oxford Economics'!$A$7:$A$1000,$C58,'Oxford Economics'!$B$7:$B$1000,Settings!$B$11)-SUMIFS(INDEX('Oxford Economics'!$A$7:$AZ$1000,0,IFERROR(MATCH(AB$5,'Oxford Economics'!$A$6:$AZ$6,0),MATCH(AB$5&amp;"",'Oxford Economics'!$A$6:$AZ$6,0))),'Oxford Economics'!$A$7:$A$1000,$C58,'Oxford Economics'!$B$7:$B$1000,Settings!$B$13),SUMIFS(INDEX('Oxford Economics'!$A$7:$AZ$1000,0,IFERROR(MATCH(AB$5,'Oxford Economics'!$A$6:$AZ$6,0),MATCH(AB$5&amp;"",'Oxford Economics'!$A$6:$AZ$6,0))),'Oxford Economics'!$A$7:$A$1000,$C58,'Oxford Economics'!$B$7:$B$1000,Settings!$B$13)+SUMIFS(INDEX('Oxford Economics'!$A$7:$AZ$1000,0,IFERROR(MATCH(AB$5,'Oxford Economics'!$A$6:$AZ$6,0),MATCH(AB$5&amp;"",'Oxford Economics'!$A$6:$AZ$6,0))),'Oxford Economics'!$A$7:$A$1000,$C58,'Oxford Economics'!$B$7:$B$1000,Settings!$B$15)+IF(Settings!$B$17="",0,SUMIFS(INDEX('Oxford Economics'!$A$7:$AZ$1000,0,IFERROR(MATCH(AB$5,'Oxford Economics'!$A$6:$AZ$6,0),MATCH(AB$5&amp;"",'Oxford Economics'!$A$6:$AZ$6,0))),'Oxford Economics'!$A$7:$A$1000,$C58,'Oxford Economics'!$B$7:$B$1000,Settings!$B$17)))),""))</f>
        <v/>
      </c>
      <c r="AC58" s="37" t="str">
        <f aca="false">IF($A58="","",IFERROR(1/(1/IF($B58="Residential",SUMIFS(INDEX('Oxford Economics'!$A$7:$AZ$1000,0,IFERROR(MATCH(AC$5,'Oxford Economics'!$A$6:$AZ$6,0),MATCH(AC$5&amp;"",'Oxford Economics'!$A$6:$AZ$6,0))),'Oxford Economics'!$A$7:$A$1000,$C58,'Oxford Economics'!$B$7:$B$1000,Settings!$B$11)-SUMIFS(INDEX('Oxford Economics'!$A$7:$AZ$1000,0,IFERROR(MATCH(AC$5,'Oxford Economics'!$A$6:$AZ$6,0),MATCH(AC$5&amp;"",'Oxford Economics'!$A$6:$AZ$6,0))),'Oxford Economics'!$A$7:$A$1000,$C58,'Oxford Economics'!$B$7:$B$1000,Settings!$B$13),SUMIFS(INDEX('Oxford Economics'!$A$7:$AZ$1000,0,IFERROR(MATCH(AC$5,'Oxford Economics'!$A$6:$AZ$6,0),MATCH(AC$5&amp;"",'Oxford Economics'!$A$6:$AZ$6,0))),'Oxford Economics'!$A$7:$A$1000,$C58,'Oxford Economics'!$B$7:$B$1000,Settings!$B$13)+SUMIFS(INDEX('Oxford Economics'!$A$7:$AZ$1000,0,IFERROR(MATCH(AC$5,'Oxford Economics'!$A$6:$AZ$6,0),MATCH(AC$5&amp;"",'Oxford Economics'!$A$6:$AZ$6,0))),'Oxford Economics'!$A$7:$A$1000,$C58,'Oxford Economics'!$B$7:$B$1000,Settings!$B$15)+IF(Settings!$B$17="",0,SUMIFS(INDEX('Oxford Economics'!$A$7:$AZ$1000,0,IFERROR(MATCH(AC$5,'Oxford Economics'!$A$6:$AZ$6,0),MATCH(AC$5&amp;"",'Oxford Economics'!$A$6:$AZ$6,0))),'Oxford Economics'!$A$7:$A$1000,$C58,'Oxford Economics'!$B$7:$B$1000,Settings!$B$17)))),""))</f>
        <v/>
      </c>
      <c r="AD58" s="37" t="str">
        <f aca="false">IF($A58="","",IFERROR(1/(1/IF($B58="Residential",SUMIFS(INDEX('Oxford Economics'!$A$7:$AZ$1000,0,IFERROR(MATCH(AD$5,'Oxford Economics'!$A$6:$AZ$6,0),MATCH(AD$5&amp;"",'Oxford Economics'!$A$6:$AZ$6,0))),'Oxford Economics'!$A$7:$A$1000,$C58,'Oxford Economics'!$B$7:$B$1000,Settings!$B$11)-SUMIFS(INDEX('Oxford Economics'!$A$7:$AZ$1000,0,IFERROR(MATCH(AD$5,'Oxford Economics'!$A$6:$AZ$6,0),MATCH(AD$5&amp;"",'Oxford Economics'!$A$6:$AZ$6,0))),'Oxford Economics'!$A$7:$A$1000,$C58,'Oxford Economics'!$B$7:$B$1000,Settings!$B$13),SUMIFS(INDEX('Oxford Economics'!$A$7:$AZ$1000,0,IFERROR(MATCH(AD$5,'Oxford Economics'!$A$6:$AZ$6,0),MATCH(AD$5&amp;"",'Oxford Economics'!$A$6:$AZ$6,0))),'Oxford Economics'!$A$7:$A$1000,$C58,'Oxford Economics'!$B$7:$B$1000,Settings!$B$13)+SUMIFS(INDEX('Oxford Economics'!$A$7:$AZ$1000,0,IFERROR(MATCH(AD$5,'Oxford Economics'!$A$6:$AZ$6,0),MATCH(AD$5&amp;"",'Oxford Economics'!$A$6:$AZ$6,0))),'Oxford Economics'!$A$7:$A$1000,$C58,'Oxford Economics'!$B$7:$B$1000,Settings!$B$15)+IF(Settings!$B$17="",0,SUMIFS(INDEX('Oxford Economics'!$A$7:$AZ$1000,0,IFERROR(MATCH(AD$5,'Oxford Economics'!$A$6:$AZ$6,0),MATCH(AD$5&amp;"",'Oxford Economics'!$A$6:$AZ$6,0))),'Oxford Economics'!$A$7:$A$1000,$C58,'Oxford Economics'!$B$7:$B$1000,Settings!$B$17)))),""))</f>
        <v/>
      </c>
      <c r="AE58" s="37" t="str">
        <f aca="false">IF($A58="","",IFERROR(1/(1/IF($B58="Residential",SUMIFS(INDEX('Oxford Economics'!$A$7:$AZ$1000,0,IFERROR(MATCH(AE$5,'Oxford Economics'!$A$6:$AZ$6,0),MATCH(AE$5&amp;"",'Oxford Economics'!$A$6:$AZ$6,0))),'Oxford Economics'!$A$7:$A$1000,$C58,'Oxford Economics'!$B$7:$B$1000,Settings!$B$11)-SUMIFS(INDEX('Oxford Economics'!$A$7:$AZ$1000,0,IFERROR(MATCH(AE$5,'Oxford Economics'!$A$6:$AZ$6,0),MATCH(AE$5&amp;"",'Oxford Economics'!$A$6:$AZ$6,0))),'Oxford Economics'!$A$7:$A$1000,$C58,'Oxford Economics'!$B$7:$B$1000,Settings!$B$13),SUMIFS(INDEX('Oxford Economics'!$A$7:$AZ$1000,0,IFERROR(MATCH(AE$5,'Oxford Economics'!$A$6:$AZ$6,0),MATCH(AE$5&amp;"",'Oxford Economics'!$A$6:$AZ$6,0))),'Oxford Economics'!$A$7:$A$1000,$C58,'Oxford Economics'!$B$7:$B$1000,Settings!$B$13)+SUMIFS(INDEX('Oxford Economics'!$A$7:$AZ$1000,0,IFERROR(MATCH(AE$5,'Oxford Economics'!$A$6:$AZ$6,0),MATCH(AE$5&amp;"",'Oxford Economics'!$A$6:$AZ$6,0))),'Oxford Economics'!$A$7:$A$1000,$C58,'Oxford Economics'!$B$7:$B$1000,Settings!$B$15)+IF(Settings!$B$17="",0,SUMIFS(INDEX('Oxford Economics'!$A$7:$AZ$1000,0,IFERROR(MATCH(AE$5,'Oxford Economics'!$A$6:$AZ$6,0),MATCH(AE$5&amp;"",'Oxford Economics'!$A$6:$AZ$6,0))),'Oxford Economics'!$A$7:$A$1000,$C58,'Oxford Economics'!$B$7:$B$1000,Settings!$B$17)))),""))</f>
        <v/>
      </c>
      <c r="AF58" s="37" t="str">
        <f aca="false">IF($A58="","",IFERROR(1/(1/IF($B58="Residential",SUMIFS(INDEX('Oxford Economics'!$A$7:$AZ$1000,0,IFERROR(MATCH(AF$5,'Oxford Economics'!$A$6:$AZ$6,0),MATCH(AF$5&amp;"",'Oxford Economics'!$A$6:$AZ$6,0))),'Oxford Economics'!$A$7:$A$1000,$C58,'Oxford Economics'!$B$7:$B$1000,Settings!$B$11)-SUMIFS(INDEX('Oxford Economics'!$A$7:$AZ$1000,0,IFERROR(MATCH(AF$5,'Oxford Economics'!$A$6:$AZ$6,0),MATCH(AF$5&amp;"",'Oxford Economics'!$A$6:$AZ$6,0))),'Oxford Economics'!$A$7:$A$1000,$C58,'Oxford Economics'!$B$7:$B$1000,Settings!$B$13),SUMIFS(INDEX('Oxford Economics'!$A$7:$AZ$1000,0,IFERROR(MATCH(AF$5,'Oxford Economics'!$A$6:$AZ$6,0),MATCH(AF$5&amp;"",'Oxford Economics'!$A$6:$AZ$6,0))),'Oxford Economics'!$A$7:$A$1000,$C58,'Oxford Economics'!$B$7:$B$1000,Settings!$B$13)+SUMIFS(INDEX('Oxford Economics'!$A$7:$AZ$1000,0,IFERROR(MATCH(AF$5,'Oxford Economics'!$A$6:$AZ$6,0),MATCH(AF$5&amp;"",'Oxford Economics'!$A$6:$AZ$6,0))),'Oxford Economics'!$A$7:$A$1000,$C58,'Oxford Economics'!$B$7:$B$1000,Settings!$B$15)+IF(Settings!$B$17="",0,SUMIFS(INDEX('Oxford Economics'!$A$7:$AZ$1000,0,IFERROR(MATCH(AF$5,'Oxford Economics'!$A$6:$AZ$6,0),MATCH(AF$5&amp;"",'Oxford Economics'!$A$6:$AZ$6,0))),'Oxford Economics'!$A$7:$A$1000,$C58,'Oxford Economics'!$B$7:$B$1000,Settings!$B$17)))),""))</f>
        <v/>
      </c>
      <c r="AG58" s="37" t="str">
        <f aca="false">IF($A58="","",IFERROR(1/(1/IF($B58="Residential",SUMIFS(INDEX('Oxford Economics'!$A$7:$AZ$1000,0,IFERROR(MATCH(AG$5,'Oxford Economics'!$A$6:$AZ$6,0),MATCH(AG$5&amp;"",'Oxford Economics'!$A$6:$AZ$6,0))),'Oxford Economics'!$A$7:$A$1000,$C58,'Oxford Economics'!$B$7:$B$1000,Settings!$B$11)-SUMIFS(INDEX('Oxford Economics'!$A$7:$AZ$1000,0,IFERROR(MATCH(AG$5,'Oxford Economics'!$A$6:$AZ$6,0),MATCH(AG$5&amp;"",'Oxford Economics'!$A$6:$AZ$6,0))),'Oxford Economics'!$A$7:$A$1000,$C58,'Oxford Economics'!$B$7:$B$1000,Settings!$B$13),SUMIFS(INDEX('Oxford Economics'!$A$7:$AZ$1000,0,IFERROR(MATCH(AG$5,'Oxford Economics'!$A$6:$AZ$6,0),MATCH(AG$5&amp;"",'Oxford Economics'!$A$6:$AZ$6,0))),'Oxford Economics'!$A$7:$A$1000,$C58,'Oxford Economics'!$B$7:$B$1000,Settings!$B$13)+SUMIFS(INDEX('Oxford Economics'!$A$7:$AZ$1000,0,IFERROR(MATCH(AG$5,'Oxford Economics'!$A$6:$AZ$6,0),MATCH(AG$5&amp;"",'Oxford Economics'!$A$6:$AZ$6,0))),'Oxford Economics'!$A$7:$A$1000,$C58,'Oxford Economics'!$B$7:$B$1000,Settings!$B$15)+IF(Settings!$B$17="",0,SUMIFS(INDEX('Oxford Economics'!$A$7:$AZ$1000,0,IFERROR(MATCH(AG$5,'Oxford Economics'!$A$6:$AZ$6,0),MATCH(AG$5&amp;"",'Oxford Economics'!$A$6:$AZ$6,0))),'Oxford Economics'!$A$7:$A$1000,$C58,'Oxford Economics'!$B$7:$B$1000,Settings!$B$17)))),""))</f>
        <v/>
      </c>
      <c r="AH58" s="37" t="str">
        <f aca="false">IF($A58="","",IFERROR(1/(1/IF($B58="Residential",SUMIFS(INDEX('Oxford Economics'!$A$7:$AZ$1000,0,IFERROR(MATCH(AH$5,'Oxford Economics'!$A$6:$AZ$6,0),MATCH(AH$5&amp;"",'Oxford Economics'!$A$6:$AZ$6,0))),'Oxford Economics'!$A$7:$A$1000,$C58,'Oxford Economics'!$B$7:$B$1000,Settings!$B$11)-SUMIFS(INDEX('Oxford Economics'!$A$7:$AZ$1000,0,IFERROR(MATCH(AH$5,'Oxford Economics'!$A$6:$AZ$6,0),MATCH(AH$5&amp;"",'Oxford Economics'!$A$6:$AZ$6,0))),'Oxford Economics'!$A$7:$A$1000,$C58,'Oxford Economics'!$B$7:$B$1000,Settings!$B$13),SUMIFS(INDEX('Oxford Economics'!$A$7:$AZ$1000,0,IFERROR(MATCH(AH$5,'Oxford Economics'!$A$6:$AZ$6,0),MATCH(AH$5&amp;"",'Oxford Economics'!$A$6:$AZ$6,0))),'Oxford Economics'!$A$7:$A$1000,$C58,'Oxford Economics'!$B$7:$B$1000,Settings!$B$13)+SUMIFS(INDEX('Oxford Economics'!$A$7:$AZ$1000,0,IFERROR(MATCH(AH$5,'Oxford Economics'!$A$6:$AZ$6,0),MATCH(AH$5&amp;"",'Oxford Economics'!$A$6:$AZ$6,0))),'Oxford Economics'!$A$7:$A$1000,$C58,'Oxford Economics'!$B$7:$B$1000,Settings!$B$15)+IF(Settings!$B$17="",0,SUMIFS(INDEX('Oxford Economics'!$A$7:$AZ$1000,0,IFERROR(MATCH(AH$5,'Oxford Economics'!$A$6:$AZ$6,0),MATCH(AH$5&amp;"",'Oxford Economics'!$A$6:$AZ$6,0))),'Oxford Economics'!$A$7:$A$1000,$C58,'Oxford Economics'!$B$7:$B$1000,Settings!$B$17)))),""))</f>
        <v/>
      </c>
      <c r="AI58" s="37" t="str">
        <f aca="false">IF($A58="","",IFERROR(1/(1/IF($B58="Residential",SUMIFS(INDEX('Oxford Economics'!$A$7:$AZ$1000,0,IFERROR(MATCH(AI$5,'Oxford Economics'!$A$6:$AZ$6,0),MATCH(AI$5&amp;"",'Oxford Economics'!$A$6:$AZ$6,0))),'Oxford Economics'!$A$7:$A$1000,$C58,'Oxford Economics'!$B$7:$B$1000,Settings!$B$11)-SUMIFS(INDEX('Oxford Economics'!$A$7:$AZ$1000,0,IFERROR(MATCH(AI$5,'Oxford Economics'!$A$6:$AZ$6,0),MATCH(AI$5&amp;"",'Oxford Economics'!$A$6:$AZ$6,0))),'Oxford Economics'!$A$7:$A$1000,$C58,'Oxford Economics'!$B$7:$B$1000,Settings!$B$13),SUMIFS(INDEX('Oxford Economics'!$A$7:$AZ$1000,0,IFERROR(MATCH(AI$5,'Oxford Economics'!$A$6:$AZ$6,0),MATCH(AI$5&amp;"",'Oxford Economics'!$A$6:$AZ$6,0))),'Oxford Economics'!$A$7:$A$1000,$C58,'Oxford Economics'!$B$7:$B$1000,Settings!$B$13)+SUMIFS(INDEX('Oxford Economics'!$A$7:$AZ$1000,0,IFERROR(MATCH(AI$5,'Oxford Economics'!$A$6:$AZ$6,0),MATCH(AI$5&amp;"",'Oxford Economics'!$A$6:$AZ$6,0))),'Oxford Economics'!$A$7:$A$1000,$C58,'Oxford Economics'!$B$7:$B$1000,Settings!$B$15)+IF(Settings!$B$17="",0,SUMIFS(INDEX('Oxford Economics'!$A$7:$AZ$1000,0,IFERROR(MATCH(AI$5,'Oxford Economics'!$A$6:$AZ$6,0),MATCH(AI$5&amp;"",'Oxford Economics'!$A$6:$AZ$6,0))),'Oxford Economics'!$A$7:$A$1000,$C58,'Oxford Economics'!$B$7:$B$1000,Settings!$B$17)))),""))</f>
        <v/>
      </c>
      <c r="AJ58" s="37" t="str">
        <f aca="false">IF($A58="","",IFERROR(1/(1/IF($B58="Residential",SUMIFS(INDEX('Oxford Economics'!$A$7:$AZ$1000,0,IFERROR(MATCH(AJ$5,'Oxford Economics'!$A$6:$AZ$6,0),MATCH(AJ$5&amp;"",'Oxford Economics'!$A$6:$AZ$6,0))),'Oxford Economics'!$A$7:$A$1000,$C58,'Oxford Economics'!$B$7:$B$1000,Settings!$B$11)-SUMIFS(INDEX('Oxford Economics'!$A$7:$AZ$1000,0,IFERROR(MATCH(AJ$5,'Oxford Economics'!$A$6:$AZ$6,0),MATCH(AJ$5&amp;"",'Oxford Economics'!$A$6:$AZ$6,0))),'Oxford Economics'!$A$7:$A$1000,$C58,'Oxford Economics'!$B$7:$B$1000,Settings!$B$13),SUMIFS(INDEX('Oxford Economics'!$A$7:$AZ$1000,0,IFERROR(MATCH(AJ$5,'Oxford Economics'!$A$6:$AZ$6,0),MATCH(AJ$5&amp;"",'Oxford Economics'!$A$6:$AZ$6,0))),'Oxford Economics'!$A$7:$A$1000,$C58,'Oxford Economics'!$B$7:$B$1000,Settings!$B$13)+SUMIFS(INDEX('Oxford Economics'!$A$7:$AZ$1000,0,IFERROR(MATCH(AJ$5,'Oxford Economics'!$A$6:$AZ$6,0),MATCH(AJ$5&amp;"",'Oxford Economics'!$A$6:$AZ$6,0))),'Oxford Economics'!$A$7:$A$1000,$C58,'Oxford Economics'!$B$7:$B$1000,Settings!$B$15)+IF(Settings!$B$17="",0,SUMIFS(INDEX('Oxford Economics'!$A$7:$AZ$1000,0,IFERROR(MATCH(AJ$5,'Oxford Economics'!$A$6:$AZ$6,0),MATCH(AJ$5&amp;"",'Oxford Economics'!$A$6:$AZ$6,0))),'Oxford Economics'!$A$7:$A$1000,$C58,'Oxford Economics'!$B$7:$B$1000,Settings!$B$17)))),""))</f>
        <v/>
      </c>
      <c r="AK58" s="37" t="str">
        <f aca="false">IF($A58="","",IFERROR(1/(1/IF($B58="Residential",SUMIFS(INDEX('Oxford Economics'!$A$7:$AZ$1000,0,IFERROR(MATCH(AK$5,'Oxford Economics'!$A$6:$AZ$6,0),MATCH(AK$5&amp;"",'Oxford Economics'!$A$6:$AZ$6,0))),'Oxford Economics'!$A$7:$A$1000,$C58,'Oxford Economics'!$B$7:$B$1000,Settings!$B$11)-SUMIFS(INDEX('Oxford Economics'!$A$7:$AZ$1000,0,IFERROR(MATCH(AK$5,'Oxford Economics'!$A$6:$AZ$6,0),MATCH(AK$5&amp;"",'Oxford Economics'!$A$6:$AZ$6,0))),'Oxford Economics'!$A$7:$A$1000,$C58,'Oxford Economics'!$B$7:$B$1000,Settings!$B$13),SUMIFS(INDEX('Oxford Economics'!$A$7:$AZ$1000,0,IFERROR(MATCH(AK$5,'Oxford Economics'!$A$6:$AZ$6,0),MATCH(AK$5&amp;"",'Oxford Economics'!$A$6:$AZ$6,0))),'Oxford Economics'!$A$7:$A$1000,$C58,'Oxford Economics'!$B$7:$B$1000,Settings!$B$13)+SUMIFS(INDEX('Oxford Economics'!$A$7:$AZ$1000,0,IFERROR(MATCH(AK$5,'Oxford Economics'!$A$6:$AZ$6,0),MATCH(AK$5&amp;"",'Oxford Economics'!$A$6:$AZ$6,0))),'Oxford Economics'!$A$7:$A$1000,$C58,'Oxford Economics'!$B$7:$B$1000,Settings!$B$15)+IF(Settings!$B$17="",0,SUMIFS(INDEX('Oxford Economics'!$A$7:$AZ$1000,0,IFERROR(MATCH(AK$5,'Oxford Economics'!$A$6:$AZ$6,0),MATCH(AK$5&amp;"",'Oxford Economics'!$A$6:$AZ$6,0))),'Oxford Economics'!$A$7:$A$1000,$C58,'Oxford Economics'!$B$7:$B$1000,Settings!$B$17)))),""))</f>
        <v/>
      </c>
      <c r="AL58" s="37" t="str">
        <f aca="false">IF($A58="","",IFERROR(1/(1/IF($B58="Residential",SUMIFS(INDEX('Oxford Economics'!$A$7:$AZ$1000,0,IFERROR(MATCH(AL$5,'Oxford Economics'!$A$6:$AZ$6,0),MATCH(AL$5&amp;"",'Oxford Economics'!$A$6:$AZ$6,0))),'Oxford Economics'!$A$7:$A$1000,$C58,'Oxford Economics'!$B$7:$B$1000,Settings!$B$11)-SUMIFS(INDEX('Oxford Economics'!$A$7:$AZ$1000,0,IFERROR(MATCH(AL$5,'Oxford Economics'!$A$6:$AZ$6,0),MATCH(AL$5&amp;"",'Oxford Economics'!$A$6:$AZ$6,0))),'Oxford Economics'!$A$7:$A$1000,$C58,'Oxford Economics'!$B$7:$B$1000,Settings!$B$13),SUMIFS(INDEX('Oxford Economics'!$A$7:$AZ$1000,0,IFERROR(MATCH(AL$5,'Oxford Economics'!$A$6:$AZ$6,0),MATCH(AL$5&amp;"",'Oxford Economics'!$A$6:$AZ$6,0))),'Oxford Economics'!$A$7:$A$1000,$C58,'Oxford Economics'!$B$7:$B$1000,Settings!$B$13)+SUMIFS(INDEX('Oxford Economics'!$A$7:$AZ$1000,0,IFERROR(MATCH(AL$5,'Oxford Economics'!$A$6:$AZ$6,0),MATCH(AL$5&amp;"",'Oxford Economics'!$A$6:$AZ$6,0))),'Oxford Economics'!$A$7:$A$1000,$C58,'Oxford Economics'!$B$7:$B$1000,Settings!$B$15)+IF(Settings!$B$17="",0,SUMIFS(INDEX('Oxford Economics'!$A$7:$AZ$1000,0,IFERROR(MATCH(AL$5,'Oxford Economics'!$A$6:$AZ$6,0),MATCH(AL$5&amp;"",'Oxford Economics'!$A$6:$AZ$6,0))),'Oxford Economics'!$A$7:$A$1000,$C58,'Oxford Economics'!$B$7:$B$1000,Settings!$B$17)))),""))</f>
        <v/>
      </c>
      <c r="AM58" s="37" t="str">
        <f aca="false">IF($A58="","",IFERROR(1/(1/IF($B58="Residential",SUMIFS(INDEX('Oxford Economics'!$A$7:$AZ$1000,0,IFERROR(MATCH(AM$5,'Oxford Economics'!$A$6:$AZ$6,0),MATCH(AM$5&amp;"",'Oxford Economics'!$A$6:$AZ$6,0))),'Oxford Economics'!$A$7:$A$1000,$C58,'Oxford Economics'!$B$7:$B$1000,Settings!$B$11)-SUMIFS(INDEX('Oxford Economics'!$A$7:$AZ$1000,0,IFERROR(MATCH(AM$5,'Oxford Economics'!$A$6:$AZ$6,0),MATCH(AM$5&amp;"",'Oxford Economics'!$A$6:$AZ$6,0))),'Oxford Economics'!$A$7:$A$1000,$C58,'Oxford Economics'!$B$7:$B$1000,Settings!$B$13),SUMIFS(INDEX('Oxford Economics'!$A$7:$AZ$1000,0,IFERROR(MATCH(AM$5,'Oxford Economics'!$A$6:$AZ$6,0),MATCH(AM$5&amp;"",'Oxford Economics'!$A$6:$AZ$6,0))),'Oxford Economics'!$A$7:$A$1000,$C58,'Oxford Economics'!$B$7:$B$1000,Settings!$B$13)+SUMIFS(INDEX('Oxford Economics'!$A$7:$AZ$1000,0,IFERROR(MATCH(AM$5,'Oxford Economics'!$A$6:$AZ$6,0),MATCH(AM$5&amp;"",'Oxford Economics'!$A$6:$AZ$6,0))),'Oxford Economics'!$A$7:$A$1000,$C58,'Oxford Economics'!$B$7:$B$1000,Settings!$B$15)+IF(Settings!$B$17="",0,SUMIFS(INDEX('Oxford Economics'!$A$7:$AZ$1000,0,IFERROR(MATCH(AM$5,'Oxford Economics'!$A$6:$AZ$6,0),MATCH(AM$5&amp;"",'Oxford Economics'!$A$6:$AZ$6,0))),'Oxford Economics'!$A$7:$A$1000,$C58,'Oxford Economics'!$B$7:$B$1000,Settings!$B$17)))),""))</f>
        <v/>
      </c>
    </row>
    <row r="59" customFormat="false" ht="15" hidden="false" customHeight="false" outlineLevel="0" collapsed="false">
      <c r="A59" s="36" t="str">
        <f aca="false">IF('Raw data'!$A59="","",'Raw data'!$A59)</f>
        <v/>
      </c>
      <c r="B59" s="36" t="str">
        <f aca="false">IF($A59="","",'Raw data'!$C59)</f>
        <v/>
      </c>
      <c r="C59" s="36" t="str">
        <f aca="false">IF($A59="","",IF('Raw data'!$D59="",$A59,'Raw data'!$D59))</f>
        <v/>
      </c>
      <c r="D59" s="37" t="str">
        <f aca="false">IF($A59="","",IF(AND(ISNUMBER(P59),ISNUMBER(AB59)),P59+AB59,""))</f>
        <v/>
      </c>
      <c r="E59" s="37" t="str">
        <f aca="false">IF($A59="","",IF(AND(ISNUMBER(Q59),ISNUMBER(AC59)),Q59+AC59,""))</f>
        <v/>
      </c>
      <c r="F59" s="37" t="str">
        <f aca="false">IF($A59="","",IF(AND(ISNUMBER(R59),ISNUMBER(AD59)),R59+AD59,""))</f>
        <v/>
      </c>
      <c r="G59" s="37" t="str">
        <f aca="false">IF($A59="","",IF(AND(ISNUMBER(S59),ISNUMBER(AE59)),S59+AE59,""))</f>
        <v/>
      </c>
      <c r="H59" s="37" t="str">
        <f aca="false">IF($A59="","",IF(AND(ISNUMBER(T59),ISNUMBER(AF59)),T59+AF59,""))</f>
        <v/>
      </c>
      <c r="I59" s="37" t="str">
        <f aca="false">IF($A59="","",IF(AND(ISNUMBER(U59),ISNUMBER(AG59)),U59+AG59,""))</f>
        <v/>
      </c>
      <c r="J59" s="37" t="str">
        <f aca="false">IF($A59="","",IF(AND(ISNUMBER(V59),ISNUMBER(AH59)),V59+AH59,""))</f>
        <v/>
      </c>
      <c r="K59" s="37" t="str">
        <f aca="false">IF($A59="","",IF(AND(ISNUMBER(W59),ISNUMBER(AI59)),W59+AI59,""))</f>
        <v/>
      </c>
      <c r="L59" s="37" t="str">
        <f aca="false">IF($A59="","",IF(AND(ISNUMBER(X59),ISNUMBER(AJ59)),X59+AJ59,""))</f>
        <v/>
      </c>
      <c r="M59" s="37" t="str">
        <f aca="false">IF($A59="","",IF(AND(ISNUMBER(Y59),ISNUMBER(AK59)),Y59+AK59,""))</f>
        <v/>
      </c>
      <c r="N59" s="37" t="str">
        <f aca="false">IF($A59="","",IF(AND(ISNUMBER(Z59),ISNUMBER(AL59)),Z59+AL59,""))</f>
        <v/>
      </c>
      <c r="O59" s="37" t="str">
        <f aca="false">IF($A59="","",IF(AND(ISNUMBER(AA59),ISNUMBER(AM59)),AA59+AM59,""))</f>
        <v/>
      </c>
      <c r="P59" s="37" t="str">
        <f aca="false">IF($A59="","",IFERROR(1/(1/IF($B59="Residential",SUMIFS(INDEX('Oxford Economics'!$A$7:$AZ$1000,0,IFERROR(MATCH(P$5,'Oxford Economics'!$A$6:$AZ$6,0),MATCH(P$5&amp;"",'Oxford Economics'!$A$6:$AZ$6,0))),'Oxford Economics'!$A$7:$A$1000,$C59,'Oxford Economics'!$B$7:$B$1000,Settings!$B$12)-SUMIFS(INDEX('Oxford Economics'!$A$7:$AZ$1000,0,IFERROR(MATCH(P$5,'Oxford Economics'!$A$6:$AZ$6,0),MATCH(P$5&amp;"",'Oxford Economics'!$A$6:$AZ$6,0))),'Oxford Economics'!$A$7:$A$1000,$C59,'Oxford Economics'!$B$7:$B$1000,Settings!$B$14),SUMIFS(INDEX('Oxford Economics'!$A$7:$AZ$1000,0,IFERROR(MATCH(P$5,'Oxford Economics'!$A$6:$AZ$6,0),MATCH(P$5&amp;"",'Oxford Economics'!$A$6:$AZ$6,0))),'Oxford Economics'!$A$7:$A$1000,$C59,'Oxford Economics'!$B$7:$B$1000,Settings!$B$14)+SUMIFS(INDEX('Oxford Economics'!$A$7:$AZ$1000,0,IFERROR(MATCH(P$5,'Oxford Economics'!$A$6:$AZ$6,0),MATCH(P$5&amp;"",'Oxford Economics'!$A$6:$AZ$6,0))),'Oxford Economics'!$A$7:$A$1000,$C59,'Oxford Economics'!$B$7:$B$1000,Settings!$B$16)+IF(Settings!$B$18="",0,SUMIFS(INDEX('Oxford Economics'!$A$7:$AZ$1000,0,IFERROR(MATCH(P$5,'Oxford Economics'!$A$6:$AZ$6,0),MATCH(P$5&amp;"",'Oxford Economics'!$A$6:$AZ$6,0))),'Oxford Economics'!$A$7:$A$1000,$C59,'Oxford Economics'!$B$7:$B$1000,Settings!$B$18)))),""))</f>
        <v/>
      </c>
      <c r="Q59" s="37" t="str">
        <f aca="false">IF($A59="","",IFERROR(1/(1/IF($B59="Residential",SUMIFS(INDEX('Oxford Economics'!$A$7:$AZ$1000,0,IFERROR(MATCH(Q$5,'Oxford Economics'!$A$6:$AZ$6,0),MATCH(Q$5&amp;"",'Oxford Economics'!$A$6:$AZ$6,0))),'Oxford Economics'!$A$7:$A$1000,$C59,'Oxford Economics'!$B$7:$B$1000,Settings!$B$12)-SUMIFS(INDEX('Oxford Economics'!$A$7:$AZ$1000,0,IFERROR(MATCH(Q$5,'Oxford Economics'!$A$6:$AZ$6,0),MATCH(Q$5&amp;"",'Oxford Economics'!$A$6:$AZ$6,0))),'Oxford Economics'!$A$7:$A$1000,$C59,'Oxford Economics'!$B$7:$B$1000,Settings!$B$14),SUMIFS(INDEX('Oxford Economics'!$A$7:$AZ$1000,0,IFERROR(MATCH(Q$5,'Oxford Economics'!$A$6:$AZ$6,0),MATCH(Q$5&amp;"",'Oxford Economics'!$A$6:$AZ$6,0))),'Oxford Economics'!$A$7:$A$1000,$C59,'Oxford Economics'!$B$7:$B$1000,Settings!$B$14)+SUMIFS(INDEX('Oxford Economics'!$A$7:$AZ$1000,0,IFERROR(MATCH(Q$5,'Oxford Economics'!$A$6:$AZ$6,0),MATCH(Q$5&amp;"",'Oxford Economics'!$A$6:$AZ$6,0))),'Oxford Economics'!$A$7:$A$1000,$C59,'Oxford Economics'!$B$7:$B$1000,Settings!$B$16)+IF(Settings!$B$18="",0,SUMIFS(INDEX('Oxford Economics'!$A$7:$AZ$1000,0,IFERROR(MATCH(Q$5,'Oxford Economics'!$A$6:$AZ$6,0),MATCH(Q$5&amp;"",'Oxford Economics'!$A$6:$AZ$6,0))),'Oxford Economics'!$A$7:$A$1000,$C59,'Oxford Economics'!$B$7:$B$1000,Settings!$B$18)))),""))</f>
        <v/>
      </c>
      <c r="R59" s="37" t="str">
        <f aca="false">IF($A59="","",IFERROR(1/(1/IF($B59="Residential",SUMIFS(INDEX('Oxford Economics'!$A$7:$AZ$1000,0,IFERROR(MATCH(R$5,'Oxford Economics'!$A$6:$AZ$6,0),MATCH(R$5&amp;"",'Oxford Economics'!$A$6:$AZ$6,0))),'Oxford Economics'!$A$7:$A$1000,$C59,'Oxford Economics'!$B$7:$B$1000,Settings!$B$12)-SUMIFS(INDEX('Oxford Economics'!$A$7:$AZ$1000,0,IFERROR(MATCH(R$5,'Oxford Economics'!$A$6:$AZ$6,0),MATCH(R$5&amp;"",'Oxford Economics'!$A$6:$AZ$6,0))),'Oxford Economics'!$A$7:$A$1000,$C59,'Oxford Economics'!$B$7:$B$1000,Settings!$B$14),SUMIFS(INDEX('Oxford Economics'!$A$7:$AZ$1000,0,IFERROR(MATCH(R$5,'Oxford Economics'!$A$6:$AZ$6,0),MATCH(R$5&amp;"",'Oxford Economics'!$A$6:$AZ$6,0))),'Oxford Economics'!$A$7:$A$1000,$C59,'Oxford Economics'!$B$7:$B$1000,Settings!$B$14)+SUMIFS(INDEX('Oxford Economics'!$A$7:$AZ$1000,0,IFERROR(MATCH(R$5,'Oxford Economics'!$A$6:$AZ$6,0),MATCH(R$5&amp;"",'Oxford Economics'!$A$6:$AZ$6,0))),'Oxford Economics'!$A$7:$A$1000,$C59,'Oxford Economics'!$B$7:$B$1000,Settings!$B$16)+IF(Settings!$B$18="",0,SUMIFS(INDEX('Oxford Economics'!$A$7:$AZ$1000,0,IFERROR(MATCH(R$5,'Oxford Economics'!$A$6:$AZ$6,0),MATCH(R$5&amp;"",'Oxford Economics'!$A$6:$AZ$6,0))),'Oxford Economics'!$A$7:$A$1000,$C59,'Oxford Economics'!$B$7:$B$1000,Settings!$B$18)))),""))</f>
        <v/>
      </c>
      <c r="S59" s="37" t="str">
        <f aca="false">IF($A59="","",IFERROR(1/(1/IF($B59="Residential",SUMIFS(INDEX('Oxford Economics'!$A$7:$AZ$1000,0,IFERROR(MATCH(S$5,'Oxford Economics'!$A$6:$AZ$6,0),MATCH(S$5&amp;"",'Oxford Economics'!$A$6:$AZ$6,0))),'Oxford Economics'!$A$7:$A$1000,$C59,'Oxford Economics'!$B$7:$B$1000,Settings!$B$12)-SUMIFS(INDEX('Oxford Economics'!$A$7:$AZ$1000,0,IFERROR(MATCH(S$5,'Oxford Economics'!$A$6:$AZ$6,0),MATCH(S$5&amp;"",'Oxford Economics'!$A$6:$AZ$6,0))),'Oxford Economics'!$A$7:$A$1000,$C59,'Oxford Economics'!$B$7:$B$1000,Settings!$B$14),SUMIFS(INDEX('Oxford Economics'!$A$7:$AZ$1000,0,IFERROR(MATCH(S$5,'Oxford Economics'!$A$6:$AZ$6,0),MATCH(S$5&amp;"",'Oxford Economics'!$A$6:$AZ$6,0))),'Oxford Economics'!$A$7:$A$1000,$C59,'Oxford Economics'!$B$7:$B$1000,Settings!$B$14)+SUMIFS(INDEX('Oxford Economics'!$A$7:$AZ$1000,0,IFERROR(MATCH(S$5,'Oxford Economics'!$A$6:$AZ$6,0),MATCH(S$5&amp;"",'Oxford Economics'!$A$6:$AZ$6,0))),'Oxford Economics'!$A$7:$A$1000,$C59,'Oxford Economics'!$B$7:$B$1000,Settings!$B$16)+IF(Settings!$B$18="",0,SUMIFS(INDEX('Oxford Economics'!$A$7:$AZ$1000,0,IFERROR(MATCH(S$5,'Oxford Economics'!$A$6:$AZ$6,0),MATCH(S$5&amp;"",'Oxford Economics'!$A$6:$AZ$6,0))),'Oxford Economics'!$A$7:$A$1000,$C59,'Oxford Economics'!$B$7:$B$1000,Settings!$B$18)))),""))</f>
        <v/>
      </c>
      <c r="T59" s="37" t="str">
        <f aca="false">IF($A59="","",IFERROR(1/(1/IF($B59="Residential",SUMIFS(INDEX('Oxford Economics'!$A$7:$AZ$1000,0,IFERROR(MATCH(T$5,'Oxford Economics'!$A$6:$AZ$6,0),MATCH(T$5&amp;"",'Oxford Economics'!$A$6:$AZ$6,0))),'Oxford Economics'!$A$7:$A$1000,$C59,'Oxford Economics'!$B$7:$B$1000,Settings!$B$12)-SUMIFS(INDEX('Oxford Economics'!$A$7:$AZ$1000,0,IFERROR(MATCH(T$5,'Oxford Economics'!$A$6:$AZ$6,0),MATCH(T$5&amp;"",'Oxford Economics'!$A$6:$AZ$6,0))),'Oxford Economics'!$A$7:$A$1000,$C59,'Oxford Economics'!$B$7:$B$1000,Settings!$B$14),SUMIFS(INDEX('Oxford Economics'!$A$7:$AZ$1000,0,IFERROR(MATCH(T$5,'Oxford Economics'!$A$6:$AZ$6,0),MATCH(T$5&amp;"",'Oxford Economics'!$A$6:$AZ$6,0))),'Oxford Economics'!$A$7:$A$1000,$C59,'Oxford Economics'!$B$7:$B$1000,Settings!$B$14)+SUMIFS(INDEX('Oxford Economics'!$A$7:$AZ$1000,0,IFERROR(MATCH(T$5,'Oxford Economics'!$A$6:$AZ$6,0),MATCH(T$5&amp;"",'Oxford Economics'!$A$6:$AZ$6,0))),'Oxford Economics'!$A$7:$A$1000,$C59,'Oxford Economics'!$B$7:$B$1000,Settings!$B$16)+IF(Settings!$B$18="",0,SUMIFS(INDEX('Oxford Economics'!$A$7:$AZ$1000,0,IFERROR(MATCH(T$5,'Oxford Economics'!$A$6:$AZ$6,0),MATCH(T$5&amp;"",'Oxford Economics'!$A$6:$AZ$6,0))),'Oxford Economics'!$A$7:$A$1000,$C59,'Oxford Economics'!$B$7:$B$1000,Settings!$B$18)))),""))</f>
        <v/>
      </c>
      <c r="U59" s="37" t="str">
        <f aca="false">IF($A59="","",IFERROR(1/(1/IF($B59="Residential",SUMIFS(INDEX('Oxford Economics'!$A$7:$AZ$1000,0,IFERROR(MATCH(U$5,'Oxford Economics'!$A$6:$AZ$6,0),MATCH(U$5&amp;"",'Oxford Economics'!$A$6:$AZ$6,0))),'Oxford Economics'!$A$7:$A$1000,$C59,'Oxford Economics'!$B$7:$B$1000,Settings!$B$12)-SUMIFS(INDEX('Oxford Economics'!$A$7:$AZ$1000,0,IFERROR(MATCH(U$5,'Oxford Economics'!$A$6:$AZ$6,0),MATCH(U$5&amp;"",'Oxford Economics'!$A$6:$AZ$6,0))),'Oxford Economics'!$A$7:$A$1000,$C59,'Oxford Economics'!$B$7:$B$1000,Settings!$B$14),SUMIFS(INDEX('Oxford Economics'!$A$7:$AZ$1000,0,IFERROR(MATCH(U$5,'Oxford Economics'!$A$6:$AZ$6,0),MATCH(U$5&amp;"",'Oxford Economics'!$A$6:$AZ$6,0))),'Oxford Economics'!$A$7:$A$1000,$C59,'Oxford Economics'!$B$7:$B$1000,Settings!$B$14)+SUMIFS(INDEX('Oxford Economics'!$A$7:$AZ$1000,0,IFERROR(MATCH(U$5,'Oxford Economics'!$A$6:$AZ$6,0),MATCH(U$5&amp;"",'Oxford Economics'!$A$6:$AZ$6,0))),'Oxford Economics'!$A$7:$A$1000,$C59,'Oxford Economics'!$B$7:$B$1000,Settings!$B$16)+IF(Settings!$B$18="",0,SUMIFS(INDEX('Oxford Economics'!$A$7:$AZ$1000,0,IFERROR(MATCH(U$5,'Oxford Economics'!$A$6:$AZ$6,0),MATCH(U$5&amp;"",'Oxford Economics'!$A$6:$AZ$6,0))),'Oxford Economics'!$A$7:$A$1000,$C59,'Oxford Economics'!$B$7:$B$1000,Settings!$B$18)))),""))</f>
        <v/>
      </c>
      <c r="V59" s="37" t="str">
        <f aca="false">IF($A59="","",IFERROR(1/(1/IF($B59="Residential",SUMIFS(INDEX('Oxford Economics'!$A$7:$AZ$1000,0,IFERROR(MATCH(V$5,'Oxford Economics'!$A$6:$AZ$6,0),MATCH(V$5&amp;"",'Oxford Economics'!$A$6:$AZ$6,0))),'Oxford Economics'!$A$7:$A$1000,$C59,'Oxford Economics'!$B$7:$B$1000,Settings!$B$12)-SUMIFS(INDEX('Oxford Economics'!$A$7:$AZ$1000,0,IFERROR(MATCH(V$5,'Oxford Economics'!$A$6:$AZ$6,0),MATCH(V$5&amp;"",'Oxford Economics'!$A$6:$AZ$6,0))),'Oxford Economics'!$A$7:$A$1000,$C59,'Oxford Economics'!$B$7:$B$1000,Settings!$B$14),SUMIFS(INDEX('Oxford Economics'!$A$7:$AZ$1000,0,IFERROR(MATCH(V$5,'Oxford Economics'!$A$6:$AZ$6,0),MATCH(V$5&amp;"",'Oxford Economics'!$A$6:$AZ$6,0))),'Oxford Economics'!$A$7:$A$1000,$C59,'Oxford Economics'!$B$7:$B$1000,Settings!$B$14)+SUMIFS(INDEX('Oxford Economics'!$A$7:$AZ$1000,0,IFERROR(MATCH(V$5,'Oxford Economics'!$A$6:$AZ$6,0),MATCH(V$5&amp;"",'Oxford Economics'!$A$6:$AZ$6,0))),'Oxford Economics'!$A$7:$A$1000,$C59,'Oxford Economics'!$B$7:$B$1000,Settings!$B$16)+IF(Settings!$B$18="",0,SUMIFS(INDEX('Oxford Economics'!$A$7:$AZ$1000,0,IFERROR(MATCH(V$5,'Oxford Economics'!$A$6:$AZ$6,0),MATCH(V$5&amp;"",'Oxford Economics'!$A$6:$AZ$6,0))),'Oxford Economics'!$A$7:$A$1000,$C59,'Oxford Economics'!$B$7:$B$1000,Settings!$B$18)))),""))</f>
        <v/>
      </c>
      <c r="W59" s="37" t="str">
        <f aca="false">IF($A59="","",IFERROR(1/(1/IF($B59="Residential",SUMIFS(INDEX('Oxford Economics'!$A$7:$AZ$1000,0,IFERROR(MATCH(W$5,'Oxford Economics'!$A$6:$AZ$6,0),MATCH(W$5&amp;"",'Oxford Economics'!$A$6:$AZ$6,0))),'Oxford Economics'!$A$7:$A$1000,$C59,'Oxford Economics'!$B$7:$B$1000,Settings!$B$12)-SUMIFS(INDEX('Oxford Economics'!$A$7:$AZ$1000,0,IFERROR(MATCH(W$5,'Oxford Economics'!$A$6:$AZ$6,0),MATCH(W$5&amp;"",'Oxford Economics'!$A$6:$AZ$6,0))),'Oxford Economics'!$A$7:$A$1000,$C59,'Oxford Economics'!$B$7:$B$1000,Settings!$B$14),SUMIFS(INDEX('Oxford Economics'!$A$7:$AZ$1000,0,IFERROR(MATCH(W$5,'Oxford Economics'!$A$6:$AZ$6,0),MATCH(W$5&amp;"",'Oxford Economics'!$A$6:$AZ$6,0))),'Oxford Economics'!$A$7:$A$1000,$C59,'Oxford Economics'!$B$7:$B$1000,Settings!$B$14)+SUMIFS(INDEX('Oxford Economics'!$A$7:$AZ$1000,0,IFERROR(MATCH(W$5,'Oxford Economics'!$A$6:$AZ$6,0),MATCH(W$5&amp;"",'Oxford Economics'!$A$6:$AZ$6,0))),'Oxford Economics'!$A$7:$A$1000,$C59,'Oxford Economics'!$B$7:$B$1000,Settings!$B$16)+IF(Settings!$B$18="",0,SUMIFS(INDEX('Oxford Economics'!$A$7:$AZ$1000,0,IFERROR(MATCH(W$5,'Oxford Economics'!$A$6:$AZ$6,0),MATCH(W$5&amp;"",'Oxford Economics'!$A$6:$AZ$6,0))),'Oxford Economics'!$A$7:$A$1000,$C59,'Oxford Economics'!$B$7:$B$1000,Settings!$B$18)))),""))</f>
        <v/>
      </c>
      <c r="X59" s="37" t="str">
        <f aca="false">IF($A59="","",IFERROR(1/(1/IF($B59="Residential",SUMIFS(INDEX('Oxford Economics'!$A$7:$AZ$1000,0,IFERROR(MATCH(X$5,'Oxford Economics'!$A$6:$AZ$6,0),MATCH(X$5&amp;"",'Oxford Economics'!$A$6:$AZ$6,0))),'Oxford Economics'!$A$7:$A$1000,$C59,'Oxford Economics'!$B$7:$B$1000,Settings!$B$12)-SUMIFS(INDEX('Oxford Economics'!$A$7:$AZ$1000,0,IFERROR(MATCH(X$5,'Oxford Economics'!$A$6:$AZ$6,0),MATCH(X$5&amp;"",'Oxford Economics'!$A$6:$AZ$6,0))),'Oxford Economics'!$A$7:$A$1000,$C59,'Oxford Economics'!$B$7:$B$1000,Settings!$B$14),SUMIFS(INDEX('Oxford Economics'!$A$7:$AZ$1000,0,IFERROR(MATCH(X$5,'Oxford Economics'!$A$6:$AZ$6,0),MATCH(X$5&amp;"",'Oxford Economics'!$A$6:$AZ$6,0))),'Oxford Economics'!$A$7:$A$1000,$C59,'Oxford Economics'!$B$7:$B$1000,Settings!$B$14)+SUMIFS(INDEX('Oxford Economics'!$A$7:$AZ$1000,0,IFERROR(MATCH(X$5,'Oxford Economics'!$A$6:$AZ$6,0),MATCH(X$5&amp;"",'Oxford Economics'!$A$6:$AZ$6,0))),'Oxford Economics'!$A$7:$A$1000,$C59,'Oxford Economics'!$B$7:$B$1000,Settings!$B$16)+IF(Settings!$B$18="",0,SUMIFS(INDEX('Oxford Economics'!$A$7:$AZ$1000,0,IFERROR(MATCH(X$5,'Oxford Economics'!$A$6:$AZ$6,0),MATCH(X$5&amp;"",'Oxford Economics'!$A$6:$AZ$6,0))),'Oxford Economics'!$A$7:$A$1000,$C59,'Oxford Economics'!$B$7:$B$1000,Settings!$B$18)))),""))</f>
        <v/>
      </c>
      <c r="Y59" s="37" t="str">
        <f aca="false">IF($A59="","",IFERROR(1/(1/IF($B59="Residential",SUMIFS(INDEX('Oxford Economics'!$A$7:$AZ$1000,0,IFERROR(MATCH(Y$5,'Oxford Economics'!$A$6:$AZ$6,0),MATCH(Y$5&amp;"",'Oxford Economics'!$A$6:$AZ$6,0))),'Oxford Economics'!$A$7:$A$1000,$C59,'Oxford Economics'!$B$7:$B$1000,Settings!$B$12)-SUMIFS(INDEX('Oxford Economics'!$A$7:$AZ$1000,0,IFERROR(MATCH(Y$5,'Oxford Economics'!$A$6:$AZ$6,0),MATCH(Y$5&amp;"",'Oxford Economics'!$A$6:$AZ$6,0))),'Oxford Economics'!$A$7:$A$1000,$C59,'Oxford Economics'!$B$7:$B$1000,Settings!$B$14),SUMIFS(INDEX('Oxford Economics'!$A$7:$AZ$1000,0,IFERROR(MATCH(Y$5,'Oxford Economics'!$A$6:$AZ$6,0),MATCH(Y$5&amp;"",'Oxford Economics'!$A$6:$AZ$6,0))),'Oxford Economics'!$A$7:$A$1000,$C59,'Oxford Economics'!$B$7:$B$1000,Settings!$B$14)+SUMIFS(INDEX('Oxford Economics'!$A$7:$AZ$1000,0,IFERROR(MATCH(Y$5,'Oxford Economics'!$A$6:$AZ$6,0),MATCH(Y$5&amp;"",'Oxford Economics'!$A$6:$AZ$6,0))),'Oxford Economics'!$A$7:$A$1000,$C59,'Oxford Economics'!$B$7:$B$1000,Settings!$B$16)+IF(Settings!$B$18="",0,SUMIFS(INDEX('Oxford Economics'!$A$7:$AZ$1000,0,IFERROR(MATCH(Y$5,'Oxford Economics'!$A$6:$AZ$6,0),MATCH(Y$5&amp;"",'Oxford Economics'!$A$6:$AZ$6,0))),'Oxford Economics'!$A$7:$A$1000,$C59,'Oxford Economics'!$B$7:$B$1000,Settings!$B$18)))),""))</f>
        <v/>
      </c>
      <c r="Z59" s="37" t="str">
        <f aca="false">IF($A59="","",IFERROR(1/(1/IF($B59="Residential",SUMIFS(INDEX('Oxford Economics'!$A$7:$AZ$1000,0,IFERROR(MATCH(Z$5,'Oxford Economics'!$A$6:$AZ$6,0),MATCH(Z$5&amp;"",'Oxford Economics'!$A$6:$AZ$6,0))),'Oxford Economics'!$A$7:$A$1000,$C59,'Oxford Economics'!$B$7:$B$1000,Settings!$B$12)-SUMIFS(INDEX('Oxford Economics'!$A$7:$AZ$1000,0,IFERROR(MATCH(Z$5,'Oxford Economics'!$A$6:$AZ$6,0),MATCH(Z$5&amp;"",'Oxford Economics'!$A$6:$AZ$6,0))),'Oxford Economics'!$A$7:$A$1000,$C59,'Oxford Economics'!$B$7:$B$1000,Settings!$B$14),SUMIFS(INDEX('Oxford Economics'!$A$7:$AZ$1000,0,IFERROR(MATCH(Z$5,'Oxford Economics'!$A$6:$AZ$6,0),MATCH(Z$5&amp;"",'Oxford Economics'!$A$6:$AZ$6,0))),'Oxford Economics'!$A$7:$A$1000,$C59,'Oxford Economics'!$B$7:$B$1000,Settings!$B$14)+SUMIFS(INDEX('Oxford Economics'!$A$7:$AZ$1000,0,IFERROR(MATCH(Z$5,'Oxford Economics'!$A$6:$AZ$6,0),MATCH(Z$5&amp;"",'Oxford Economics'!$A$6:$AZ$6,0))),'Oxford Economics'!$A$7:$A$1000,$C59,'Oxford Economics'!$B$7:$B$1000,Settings!$B$16)+IF(Settings!$B$18="",0,SUMIFS(INDEX('Oxford Economics'!$A$7:$AZ$1000,0,IFERROR(MATCH(Z$5,'Oxford Economics'!$A$6:$AZ$6,0),MATCH(Z$5&amp;"",'Oxford Economics'!$A$6:$AZ$6,0))),'Oxford Economics'!$A$7:$A$1000,$C59,'Oxford Economics'!$B$7:$B$1000,Settings!$B$18)))),""))</f>
        <v/>
      </c>
      <c r="AA59" s="37" t="str">
        <f aca="false">IF($A59="","",IFERROR(1/(1/IF($B59="Residential",SUMIFS(INDEX('Oxford Economics'!$A$7:$AZ$1000,0,IFERROR(MATCH(AA$5,'Oxford Economics'!$A$6:$AZ$6,0),MATCH(AA$5&amp;"",'Oxford Economics'!$A$6:$AZ$6,0))),'Oxford Economics'!$A$7:$A$1000,$C59,'Oxford Economics'!$B$7:$B$1000,Settings!$B$12)-SUMIFS(INDEX('Oxford Economics'!$A$7:$AZ$1000,0,IFERROR(MATCH(AA$5,'Oxford Economics'!$A$6:$AZ$6,0),MATCH(AA$5&amp;"",'Oxford Economics'!$A$6:$AZ$6,0))),'Oxford Economics'!$A$7:$A$1000,$C59,'Oxford Economics'!$B$7:$B$1000,Settings!$B$14),SUMIFS(INDEX('Oxford Economics'!$A$7:$AZ$1000,0,IFERROR(MATCH(AA$5,'Oxford Economics'!$A$6:$AZ$6,0),MATCH(AA$5&amp;"",'Oxford Economics'!$A$6:$AZ$6,0))),'Oxford Economics'!$A$7:$A$1000,$C59,'Oxford Economics'!$B$7:$B$1000,Settings!$B$14)+SUMIFS(INDEX('Oxford Economics'!$A$7:$AZ$1000,0,IFERROR(MATCH(AA$5,'Oxford Economics'!$A$6:$AZ$6,0),MATCH(AA$5&amp;"",'Oxford Economics'!$A$6:$AZ$6,0))),'Oxford Economics'!$A$7:$A$1000,$C59,'Oxford Economics'!$B$7:$B$1000,Settings!$B$16)+IF(Settings!$B$18="",0,SUMIFS(INDEX('Oxford Economics'!$A$7:$AZ$1000,0,IFERROR(MATCH(AA$5,'Oxford Economics'!$A$6:$AZ$6,0),MATCH(AA$5&amp;"",'Oxford Economics'!$A$6:$AZ$6,0))),'Oxford Economics'!$A$7:$A$1000,$C59,'Oxford Economics'!$B$7:$B$1000,Settings!$B$18)))),""))</f>
        <v/>
      </c>
      <c r="AB59" s="37" t="str">
        <f aca="false">IF($A59="","",IFERROR(1/(1/IF($B59="Residential",SUMIFS(INDEX('Oxford Economics'!$A$7:$AZ$1000,0,IFERROR(MATCH(AB$5,'Oxford Economics'!$A$6:$AZ$6,0),MATCH(AB$5&amp;"",'Oxford Economics'!$A$6:$AZ$6,0))),'Oxford Economics'!$A$7:$A$1000,$C59,'Oxford Economics'!$B$7:$B$1000,Settings!$B$11)-SUMIFS(INDEX('Oxford Economics'!$A$7:$AZ$1000,0,IFERROR(MATCH(AB$5,'Oxford Economics'!$A$6:$AZ$6,0),MATCH(AB$5&amp;"",'Oxford Economics'!$A$6:$AZ$6,0))),'Oxford Economics'!$A$7:$A$1000,$C59,'Oxford Economics'!$B$7:$B$1000,Settings!$B$13),SUMIFS(INDEX('Oxford Economics'!$A$7:$AZ$1000,0,IFERROR(MATCH(AB$5,'Oxford Economics'!$A$6:$AZ$6,0),MATCH(AB$5&amp;"",'Oxford Economics'!$A$6:$AZ$6,0))),'Oxford Economics'!$A$7:$A$1000,$C59,'Oxford Economics'!$B$7:$B$1000,Settings!$B$13)+SUMIFS(INDEX('Oxford Economics'!$A$7:$AZ$1000,0,IFERROR(MATCH(AB$5,'Oxford Economics'!$A$6:$AZ$6,0),MATCH(AB$5&amp;"",'Oxford Economics'!$A$6:$AZ$6,0))),'Oxford Economics'!$A$7:$A$1000,$C59,'Oxford Economics'!$B$7:$B$1000,Settings!$B$15)+IF(Settings!$B$17="",0,SUMIFS(INDEX('Oxford Economics'!$A$7:$AZ$1000,0,IFERROR(MATCH(AB$5,'Oxford Economics'!$A$6:$AZ$6,0),MATCH(AB$5&amp;"",'Oxford Economics'!$A$6:$AZ$6,0))),'Oxford Economics'!$A$7:$A$1000,$C59,'Oxford Economics'!$B$7:$B$1000,Settings!$B$17)))),""))</f>
        <v/>
      </c>
      <c r="AC59" s="37" t="str">
        <f aca="false">IF($A59="","",IFERROR(1/(1/IF($B59="Residential",SUMIFS(INDEX('Oxford Economics'!$A$7:$AZ$1000,0,IFERROR(MATCH(AC$5,'Oxford Economics'!$A$6:$AZ$6,0),MATCH(AC$5&amp;"",'Oxford Economics'!$A$6:$AZ$6,0))),'Oxford Economics'!$A$7:$A$1000,$C59,'Oxford Economics'!$B$7:$B$1000,Settings!$B$11)-SUMIFS(INDEX('Oxford Economics'!$A$7:$AZ$1000,0,IFERROR(MATCH(AC$5,'Oxford Economics'!$A$6:$AZ$6,0),MATCH(AC$5&amp;"",'Oxford Economics'!$A$6:$AZ$6,0))),'Oxford Economics'!$A$7:$A$1000,$C59,'Oxford Economics'!$B$7:$B$1000,Settings!$B$13),SUMIFS(INDEX('Oxford Economics'!$A$7:$AZ$1000,0,IFERROR(MATCH(AC$5,'Oxford Economics'!$A$6:$AZ$6,0),MATCH(AC$5&amp;"",'Oxford Economics'!$A$6:$AZ$6,0))),'Oxford Economics'!$A$7:$A$1000,$C59,'Oxford Economics'!$B$7:$B$1000,Settings!$B$13)+SUMIFS(INDEX('Oxford Economics'!$A$7:$AZ$1000,0,IFERROR(MATCH(AC$5,'Oxford Economics'!$A$6:$AZ$6,0),MATCH(AC$5&amp;"",'Oxford Economics'!$A$6:$AZ$6,0))),'Oxford Economics'!$A$7:$A$1000,$C59,'Oxford Economics'!$B$7:$B$1000,Settings!$B$15)+IF(Settings!$B$17="",0,SUMIFS(INDEX('Oxford Economics'!$A$7:$AZ$1000,0,IFERROR(MATCH(AC$5,'Oxford Economics'!$A$6:$AZ$6,0),MATCH(AC$5&amp;"",'Oxford Economics'!$A$6:$AZ$6,0))),'Oxford Economics'!$A$7:$A$1000,$C59,'Oxford Economics'!$B$7:$B$1000,Settings!$B$17)))),""))</f>
        <v/>
      </c>
      <c r="AD59" s="37" t="str">
        <f aca="false">IF($A59="","",IFERROR(1/(1/IF($B59="Residential",SUMIFS(INDEX('Oxford Economics'!$A$7:$AZ$1000,0,IFERROR(MATCH(AD$5,'Oxford Economics'!$A$6:$AZ$6,0),MATCH(AD$5&amp;"",'Oxford Economics'!$A$6:$AZ$6,0))),'Oxford Economics'!$A$7:$A$1000,$C59,'Oxford Economics'!$B$7:$B$1000,Settings!$B$11)-SUMIFS(INDEX('Oxford Economics'!$A$7:$AZ$1000,0,IFERROR(MATCH(AD$5,'Oxford Economics'!$A$6:$AZ$6,0),MATCH(AD$5&amp;"",'Oxford Economics'!$A$6:$AZ$6,0))),'Oxford Economics'!$A$7:$A$1000,$C59,'Oxford Economics'!$B$7:$B$1000,Settings!$B$13),SUMIFS(INDEX('Oxford Economics'!$A$7:$AZ$1000,0,IFERROR(MATCH(AD$5,'Oxford Economics'!$A$6:$AZ$6,0),MATCH(AD$5&amp;"",'Oxford Economics'!$A$6:$AZ$6,0))),'Oxford Economics'!$A$7:$A$1000,$C59,'Oxford Economics'!$B$7:$B$1000,Settings!$B$13)+SUMIFS(INDEX('Oxford Economics'!$A$7:$AZ$1000,0,IFERROR(MATCH(AD$5,'Oxford Economics'!$A$6:$AZ$6,0),MATCH(AD$5&amp;"",'Oxford Economics'!$A$6:$AZ$6,0))),'Oxford Economics'!$A$7:$A$1000,$C59,'Oxford Economics'!$B$7:$B$1000,Settings!$B$15)+IF(Settings!$B$17="",0,SUMIFS(INDEX('Oxford Economics'!$A$7:$AZ$1000,0,IFERROR(MATCH(AD$5,'Oxford Economics'!$A$6:$AZ$6,0),MATCH(AD$5&amp;"",'Oxford Economics'!$A$6:$AZ$6,0))),'Oxford Economics'!$A$7:$A$1000,$C59,'Oxford Economics'!$B$7:$B$1000,Settings!$B$17)))),""))</f>
        <v/>
      </c>
      <c r="AE59" s="37" t="str">
        <f aca="false">IF($A59="","",IFERROR(1/(1/IF($B59="Residential",SUMIFS(INDEX('Oxford Economics'!$A$7:$AZ$1000,0,IFERROR(MATCH(AE$5,'Oxford Economics'!$A$6:$AZ$6,0),MATCH(AE$5&amp;"",'Oxford Economics'!$A$6:$AZ$6,0))),'Oxford Economics'!$A$7:$A$1000,$C59,'Oxford Economics'!$B$7:$B$1000,Settings!$B$11)-SUMIFS(INDEX('Oxford Economics'!$A$7:$AZ$1000,0,IFERROR(MATCH(AE$5,'Oxford Economics'!$A$6:$AZ$6,0),MATCH(AE$5&amp;"",'Oxford Economics'!$A$6:$AZ$6,0))),'Oxford Economics'!$A$7:$A$1000,$C59,'Oxford Economics'!$B$7:$B$1000,Settings!$B$13),SUMIFS(INDEX('Oxford Economics'!$A$7:$AZ$1000,0,IFERROR(MATCH(AE$5,'Oxford Economics'!$A$6:$AZ$6,0),MATCH(AE$5&amp;"",'Oxford Economics'!$A$6:$AZ$6,0))),'Oxford Economics'!$A$7:$A$1000,$C59,'Oxford Economics'!$B$7:$B$1000,Settings!$B$13)+SUMIFS(INDEX('Oxford Economics'!$A$7:$AZ$1000,0,IFERROR(MATCH(AE$5,'Oxford Economics'!$A$6:$AZ$6,0),MATCH(AE$5&amp;"",'Oxford Economics'!$A$6:$AZ$6,0))),'Oxford Economics'!$A$7:$A$1000,$C59,'Oxford Economics'!$B$7:$B$1000,Settings!$B$15)+IF(Settings!$B$17="",0,SUMIFS(INDEX('Oxford Economics'!$A$7:$AZ$1000,0,IFERROR(MATCH(AE$5,'Oxford Economics'!$A$6:$AZ$6,0),MATCH(AE$5&amp;"",'Oxford Economics'!$A$6:$AZ$6,0))),'Oxford Economics'!$A$7:$A$1000,$C59,'Oxford Economics'!$B$7:$B$1000,Settings!$B$17)))),""))</f>
        <v/>
      </c>
      <c r="AF59" s="37" t="str">
        <f aca="false">IF($A59="","",IFERROR(1/(1/IF($B59="Residential",SUMIFS(INDEX('Oxford Economics'!$A$7:$AZ$1000,0,IFERROR(MATCH(AF$5,'Oxford Economics'!$A$6:$AZ$6,0),MATCH(AF$5&amp;"",'Oxford Economics'!$A$6:$AZ$6,0))),'Oxford Economics'!$A$7:$A$1000,$C59,'Oxford Economics'!$B$7:$B$1000,Settings!$B$11)-SUMIFS(INDEX('Oxford Economics'!$A$7:$AZ$1000,0,IFERROR(MATCH(AF$5,'Oxford Economics'!$A$6:$AZ$6,0),MATCH(AF$5&amp;"",'Oxford Economics'!$A$6:$AZ$6,0))),'Oxford Economics'!$A$7:$A$1000,$C59,'Oxford Economics'!$B$7:$B$1000,Settings!$B$13),SUMIFS(INDEX('Oxford Economics'!$A$7:$AZ$1000,0,IFERROR(MATCH(AF$5,'Oxford Economics'!$A$6:$AZ$6,0),MATCH(AF$5&amp;"",'Oxford Economics'!$A$6:$AZ$6,0))),'Oxford Economics'!$A$7:$A$1000,$C59,'Oxford Economics'!$B$7:$B$1000,Settings!$B$13)+SUMIFS(INDEX('Oxford Economics'!$A$7:$AZ$1000,0,IFERROR(MATCH(AF$5,'Oxford Economics'!$A$6:$AZ$6,0),MATCH(AF$5&amp;"",'Oxford Economics'!$A$6:$AZ$6,0))),'Oxford Economics'!$A$7:$A$1000,$C59,'Oxford Economics'!$B$7:$B$1000,Settings!$B$15)+IF(Settings!$B$17="",0,SUMIFS(INDEX('Oxford Economics'!$A$7:$AZ$1000,0,IFERROR(MATCH(AF$5,'Oxford Economics'!$A$6:$AZ$6,0),MATCH(AF$5&amp;"",'Oxford Economics'!$A$6:$AZ$6,0))),'Oxford Economics'!$A$7:$A$1000,$C59,'Oxford Economics'!$B$7:$B$1000,Settings!$B$17)))),""))</f>
        <v/>
      </c>
      <c r="AG59" s="37" t="str">
        <f aca="false">IF($A59="","",IFERROR(1/(1/IF($B59="Residential",SUMIFS(INDEX('Oxford Economics'!$A$7:$AZ$1000,0,IFERROR(MATCH(AG$5,'Oxford Economics'!$A$6:$AZ$6,0),MATCH(AG$5&amp;"",'Oxford Economics'!$A$6:$AZ$6,0))),'Oxford Economics'!$A$7:$A$1000,$C59,'Oxford Economics'!$B$7:$B$1000,Settings!$B$11)-SUMIFS(INDEX('Oxford Economics'!$A$7:$AZ$1000,0,IFERROR(MATCH(AG$5,'Oxford Economics'!$A$6:$AZ$6,0),MATCH(AG$5&amp;"",'Oxford Economics'!$A$6:$AZ$6,0))),'Oxford Economics'!$A$7:$A$1000,$C59,'Oxford Economics'!$B$7:$B$1000,Settings!$B$13),SUMIFS(INDEX('Oxford Economics'!$A$7:$AZ$1000,0,IFERROR(MATCH(AG$5,'Oxford Economics'!$A$6:$AZ$6,0),MATCH(AG$5&amp;"",'Oxford Economics'!$A$6:$AZ$6,0))),'Oxford Economics'!$A$7:$A$1000,$C59,'Oxford Economics'!$B$7:$B$1000,Settings!$B$13)+SUMIFS(INDEX('Oxford Economics'!$A$7:$AZ$1000,0,IFERROR(MATCH(AG$5,'Oxford Economics'!$A$6:$AZ$6,0),MATCH(AG$5&amp;"",'Oxford Economics'!$A$6:$AZ$6,0))),'Oxford Economics'!$A$7:$A$1000,$C59,'Oxford Economics'!$B$7:$B$1000,Settings!$B$15)+IF(Settings!$B$17="",0,SUMIFS(INDEX('Oxford Economics'!$A$7:$AZ$1000,0,IFERROR(MATCH(AG$5,'Oxford Economics'!$A$6:$AZ$6,0),MATCH(AG$5&amp;"",'Oxford Economics'!$A$6:$AZ$6,0))),'Oxford Economics'!$A$7:$A$1000,$C59,'Oxford Economics'!$B$7:$B$1000,Settings!$B$17)))),""))</f>
        <v/>
      </c>
      <c r="AH59" s="37" t="str">
        <f aca="false">IF($A59="","",IFERROR(1/(1/IF($B59="Residential",SUMIFS(INDEX('Oxford Economics'!$A$7:$AZ$1000,0,IFERROR(MATCH(AH$5,'Oxford Economics'!$A$6:$AZ$6,0),MATCH(AH$5&amp;"",'Oxford Economics'!$A$6:$AZ$6,0))),'Oxford Economics'!$A$7:$A$1000,$C59,'Oxford Economics'!$B$7:$B$1000,Settings!$B$11)-SUMIFS(INDEX('Oxford Economics'!$A$7:$AZ$1000,0,IFERROR(MATCH(AH$5,'Oxford Economics'!$A$6:$AZ$6,0),MATCH(AH$5&amp;"",'Oxford Economics'!$A$6:$AZ$6,0))),'Oxford Economics'!$A$7:$A$1000,$C59,'Oxford Economics'!$B$7:$B$1000,Settings!$B$13),SUMIFS(INDEX('Oxford Economics'!$A$7:$AZ$1000,0,IFERROR(MATCH(AH$5,'Oxford Economics'!$A$6:$AZ$6,0),MATCH(AH$5&amp;"",'Oxford Economics'!$A$6:$AZ$6,0))),'Oxford Economics'!$A$7:$A$1000,$C59,'Oxford Economics'!$B$7:$B$1000,Settings!$B$13)+SUMIFS(INDEX('Oxford Economics'!$A$7:$AZ$1000,0,IFERROR(MATCH(AH$5,'Oxford Economics'!$A$6:$AZ$6,0),MATCH(AH$5&amp;"",'Oxford Economics'!$A$6:$AZ$6,0))),'Oxford Economics'!$A$7:$A$1000,$C59,'Oxford Economics'!$B$7:$B$1000,Settings!$B$15)+IF(Settings!$B$17="",0,SUMIFS(INDEX('Oxford Economics'!$A$7:$AZ$1000,0,IFERROR(MATCH(AH$5,'Oxford Economics'!$A$6:$AZ$6,0),MATCH(AH$5&amp;"",'Oxford Economics'!$A$6:$AZ$6,0))),'Oxford Economics'!$A$7:$A$1000,$C59,'Oxford Economics'!$B$7:$B$1000,Settings!$B$17)))),""))</f>
        <v/>
      </c>
      <c r="AI59" s="37" t="str">
        <f aca="false">IF($A59="","",IFERROR(1/(1/IF($B59="Residential",SUMIFS(INDEX('Oxford Economics'!$A$7:$AZ$1000,0,IFERROR(MATCH(AI$5,'Oxford Economics'!$A$6:$AZ$6,0),MATCH(AI$5&amp;"",'Oxford Economics'!$A$6:$AZ$6,0))),'Oxford Economics'!$A$7:$A$1000,$C59,'Oxford Economics'!$B$7:$B$1000,Settings!$B$11)-SUMIFS(INDEX('Oxford Economics'!$A$7:$AZ$1000,0,IFERROR(MATCH(AI$5,'Oxford Economics'!$A$6:$AZ$6,0),MATCH(AI$5&amp;"",'Oxford Economics'!$A$6:$AZ$6,0))),'Oxford Economics'!$A$7:$A$1000,$C59,'Oxford Economics'!$B$7:$B$1000,Settings!$B$13),SUMIFS(INDEX('Oxford Economics'!$A$7:$AZ$1000,0,IFERROR(MATCH(AI$5,'Oxford Economics'!$A$6:$AZ$6,0),MATCH(AI$5&amp;"",'Oxford Economics'!$A$6:$AZ$6,0))),'Oxford Economics'!$A$7:$A$1000,$C59,'Oxford Economics'!$B$7:$B$1000,Settings!$B$13)+SUMIFS(INDEX('Oxford Economics'!$A$7:$AZ$1000,0,IFERROR(MATCH(AI$5,'Oxford Economics'!$A$6:$AZ$6,0),MATCH(AI$5&amp;"",'Oxford Economics'!$A$6:$AZ$6,0))),'Oxford Economics'!$A$7:$A$1000,$C59,'Oxford Economics'!$B$7:$B$1000,Settings!$B$15)+IF(Settings!$B$17="",0,SUMIFS(INDEX('Oxford Economics'!$A$7:$AZ$1000,0,IFERROR(MATCH(AI$5,'Oxford Economics'!$A$6:$AZ$6,0),MATCH(AI$5&amp;"",'Oxford Economics'!$A$6:$AZ$6,0))),'Oxford Economics'!$A$7:$A$1000,$C59,'Oxford Economics'!$B$7:$B$1000,Settings!$B$17)))),""))</f>
        <v/>
      </c>
      <c r="AJ59" s="37" t="str">
        <f aca="false">IF($A59="","",IFERROR(1/(1/IF($B59="Residential",SUMIFS(INDEX('Oxford Economics'!$A$7:$AZ$1000,0,IFERROR(MATCH(AJ$5,'Oxford Economics'!$A$6:$AZ$6,0),MATCH(AJ$5&amp;"",'Oxford Economics'!$A$6:$AZ$6,0))),'Oxford Economics'!$A$7:$A$1000,$C59,'Oxford Economics'!$B$7:$B$1000,Settings!$B$11)-SUMIFS(INDEX('Oxford Economics'!$A$7:$AZ$1000,0,IFERROR(MATCH(AJ$5,'Oxford Economics'!$A$6:$AZ$6,0),MATCH(AJ$5&amp;"",'Oxford Economics'!$A$6:$AZ$6,0))),'Oxford Economics'!$A$7:$A$1000,$C59,'Oxford Economics'!$B$7:$B$1000,Settings!$B$13),SUMIFS(INDEX('Oxford Economics'!$A$7:$AZ$1000,0,IFERROR(MATCH(AJ$5,'Oxford Economics'!$A$6:$AZ$6,0),MATCH(AJ$5&amp;"",'Oxford Economics'!$A$6:$AZ$6,0))),'Oxford Economics'!$A$7:$A$1000,$C59,'Oxford Economics'!$B$7:$B$1000,Settings!$B$13)+SUMIFS(INDEX('Oxford Economics'!$A$7:$AZ$1000,0,IFERROR(MATCH(AJ$5,'Oxford Economics'!$A$6:$AZ$6,0),MATCH(AJ$5&amp;"",'Oxford Economics'!$A$6:$AZ$6,0))),'Oxford Economics'!$A$7:$A$1000,$C59,'Oxford Economics'!$B$7:$B$1000,Settings!$B$15)+IF(Settings!$B$17="",0,SUMIFS(INDEX('Oxford Economics'!$A$7:$AZ$1000,0,IFERROR(MATCH(AJ$5,'Oxford Economics'!$A$6:$AZ$6,0),MATCH(AJ$5&amp;"",'Oxford Economics'!$A$6:$AZ$6,0))),'Oxford Economics'!$A$7:$A$1000,$C59,'Oxford Economics'!$B$7:$B$1000,Settings!$B$17)))),""))</f>
        <v/>
      </c>
      <c r="AK59" s="37" t="str">
        <f aca="false">IF($A59="","",IFERROR(1/(1/IF($B59="Residential",SUMIFS(INDEX('Oxford Economics'!$A$7:$AZ$1000,0,IFERROR(MATCH(AK$5,'Oxford Economics'!$A$6:$AZ$6,0),MATCH(AK$5&amp;"",'Oxford Economics'!$A$6:$AZ$6,0))),'Oxford Economics'!$A$7:$A$1000,$C59,'Oxford Economics'!$B$7:$B$1000,Settings!$B$11)-SUMIFS(INDEX('Oxford Economics'!$A$7:$AZ$1000,0,IFERROR(MATCH(AK$5,'Oxford Economics'!$A$6:$AZ$6,0),MATCH(AK$5&amp;"",'Oxford Economics'!$A$6:$AZ$6,0))),'Oxford Economics'!$A$7:$A$1000,$C59,'Oxford Economics'!$B$7:$B$1000,Settings!$B$13),SUMIFS(INDEX('Oxford Economics'!$A$7:$AZ$1000,0,IFERROR(MATCH(AK$5,'Oxford Economics'!$A$6:$AZ$6,0),MATCH(AK$5&amp;"",'Oxford Economics'!$A$6:$AZ$6,0))),'Oxford Economics'!$A$7:$A$1000,$C59,'Oxford Economics'!$B$7:$B$1000,Settings!$B$13)+SUMIFS(INDEX('Oxford Economics'!$A$7:$AZ$1000,0,IFERROR(MATCH(AK$5,'Oxford Economics'!$A$6:$AZ$6,0),MATCH(AK$5&amp;"",'Oxford Economics'!$A$6:$AZ$6,0))),'Oxford Economics'!$A$7:$A$1000,$C59,'Oxford Economics'!$B$7:$B$1000,Settings!$B$15)+IF(Settings!$B$17="",0,SUMIFS(INDEX('Oxford Economics'!$A$7:$AZ$1000,0,IFERROR(MATCH(AK$5,'Oxford Economics'!$A$6:$AZ$6,0),MATCH(AK$5&amp;"",'Oxford Economics'!$A$6:$AZ$6,0))),'Oxford Economics'!$A$7:$A$1000,$C59,'Oxford Economics'!$B$7:$B$1000,Settings!$B$17)))),""))</f>
        <v/>
      </c>
      <c r="AL59" s="37" t="str">
        <f aca="false">IF($A59="","",IFERROR(1/(1/IF($B59="Residential",SUMIFS(INDEX('Oxford Economics'!$A$7:$AZ$1000,0,IFERROR(MATCH(AL$5,'Oxford Economics'!$A$6:$AZ$6,0),MATCH(AL$5&amp;"",'Oxford Economics'!$A$6:$AZ$6,0))),'Oxford Economics'!$A$7:$A$1000,$C59,'Oxford Economics'!$B$7:$B$1000,Settings!$B$11)-SUMIFS(INDEX('Oxford Economics'!$A$7:$AZ$1000,0,IFERROR(MATCH(AL$5,'Oxford Economics'!$A$6:$AZ$6,0),MATCH(AL$5&amp;"",'Oxford Economics'!$A$6:$AZ$6,0))),'Oxford Economics'!$A$7:$A$1000,$C59,'Oxford Economics'!$B$7:$B$1000,Settings!$B$13),SUMIFS(INDEX('Oxford Economics'!$A$7:$AZ$1000,0,IFERROR(MATCH(AL$5,'Oxford Economics'!$A$6:$AZ$6,0),MATCH(AL$5&amp;"",'Oxford Economics'!$A$6:$AZ$6,0))),'Oxford Economics'!$A$7:$A$1000,$C59,'Oxford Economics'!$B$7:$B$1000,Settings!$B$13)+SUMIFS(INDEX('Oxford Economics'!$A$7:$AZ$1000,0,IFERROR(MATCH(AL$5,'Oxford Economics'!$A$6:$AZ$6,0),MATCH(AL$5&amp;"",'Oxford Economics'!$A$6:$AZ$6,0))),'Oxford Economics'!$A$7:$A$1000,$C59,'Oxford Economics'!$B$7:$B$1000,Settings!$B$15)+IF(Settings!$B$17="",0,SUMIFS(INDEX('Oxford Economics'!$A$7:$AZ$1000,0,IFERROR(MATCH(AL$5,'Oxford Economics'!$A$6:$AZ$6,0),MATCH(AL$5&amp;"",'Oxford Economics'!$A$6:$AZ$6,0))),'Oxford Economics'!$A$7:$A$1000,$C59,'Oxford Economics'!$B$7:$B$1000,Settings!$B$17)))),""))</f>
        <v/>
      </c>
      <c r="AM59" s="37" t="str">
        <f aca="false">IF($A59="","",IFERROR(1/(1/IF($B59="Residential",SUMIFS(INDEX('Oxford Economics'!$A$7:$AZ$1000,0,IFERROR(MATCH(AM$5,'Oxford Economics'!$A$6:$AZ$6,0),MATCH(AM$5&amp;"",'Oxford Economics'!$A$6:$AZ$6,0))),'Oxford Economics'!$A$7:$A$1000,$C59,'Oxford Economics'!$B$7:$B$1000,Settings!$B$11)-SUMIFS(INDEX('Oxford Economics'!$A$7:$AZ$1000,0,IFERROR(MATCH(AM$5,'Oxford Economics'!$A$6:$AZ$6,0),MATCH(AM$5&amp;"",'Oxford Economics'!$A$6:$AZ$6,0))),'Oxford Economics'!$A$7:$A$1000,$C59,'Oxford Economics'!$B$7:$B$1000,Settings!$B$13),SUMIFS(INDEX('Oxford Economics'!$A$7:$AZ$1000,0,IFERROR(MATCH(AM$5,'Oxford Economics'!$A$6:$AZ$6,0),MATCH(AM$5&amp;"",'Oxford Economics'!$A$6:$AZ$6,0))),'Oxford Economics'!$A$7:$A$1000,$C59,'Oxford Economics'!$B$7:$B$1000,Settings!$B$13)+SUMIFS(INDEX('Oxford Economics'!$A$7:$AZ$1000,0,IFERROR(MATCH(AM$5,'Oxford Economics'!$A$6:$AZ$6,0),MATCH(AM$5&amp;"",'Oxford Economics'!$A$6:$AZ$6,0))),'Oxford Economics'!$A$7:$A$1000,$C59,'Oxford Economics'!$B$7:$B$1000,Settings!$B$15)+IF(Settings!$B$17="",0,SUMIFS(INDEX('Oxford Economics'!$A$7:$AZ$1000,0,IFERROR(MATCH(AM$5,'Oxford Economics'!$A$6:$AZ$6,0),MATCH(AM$5&amp;"",'Oxford Economics'!$A$6:$AZ$6,0))),'Oxford Economics'!$A$7:$A$1000,$C59,'Oxford Economics'!$B$7:$B$1000,Settings!$B$17)))),""))</f>
        <v/>
      </c>
    </row>
    <row r="60" customFormat="false" ht="15" hidden="false" customHeight="false" outlineLevel="0" collapsed="false">
      <c r="A60" s="36" t="str">
        <f aca="false">IF('Raw data'!$A60="","",'Raw data'!$A60)</f>
        <v/>
      </c>
      <c r="B60" s="36" t="str">
        <f aca="false">IF($A60="","",'Raw data'!$C60)</f>
        <v/>
      </c>
      <c r="C60" s="36" t="str">
        <f aca="false">IF($A60="","",IF('Raw data'!$D60="",$A60,'Raw data'!$D60))</f>
        <v/>
      </c>
      <c r="D60" s="37" t="str">
        <f aca="false">IF($A60="","",IF(AND(ISNUMBER(P60),ISNUMBER(AB60)),P60+AB60,""))</f>
        <v/>
      </c>
      <c r="E60" s="37" t="str">
        <f aca="false">IF($A60="","",IF(AND(ISNUMBER(Q60),ISNUMBER(AC60)),Q60+AC60,""))</f>
        <v/>
      </c>
      <c r="F60" s="37" t="str">
        <f aca="false">IF($A60="","",IF(AND(ISNUMBER(R60),ISNUMBER(AD60)),R60+AD60,""))</f>
        <v/>
      </c>
      <c r="G60" s="37" t="str">
        <f aca="false">IF($A60="","",IF(AND(ISNUMBER(S60),ISNUMBER(AE60)),S60+AE60,""))</f>
        <v/>
      </c>
      <c r="H60" s="37" t="str">
        <f aca="false">IF($A60="","",IF(AND(ISNUMBER(T60),ISNUMBER(AF60)),T60+AF60,""))</f>
        <v/>
      </c>
      <c r="I60" s="37" t="str">
        <f aca="false">IF($A60="","",IF(AND(ISNUMBER(U60),ISNUMBER(AG60)),U60+AG60,""))</f>
        <v/>
      </c>
      <c r="J60" s="37" t="str">
        <f aca="false">IF($A60="","",IF(AND(ISNUMBER(V60),ISNUMBER(AH60)),V60+AH60,""))</f>
        <v/>
      </c>
      <c r="K60" s="37" t="str">
        <f aca="false">IF($A60="","",IF(AND(ISNUMBER(W60),ISNUMBER(AI60)),W60+AI60,""))</f>
        <v/>
      </c>
      <c r="L60" s="37" t="str">
        <f aca="false">IF($A60="","",IF(AND(ISNUMBER(X60),ISNUMBER(AJ60)),X60+AJ60,""))</f>
        <v/>
      </c>
      <c r="M60" s="37" t="str">
        <f aca="false">IF($A60="","",IF(AND(ISNUMBER(Y60),ISNUMBER(AK60)),Y60+AK60,""))</f>
        <v/>
      </c>
      <c r="N60" s="37" t="str">
        <f aca="false">IF($A60="","",IF(AND(ISNUMBER(Z60),ISNUMBER(AL60)),Z60+AL60,""))</f>
        <v/>
      </c>
      <c r="O60" s="37" t="str">
        <f aca="false">IF($A60="","",IF(AND(ISNUMBER(AA60),ISNUMBER(AM60)),AA60+AM60,""))</f>
        <v/>
      </c>
      <c r="P60" s="37" t="str">
        <f aca="false">IF($A60="","",IFERROR(1/(1/IF($B60="Residential",SUMIFS(INDEX('Oxford Economics'!$A$7:$AZ$1000,0,IFERROR(MATCH(P$5,'Oxford Economics'!$A$6:$AZ$6,0),MATCH(P$5&amp;"",'Oxford Economics'!$A$6:$AZ$6,0))),'Oxford Economics'!$A$7:$A$1000,$C60,'Oxford Economics'!$B$7:$B$1000,Settings!$B$12)-SUMIFS(INDEX('Oxford Economics'!$A$7:$AZ$1000,0,IFERROR(MATCH(P$5,'Oxford Economics'!$A$6:$AZ$6,0),MATCH(P$5&amp;"",'Oxford Economics'!$A$6:$AZ$6,0))),'Oxford Economics'!$A$7:$A$1000,$C60,'Oxford Economics'!$B$7:$B$1000,Settings!$B$14),SUMIFS(INDEX('Oxford Economics'!$A$7:$AZ$1000,0,IFERROR(MATCH(P$5,'Oxford Economics'!$A$6:$AZ$6,0),MATCH(P$5&amp;"",'Oxford Economics'!$A$6:$AZ$6,0))),'Oxford Economics'!$A$7:$A$1000,$C60,'Oxford Economics'!$B$7:$B$1000,Settings!$B$14)+SUMIFS(INDEX('Oxford Economics'!$A$7:$AZ$1000,0,IFERROR(MATCH(P$5,'Oxford Economics'!$A$6:$AZ$6,0),MATCH(P$5&amp;"",'Oxford Economics'!$A$6:$AZ$6,0))),'Oxford Economics'!$A$7:$A$1000,$C60,'Oxford Economics'!$B$7:$B$1000,Settings!$B$16)+IF(Settings!$B$18="",0,SUMIFS(INDEX('Oxford Economics'!$A$7:$AZ$1000,0,IFERROR(MATCH(P$5,'Oxford Economics'!$A$6:$AZ$6,0),MATCH(P$5&amp;"",'Oxford Economics'!$A$6:$AZ$6,0))),'Oxford Economics'!$A$7:$A$1000,$C60,'Oxford Economics'!$B$7:$B$1000,Settings!$B$18)))),""))</f>
        <v/>
      </c>
      <c r="Q60" s="37" t="str">
        <f aca="false">IF($A60="","",IFERROR(1/(1/IF($B60="Residential",SUMIFS(INDEX('Oxford Economics'!$A$7:$AZ$1000,0,IFERROR(MATCH(Q$5,'Oxford Economics'!$A$6:$AZ$6,0),MATCH(Q$5&amp;"",'Oxford Economics'!$A$6:$AZ$6,0))),'Oxford Economics'!$A$7:$A$1000,$C60,'Oxford Economics'!$B$7:$B$1000,Settings!$B$12)-SUMIFS(INDEX('Oxford Economics'!$A$7:$AZ$1000,0,IFERROR(MATCH(Q$5,'Oxford Economics'!$A$6:$AZ$6,0),MATCH(Q$5&amp;"",'Oxford Economics'!$A$6:$AZ$6,0))),'Oxford Economics'!$A$7:$A$1000,$C60,'Oxford Economics'!$B$7:$B$1000,Settings!$B$14),SUMIFS(INDEX('Oxford Economics'!$A$7:$AZ$1000,0,IFERROR(MATCH(Q$5,'Oxford Economics'!$A$6:$AZ$6,0),MATCH(Q$5&amp;"",'Oxford Economics'!$A$6:$AZ$6,0))),'Oxford Economics'!$A$7:$A$1000,$C60,'Oxford Economics'!$B$7:$B$1000,Settings!$B$14)+SUMIFS(INDEX('Oxford Economics'!$A$7:$AZ$1000,0,IFERROR(MATCH(Q$5,'Oxford Economics'!$A$6:$AZ$6,0),MATCH(Q$5&amp;"",'Oxford Economics'!$A$6:$AZ$6,0))),'Oxford Economics'!$A$7:$A$1000,$C60,'Oxford Economics'!$B$7:$B$1000,Settings!$B$16)+IF(Settings!$B$18="",0,SUMIFS(INDEX('Oxford Economics'!$A$7:$AZ$1000,0,IFERROR(MATCH(Q$5,'Oxford Economics'!$A$6:$AZ$6,0),MATCH(Q$5&amp;"",'Oxford Economics'!$A$6:$AZ$6,0))),'Oxford Economics'!$A$7:$A$1000,$C60,'Oxford Economics'!$B$7:$B$1000,Settings!$B$18)))),""))</f>
        <v/>
      </c>
      <c r="R60" s="37" t="str">
        <f aca="false">IF($A60="","",IFERROR(1/(1/IF($B60="Residential",SUMIFS(INDEX('Oxford Economics'!$A$7:$AZ$1000,0,IFERROR(MATCH(R$5,'Oxford Economics'!$A$6:$AZ$6,0),MATCH(R$5&amp;"",'Oxford Economics'!$A$6:$AZ$6,0))),'Oxford Economics'!$A$7:$A$1000,$C60,'Oxford Economics'!$B$7:$B$1000,Settings!$B$12)-SUMIFS(INDEX('Oxford Economics'!$A$7:$AZ$1000,0,IFERROR(MATCH(R$5,'Oxford Economics'!$A$6:$AZ$6,0),MATCH(R$5&amp;"",'Oxford Economics'!$A$6:$AZ$6,0))),'Oxford Economics'!$A$7:$A$1000,$C60,'Oxford Economics'!$B$7:$B$1000,Settings!$B$14),SUMIFS(INDEX('Oxford Economics'!$A$7:$AZ$1000,0,IFERROR(MATCH(R$5,'Oxford Economics'!$A$6:$AZ$6,0),MATCH(R$5&amp;"",'Oxford Economics'!$A$6:$AZ$6,0))),'Oxford Economics'!$A$7:$A$1000,$C60,'Oxford Economics'!$B$7:$B$1000,Settings!$B$14)+SUMIFS(INDEX('Oxford Economics'!$A$7:$AZ$1000,0,IFERROR(MATCH(R$5,'Oxford Economics'!$A$6:$AZ$6,0),MATCH(R$5&amp;"",'Oxford Economics'!$A$6:$AZ$6,0))),'Oxford Economics'!$A$7:$A$1000,$C60,'Oxford Economics'!$B$7:$B$1000,Settings!$B$16)+IF(Settings!$B$18="",0,SUMIFS(INDEX('Oxford Economics'!$A$7:$AZ$1000,0,IFERROR(MATCH(R$5,'Oxford Economics'!$A$6:$AZ$6,0),MATCH(R$5&amp;"",'Oxford Economics'!$A$6:$AZ$6,0))),'Oxford Economics'!$A$7:$A$1000,$C60,'Oxford Economics'!$B$7:$B$1000,Settings!$B$18)))),""))</f>
        <v/>
      </c>
      <c r="S60" s="37" t="str">
        <f aca="false">IF($A60="","",IFERROR(1/(1/IF($B60="Residential",SUMIFS(INDEX('Oxford Economics'!$A$7:$AZ$1000,0,IFERROR(MATCH(S$5,'Oxford Economics'!$A$6:$AZ$6,0),MATCH(S$5&amp;"",'Oxford Economics'!$A$6:$AZ$6,0))),'Oxford Economics'!$A$7:$A$1000,$C60,'Oxford Economics'!$B$7:$B$1000,Settings!$B$12)-SUMIFS(INDEX('Oxford Economics'!$A$7:$AZ$1000,0,IFERROR(MATCH(S$5,'Oxford Economics'!$A$6:$AZ$6,0),MATCH(S$5&amp;"",'Oxford Economics'!$A$6:$AZ$6,0))),'Oxford Economics'!$A$7:$A$1000,$C60,'Oxford Economics'!$B$7:$B$1000,Settings!$B$14),SUMIFS(INDEX('Oxford Economics'!$A$7:$AZ$1000,0,IFERROR(MATCH(S$5,'Oxford Economics'!$A$6:$AZ$6,0),MATCH(S$5&amp;"",'Oxford Economics'!$A$6:$AZ$6,0))),'Oxford Economics'!$A$7:$A$1000,$C60,'Oxford Economics'!$B$7:$B$1000,Settings!$B$14)+SUMIFS(INDEX('Oxford Economics'!$A$7:$AZ$1000,0,IFERROR(MATCH(S$5,'Oxford Economics'!$A$6:$AZ$6,0),MATCH(S$5&amp;"",'Oxford Economics'!$A$6:$AZ$6,0))),'Oxford Economics'!$A$7:$A$1000,$C60,'Oxford Economics'!$B$7:$B$1000,Settings!$B$16)+IF(Settings!$B$18="",0,SUMIFS(INDEX('Oxford Economics'!$A$7:$AZ$1000,0,IFERROR(MATCH(S$5,'Oxford Economics'!$A$6:$AZ$6,0),MATCH(S$5&amp;"",'Oxford Economics'!$A$6:$AZ$6,0))),'Oxford Economics'!$A$7:$A$1000,$C60,'Oxford Economics'!$B$7:$B$1000,Settings!$B$18)))),""))</f>
        <v/>
      </c>
      <c r="T60" s="37" t="str">
        <f aca="false">IF($A60="","",IFERROR(1/(1/IF($B60="Residential",SUMIFS(INDEX('Oxford Economics'!$A$7:$AZ$1000,0,IFERROR(MATCH(T$5,'Oxford Economics'!$A$6:$AZ$6,0),MATCH(T$5&amp;"",'Oxford Economics'!$A$6:$AZ$6,0))),'Oxford Economics'!$A$7:$A$1000,$C60,'Oxford Economics'!$B$7:$B$1000,Settings!$B$12)-SUMIFS(INDEX('Oxford Economics'!$A$7:$AZ$1000,0,IFERROR(MATCH(T$5,'Oxford Economics'!$A$6:$AZ$6,0),MATCH(T$5&amp;"",'Oxford Economics'!$A$6:$AZ$6,0))),'Oxford Economics'!$A$7:$A$1000,$C60,'Oxford Economics'!$B$7:$B$1000,Settings!$B$14),SUMIFS(INDEX('Oxford Economics'!$A$7:$AZ$1000,0,IFERROR(MATCH(T$5,'Oxford Economics'!$A$6:$AZ$6,0),MATCH(T$5&amp;"",'Oxford Economics'!$A$6:$AZ$6,0))),'Oxford Economics'!$A$7:$A$1000,$C60,'Oxford Economics'!$B$7:$B$1000,Settings!$B$14)+SUMIFS(INDEX('Oxford Economics'!$A$7:$AZ$1000,0,IFERROR(MATCH(T$5,'Oxford Economics'!$A$6:$AZ$6,0),MATCH(T$5&amp;"",'Oxford Economics'!$A$6:$AZ$6,0))),'Oxford Economics'!$A$7:$A$1000,$C60,'Oxford Economics'!$B$7:$B$1000,Settings!$B$16)+IF(Settings!$B$18="",0,SUMIFS(INDEX('Oxford Economics'!$A$7:$AZ$1000,0,IFERROR(MATCH(T$5,'Oxford Economics'!$A$6:$AZ$6,0),MATCH(T$5&amp;"",'Oxford Economics'!$A$6:$AZ$6,0))),'Oxford Economics'!$A$7:$A$1000,$C60,'Oxford Economics'!$B$7:$B$1000,Settings!$B$18)))),""))</f>
        <v/>
      </c>
      <c r="U60" s="37" t="str">
        <f aca="false">IF($A60="","",IFERROR(1/(1/IF($B60="Residential",SUMIFS(INDEX('Oxford Economics'!$A$7:$AZ$1000,0,IFERROR(MATCH(U$5,'Oxford Economics'!$A$6:$AZ$6,0),MATCH(U$5&amp;"",'Oxford Economics'!$A$6:$AZ$6,0))),'Oxford Economics'!$A$7:$A$1000,$C60,'Oxford Economics'!$B$7:$B$1000,Settings!$B$12)-SUMIFS(INDEX('Oxford Economics'!$A$7:$AZ$1000,0,IFERROR(MATCH(U$5,'Oxford Economics'!$A$6:$AZ$6,0),MATCH(U$5&amp;"",'Oxford Economics'!$A$6:$AZ$6,0))),'Oxford Economics'!$A$7:$A$1000,$C60,'Oxford Economics'!$B$7:$B$1000,Settings!$B$14),SUMIFS(INDEX('Oxford Economics'!$A$7:$AZ$1000,0,IFERROR(MATCH(U$5,'Oxford Economics'!$A$6:$AZ$6,0),MATCH(U$5&amp;"",'Oxford Economics'!$A$6:$AZ$6,0))),'Oxford Economics'!$A$7:$A$1000,$C60,'Oxford Economics'!$B$7:$B$1000,Settings!$B$14)+SUMIFS(INDEX('Oxford Economics'!$A$7:$AZ$1000,0,IFERROR(MATCH(U$5,'Oxford Economics'!$A$6:$AZ$6,0),MATCH(U$5&amp;"",'Oxford Economics'!$A$6:$AZ$6,0))),'Oxford Economics'!$A$7:$A$1000,$C60,'Oxford Economics'!$B$7:$B$1000,Settings!$B$16)+IF(Settings!$B$18="",0,SUMIFS(INDEX('Oxford Economics'!$A$7:$AZ$1000,0,IFERROR(MATCH(U$5,'Oxford Economics'!$A$6:$AZ$6,0),MATCH(U$5&amp;"",'Oxford Economics'!$A$6:$AZ$6,0))),'Oxford Economics'!$A$7:$A$1000,$C60,'Oxford Economics'!$B$7:$B$1000,Settings!$B$18)))),""))</f>
        <v/>
      </c>
      <c r="V60" s="37" t="str">
        <f aca="false">IF($A60="","",IFERROR(1/(1/IF($B60="Residential",SUMIFS(INDEX('Oxford Economics'!$A$7:$AZ$1000,0,IFERROR(MATCH(V$5,'Oxford Economics'!$A$6:$AZ$6,0),MATCH(V$5&amp;"",'Oxford Economics'!$A$6:$AZ$6,0))),'Oxford Economics'!$A$7:$A$1000,$C60,'Oxford Economics'!$B$7:$B$1000,Settings!$B$12)-SUMIFS(INDEX('Oxford Economics'!$A$7:$AZ$1000,0,IFERROR(MATCH(V$5,'Oxford Economics'!$A$6:$AZ$6,0),MATCH(V$5&amp;"",'Oxford Economics'!$A$6:$AZ$6,0))),'Oxford Economics'!$A$7:$A$1000,$C60,'Oxford Economics'!$B$7:$B$1000,Settings!$B$14),SUMIFS(INDEX('Oxford Economics'!$A$7:$AZ$1000,0,IFERROR(MATCH(V$5,'Oxford Economics'!$A$6:$AZ$6,0),MATCH(V$5&amp;"",'Oxford Economics'!$A$6:$AZ$6,0))),'Oxford Economics'!$A$7:$A$1000,$C60,'Oxford Economics'!$B$7:$B$1000,Settings!$B$14)+SUMIFS(INDEX('Oxford Economics'!$A$7:$AZ$1000,0,IFERROR(MATCH(V$5,'Oxford Economics'!$A$6:$AZ$6,0),MATCH(V$5&amp;"",'Oxford Economics'!$A$6:$AZ$6,0))),'Oxford Economics'!$A$7:$A$1000,$C60,'Oxford Economics'!$B$7:$B$1000,Settings!$B$16)+IF(Settings!$B$18="",0,SUMIFS(INDEX('Oxford Economics'!$A$7:$AZ$1000,0,IFERROR(MATCH(V$5,'Oxford Economics'!$A$6:$AZ$6,0),MATCH(V$5&amp;"",'Oxford Economics'!$A$6:$AZ$6,0))),'Oxford Economics'!$A$7:$A$1000,$C60,'Oxford Economics'!$B$7:$B$1000,Settings!$B$18)))),""))</f>
        <v/>
      </c>
      <c r="W60" s="37" t="str">
        <f aca="false">IF($A60="","",IFERROR(1/(1/IF($B60="Residential",SUMIFS(INDEX('Oxford Economics'!$A$7:$AZ$1000,0,IFERROR(MATCH(W$5,'Oxford Economics'!$A$6:$AZ$6,0),MATCH(W$5&amp;"",'Oxford Economics'!$A$6:$AZ$6,0))),'Oxford Economics'!$A$7:$A$1000,$C60,'Oxford Economics'!$B$7:$B$1000,Settings!$B$12)-SUMIFS(INDEX('Oxford Economics'!$A$7:$AZ$1000,0,IFERROR(MATCH(W$5,'Oxford Economics'!$A$6:$AZ$6,0),MATCH(W$5&amp;"",'Oxford Economics'!$A$6:$AZ$6,0))),'Oxford Economics'!$A$7:$A$1000,$C60,'Oxford Economics'!$B$7:$B$1000,Settings!$B$14),SUMIFS(INDEX('Oxford Economics'!$A$7:$AZ$1000,0,IFERROR(MATCH(W$5,'Oxford Economics'!$A$6:$AZ$6,0),MATCH(W$5&amp;"",'Oxford Economics'!$A$6:$AZ$6,0))),'Oxford Economics'!$A$7:$A$1000,$C60,'Oxford Economics'!$B$7:$B$1000,Settings!$B$14)+SUMIFS(INDEX('Oxford Economics'!$A$7:$AZ$1000,0,IFERROR(MATCH(W$5,'Oxford Economics'!$A$6:$AZ$6,0),MATCH(W$5&amp;"",'Oxford Economics'!$A$6:$AZ$6,0))),'Oxford Economics'!$A$7:$A$1000,$C60,'Oxford Economics'!$B$7:$B$1000,Settings!$B$16)+IF(Settings!$B$18="",0,SUMIFS(INDEX('Oxford Economics'!$A$7:$AZ$1000,0,IFERROR(MATCH(W$5,'Oxford Economics'!$A$6:$AZ$6,0),MATCH(W$5&amp;"",'Oxford Economics'!$A$6:$AZ$6,0))),'Oxford Economics'!$A$7:$A$1000,$C60,'Oxford Economics'!$B$7:$B$1000,Settings!$B$18)))),""))</f>
        <v/>
      </c>
      <c r="X60" s="37" t="str">
        <f aca="false">IF($A60="","",IFERROR(1/(1/IF($B60="Residential",SUMIFS(INDEX('Oxford Economics'!$A$7:$AZ$1000,0,IFERROR(MATCH(X$5,'Oxford Economics'!$A$6:$AZ$6,0),MATCH(X$5&amp;"",'Oxford Economics'!$A$6:$AZ$6,0))),'Oxford Economics'!$A$7:$A$1000,$C60,'Oxford Economics'!$B$7:$B$1000,Settings!$B$12)-SUMIFS(INDEX('Oxford Economics'!$A$7:$AZ$1000,0,IFERROR(MATCH(X$5,'Oxford Economics'!$A$6:$AZ$6,0),MATCH(X$5&amp;"",'Oxford Economics'!$A$6:$AZ$6,0))),'Oxford Economics'!$A$7:$A$1000,$C60,'Oxford Economics'!$B$7:$B$1000,Settings!$B$14),SUMIFS(INDEX('Oxford Economics'!$A$7:$AZ$1000,0,IFERROR(MATCH(X$5,'Oxford Economics'!$A$6:$AZ$6,0),MATCH(X$5&amp;"",'Oxford Economics'!$A$6:$AZ$6,0))),'Oxford Economics'!$A$7:$A$1000,$C60,'Oxford Economics'!$B$7:$B$1000,Settings!$B$14)+SUMIFS(INDEX('Oxford Economics'!$A$7:$AZ$1000,0,IFERROR(MATCH(X$5,'Oxford Economics'!$A$6:$AZ$6,0),MATCH(X$5&amp;"",'Oxford Economics'!$A$6:$AZ$6,0))),'Oxford Economics'!$A$7:$A$1000,$C60,'Oxford Economics'!$B$7:$B$1000,Settings!$B$16)+IF(Settings!$B$18="",0,SUMIFS(INDEX('Oxford Economics'!$A$7:$AZ$1000,0,IFERROR(MATCH(X$5,'Oxford Economics'!$A$6:$AZ$6,0),MATCH(X$5&amp;"",'Oxford Economics'!$A$6:$AZ$6,0))),'Oxford Economics'!$A$7:$A$1000,$C60,'Oxford Economics'!$B$7:$B$1000,Settings!$B$18)))),""))</f>
        <v/>
      </c>
      <c r="Y60" s="37" t="str">
        <f aca="false">IF($A60="","",IFERROR(1/(1/IF($B60="Residential",SUMIFS(INDEX('Oxford Economics'!$A$7:$AZ$1000,0,IFERROR(MATCH(Y$5,'Oxford Economics'!$A$6:$AZ$6,0),MATCH(Y$5&amp;"",'Oxford Economics'!$A$6:$AZ$6,0))),'Oxford Economics'!$A$7:$A$1000,$C60,'Oxford Economics'!$B$7:$B$1000,Settings!$B$12)-SUMIFS(INDEX('Oxford Economics'!$A$7:$AZ$1000,0,IFERROR(MATCH(Y$5,'Oxford Economics'!$A$6:$AZ$6,0),MATCH(Y$5&amp;"",'Oxford Economics'!$A$6:$AZ$6,0))),'Oxford Economics'!$A$7:$A$1000,$C60,'Oxford Economics'!$B$7:$B$1000,Settings!$B$14),SUMIFS(INDEX('Oxford Economics'!$A$7:$AZ$1000,0,IFERROR(MATCH(Y$5,'Oxford Economics'!$A$6:$AZ$6,0),MATCH(Y$5&amp;"",'Oxford Economics'!$A$6:$AZ$6,0))),'Oxford Economics'!$A$7:$A$1000,$C60,'Oxford Economics'!$B$7:$B$1000,Settings!$B$14)+SUMIFS(INDEX('Oxford Economics'!$A$7:$AZ$1000,0,IFERROR(MATCH(Y$5,'Oxford Economics'!$A$6:$AZ$6,0),MATCH(Y$5&amp;"",'Oxford Economics'!$A$6:$AZ$6,0))),'Oxford Economics'!$A$7:$A$1000,$C60,'Oxford Economics'!$B$7:$B$1000,Settings!$B$16)+IF(Settings!$B$18="",0,SUMIFS(INDEX('Oxford Economics'!$A$7:$AZ$1000,0,IFERROR(MATCH(Y$5,'Oxford Economics'!$A$6:$AZ$6,0),MATCH(Y$5&amp;"",'Oxford Economics'!$A$6:$AZ$6,0))),'Oxford Economics'!$A$7:$A$1000,$C60,'Oxford Economics'!$B$7:$B$1000,Settings!$B$18)))),""))</f>
        <v/>
      </c>
      <c r="Z60" s="37" t="str">
        <f aca="false">IF($A60="","",IFERROR(1/(1/IF($B60="Residential",SUMIFS(INDEX('Oxford Economics'!$A$7:$AZ$1000,0,IFERROR(MATCH(Z$5,'Oxford Economics'!$A$6:$AZ$6,0),MATCH(Z$5&amp;"",'Oxford Economics'!$A$6:$AZ$6,0))),'Oxford Economics'!$A$7:$A$1000,$C60,'Oxford Economics'!$B$7:$B$1000,Settings!$B$12)-SUMIFS(INDEX('Oxford Economics'!$A$7:$AZ$1000,0,IFERROR(MATCH(Z$5,'Oxford Economics'!$A$6:$AZ$6,0),MATCH(Z$5&amp;"",'Oxford Economics'!$A$6:$AZ$6,0))),'Oxford Economics'!$A$7:$A$1000,$C60,'Oxford Economics'!$B$7:$B$1000,Settings!$B$14),SUMIFS(INDEX('Oxford Economics'!$A$7:$AZ$1000,0,IFERROR(MATCH(Z$5,'Oxford Economics'!$A$6:$AZ$6,0),MATCH(Z$5&amp;"",'Oxford Economics'!$A$6:$AZ$6,0))),'Oxford Economics'!$A$7:$A$1000,$C60,'Oxford Economics'!$B$7:$B$1000,Settings!$B$14)+SUMIFS(INDEX('Oxford Economics'!$A$7:$AZ$1000,0,IFERROR(MATCH(Z$5,'Oxford Economics'!$A$6:$AZ$6,0),MATCH(Z$5&amp;"",'Oxford Economics'!$A$6:$AZ$6,0))),'Oxford Economics'!$A$7:$A$1000,$C60,'Oxford Economics'!$B$7:$B$1000,Settings!$B$16)+IF(Settings!$B$18="",0,SUMIFS(INDEX('Oxford Economics'!$A$7:$AZ$1000,0,IFERROR(MATCH(Z$5,'Oxford Economics'!$A$6:$AZ$6,0),MATCH(Z$5&amp;"",'Oxford Economics'!$A$6:$AZ$6,0))),'Oxford Economics'!$A$7:$A$1000,$C60,'Oxford Economics'!$B$7:$B$1000,Settings!$B$18)))),""))</f>
        <v/>
      </c>
      <c r="AA60" s="37" t="str">
        <f aca="false">IF($A60="","",IFERROR(1/(1/IF($B60="Residential",SUMIFS(INDEX('Oxford Economics'!$A$7:$AZ$1000,0,IFERROR(MATCH(AA$5,'Oxford Economics'!$A$6:$AZ$6,0),MATCH(AA$5&amp;"",'Oxford Economics'!$A$6:$AZ$6,0))),'Oxford Economics'!$A$7:$A$1000,$C60,'Oxford Economics'!$B$7:$B$1000,Settings!$B$12)-SUMIFS(INDEX('Oxford Economics'!$A$7:$AZ$1000,0,IFERROR(MATCH(AA$5,'Oxford Economics'!$A$6:$AZ$6,0),MATCH(AA$5&amp;"",'Oxford Economics'!$A$6:$AZ$6,0))),'Oxford Economics'!$A$7:$A$1000,$C60,'Oxford Economics'!$B$7:$B$1000,Settings!$B$14),SUMIFS(INDEX('Oxford Economics'!$A$7:$AZ$1000,0,IFERROR(MATCH(AA$5,'Oxford Economics'!$A$6:$AZ$6,0),MATCH(AA$5&amp;"",'Oxford Economics'!$A$6:$AZ$6,0))),'Oxford Economics'!$A$7:$A$1000,$C60,'Oxford Economics'!$B$7:$B$1000,Settings!$B$14)+SUMIFS(INDEX('Oxford Economics'!$A$7:$AZ$1000,0,IFERROR(MATCH(AA$5,'Oxford Economics'!$A$6:$AZ$6,0),MATCH(AA$5&amp;"",'Oxford Economics'!$A$6:$AZ$6,0))),'Oxford Economics'!$A$7:$A$1000,$C60,'Oxford Economics'!$B$7:$B$1000,Settings!$B$16)+IF(Settings!$B$18="",0,SUMIFS(INDEX('Oxford Economics'!$A$7:$AZ$1000,0,IFERROR(MATCH(AA$5,'Oxford Economics'!$A$6:$AZ$6,0),MATCH(AA$5&amp;"",'Oxford Economics'!$A$6:$AZ$6,0))),'Oxford Economics'!$A$7:$A$1000,$C60,'Oxford Economics'!$B$7:$B$1000,Settings!$B$18)))),""))</f>
        <v/>
      </c>
      <c r="AB60" s="37" t="str">
        <f aca="false">IF($A60="","",IFERROR(1/(1/IF($B60="Residential",SUMIFS(INDEX('Oxford Economics'!$A$7:$AZ$1000,0,IFERROR(MATCH(AB$5,'Oxford Economics'!$A$6:$AZ$6,0),MATCH(AB$5&amp;"",'Oxford Economics'!$A$6:$AZ$6,0))),'Oxford Economics'!$A$7:$A$1000,$C60,'Oxford Economics'!$B$7:$B$1000,Settings!$B$11)-SUMIFS(INDEX('Oxford Economics'!$A$7:$AZ$1000,0,IFERROR(MATCH(AB$5,'Oxford Economics'!$A$6:$AZ$6,0),MATCH(AB$5&amp;"",'Oxford Economics'!$A$6:$AZ$6,0))),'Oxford Economics'!$A$7:$A$1000,$C60,'Oxford Economics'!$B$7:$B$1000,Settings!$B$13),SUMIFS(INDEX('Oxford Economics'!$A$7:$AZ$1000,0,IFERROR(MATCH(AB$5,'Oxford Economics'!$A$6:$AZ$6,0),MATCH(AB$5&amp;"",'Oxford Economics'!$A$6:$AZ$6,0))),'Oxford Economics'!$A$7:$A$1000,$C60,'Oxford Economics'!$B$7:$B$1000,Settings!$B$13)+SUMIFS(INDEX('Oxford Economics'!$A$7:$AZ$1000,0,IFERROR(MATCH(AB$5,'Oxford Economics'!$A$6:$AZ$6,0),MATCH(AB$5&amp;"",'Oxford Economics'!$A$6:$AZ$6,0))),'Oxford Economics'!$A$7:$A$1000,$C60,'Oxford Economics'!$B$7:$B$1000,Settings!$B$15)+IF(Settings!$B$17="",0,SUMIFS(INDEX('Oxford Economics'!$A$7:$AZ$1000,0,IFERROR(MATCH(AB$5,'Oxford Economics'!$A$6:$AZ$6,0),MATCH(AB$5&amp;"",'Oxford Economics'!$A$6:$AZ$6,0))),'Oxford Economics'!$A$7:$A$1000,$C60,'Oxford Economics'!$B$7:$B$1000,Settings!$B$17)))),""))</f>
        <v/>
      </c>
      <c r="AC60" s="37" t="str">
        <f aca="false">IF($A60="","",IFERROR(1/(1/IF($B60="Residential",SUMIFS(INDEX('Oxford Economics'!$A$7:$AZ$1000,0,IFERROR(MATCH(AC$5,'Oxford Economics'!$A$6:$AZ$6,0),MATCH(AC$5&amp;"",'Oxford Economics'!$A$6:$AZ$6,0))),'Oxford Economics'!$A$7:$A$1000,$C60,'Oxford Economics'!$B$7:$B$1000,Settings!$B$11)-SUMIFS(INDEX('Oxford Economics'!$A$7:$AZ$1000,0,IFERROR(MATCH(AC$5,'Oxford Economics'!$A$6:$AZ$6,0),MATCH(AC$5&amp;"",'Oxford Economics'!$A$6:$AZ$6,0))),'Oxford Economics'!$A$7:$A$1000,$C60,'Oxford Economics'!$B$7:$B$1000,Settings!$B$13),SUMIFS(INDEX('Oxford Economics'!$A$7:$AZ$1000,0,IFERROR(MATCH(AC$5,'Oxford Economics'!$A$6:$AZ$6,0),MATCH(AC$5&amp;"",'Oxford Economics'!$A$6:$AZ$6,0))),'Oxford Economics'!$A$7:$A$1000,$C60,'Oxford Economics'!$B$7:$B$1000,Settings!$B$13)+SUMIFS(INDEX('Oxford Economics'!$A$7:$AZ$1000,0,IFERROR(MATCH(AC$5,'Oxford Economics'!$A$6:$AZ$6,0),MATCH(AC$5&amp;"",'Oxford Economics'!$A$6:$AZ$6,0))),'Oxford Economics'!$A$7:$A$1000,$C60,'Oxford Economics'!$B$7:$B$1000,Settings!$B$15)+IF(Settings!$B$17="",0,SUMIFS(INDEX('Oxford Economics'!$A$7:$AZ$1000,0,IFERROR(MATCH(AC$5,'Oxford Economics'!$A$6:$AZ$6,0),MATCH(AC$5&amp;"",'Oxford Economics'!$A$6:$AZ$6,0))),'Oxford Economics'!$A$7:$A$1000,$C60,'Oxford Economics'!$B$7:$B$1000,Settings!$B$17)))),""))</f>
        <v/>
      </c>
      <c r="AD60" s="37" t="str">
        <f aca="false">IF($A60="","",IFERROR(1/(1/IF($B60="Residential",SUMIFS(INDEX('Oxford Economics'!$A$7:$AZ$1000,0,IFERROR(MATCH(AD$5,'Oxford Economics'!$A$6:$AZ$6,0),MATCH(AD$5&amp;"",'Oxford Economics'!$A$6:$AZ$6,0))),'Oxford Economics'!$A$7:$A$1000,$C60,'Oxford Economics'!$B$7:$B$1000,Settings!$B$11)-SUMIFS(INDEX('Oxford Economics'!$A$7:$AZ$1000,0,IFERROR(MATCH(AD$5,'Oxford Economics'!$A$6:$AZ$6,0),MATCH(AD$5&amp;"",'Oxford Economics'!$A$6:$AZ$6,0))),'Oxford Economics'!$A$7:$A$1000,$C60,'Oxford Economics'!$B$7:$B$1000,Settings!$B$13),SUMIFS(INDEX('Oxford Economics'!$A$7:$AZ$1000,0,IFERROR(MATCH(AD$5,'Oxford Economics'!$A$6:$AZ$6,0),MATCH(AD$5&amp;"",'Oxford Economics'!$A$6:$AZ$6,0))),'Oxford Economics'!$A$7:$A$1000,$C60,'Oxford Economics'!$B$7:$B$1000,Settings!$B$13)+SUMIFS(INDEX('Oxford Economics'!$A$7:$AZ$1000,0,IFERROR(MATCH(AD$5,'Oxford Economics'!$A$6:$AZ$6,0),MATCH(AD$5&amp;"",'Oxford Economics'!$A$6:$AZ$6,0))),'Oxford Economics'!$A$7:$A$1000,$C60,'Oxford Economics'!$B$7:$B$1000,Settings!$B$15)+IF(Settings!$B$17="",0,SUMIFS(INDEX('Oxford Economics'!$A$7:$AZ$1000,0,IFERROR(MATCH(AD$5,'Oxford Economics'!$A$6:$AZ$6,0),MATCH(AD$5&amp;"",'Oxford Economics'!$A$6:$AZ$6,0))),'Oxford Economics'!$A$7:$A$1000,$C60,'Oxford Economics'!$B$7:$B$1000,Settings!$B$17)))),""))</f>
        <v/>
      </c>
      <c r="AE60" s="37" t="str">
        <f aca="false">IF($A60="","",IFERROR(1/(1/IF($B60="Residential",SUMIFS(INDEX('Oxford Economics'!$A$7:$AZ$1000,0,IFERROR(MATCH(AE$5,'Oxford Economics'!$A$6:$AZ$6,0),MATCH(AE$5&amp;"",'Oxford Economics'!$A$6:$AZ$6,0))),'Oxford Economics'!$A$7:$A$1000,$C60,'Oxford Economics'!$B$7:$B$1000,Settings!$B$11)-SUMIFS(INDEX('Oxford Economics'!$A$7:$AZ$1000,0,IFERROR(MATCH(AE$5,'Oxford Economics'!$A$6:$AZ$6,0),MATCH(AE$5&amp;"",'Oxford Economics'!$A$6:$AZ$6,0))),'Oxford Economics'!$A$7:$A$1000,$C60,'Oxford Economics'!$B$7:$B$1000,Settings!$B$13),SUMIFS(INDEX('Oxford Economics'!$A$7:$AZ$1000,0,IFERROR(MATCH(AE$5,'Oxford Economics'!$A$6:$AZ$6,0),MATCH(AE$5&amp;"",'Oxford Economics'!$A$6:$AZ$6,0))),'Oxford Economics'!$A$7:$A$1000,$C60,'Oxford Economics'!$B$7:$B$1000,Settings!$B$13)+SUMIFS(INDEX('Oxford Economics'!$A$7:$AZ$1000,0,IFERROR(MATCH(AE$5,'Oxford Economics'!$A$6:$AZ$6,0),MATCH(AE$5&amp;"",'Oxford Economics'!$A$6:$AZ$6,0))),'Oxford Economics'!$A$7:$A$1000,$C60,'Oxford Economics'!$B$7:$B$1000,Settings!$B$15)+IF(Settings!$B$17="",0,SUMIFS(INDEX('Oxford Economics'!$A$7:$AZ$1000,0,IFERROR(MATCH(AE$5,'Oxford Economics'!$A$6:$AZ$6,0),MATCH(AE$5&amp;"",'Oxford Economics'!$A$6:$AZ$6,0))),'Oxford Economics'!$A$7:$A$1000,$C60,'Oxford Economics'!$B$7:$B$1000,Settings!$B$17)))),""))</f>
        <v/>
      </c>
      <c r="AF60" s="37" t="str">
        <f aca="false">IF($A60="","",IFERROR(1/(1/IF($B60="Residential",SUMIFS(INDEX('Oxford Economics'!$A$7:$AZ$1000,0,IFERROR(MATCH(AF$5,'Oxford Economics'!$A$6:$AZ$6,0),MATCH(AF$5&amp;"",'Oxford Economics'!$A$6:$AZ$6,0))),'Oxford Economics'!$A$7:$A$1000,$C60,'Oxford Economics'!$B$7:$B$1000,Settings!$B$11)-SUMIFS(INDEX('Oxford Economics'!$A$7:$AZ$1000,0,IFERROR(MATCH(AF$5,'Oxford Economics'!$A$6:$AZ$6,0),MATCH(AF$5&amp;"",'Oxford Economics'!$A$6:$AZ$6,0))),'Oxford Economics'!$A$7:$A$1000,$C60,'Oxford Economics'!$B$7:$B$1000,Settings!$B$13),SUMIFS(INDEX('Oxford Economics'!$A$7:$AZ$1000,0,IFERROR(MATCH(AF$5,'Oxford Economics'!$A$6:$AZ$6,0),MATCH(AF$5&amp;"",'Oxford Economics'!$A$6:$AZ$6,0))),'Oxford Economics'!$A$7:$A$1000,$C60,'Oxford Economics'!$B$7:$B$1000,Settings!$B$13)+SUMIFS(INDEX('Oxford Economics'!$A$7:$AZ$1000,0,IFERROR(MATCH(AF$5,'Oxford Economics'!$A$6:$AZ$6,0),MATCH(AF$5&amp;"",'Oxford Economics'!$A$6:$AZ$6,0))),'Oxford Economics'!$A$7:$A$1000,$C60,'Oxford Economics'!$B$7:$B$1000,Settings!$B$15)+IF(Settings!$B$17="",0,SUMIFS(INDEX('Oxford Economics'!$A$7:$AZ$1000,0,IFERROR(MATCH(AF$5,'Oxford Economics'!$A$6:$AZ$6,0),MATCH(AF$5&amp;"",'Oxford Economics'!$A$6:$AZ$6,0))),'Oxford Economics'!$A$7:$A$1000,$C60,'Oxford Economics'!$B$7:$B$1000,Settings!$B$17)))),""))</f>
        <v/>
      </c>
      <c r="AG60" s="37" t="str">
        <f aca="false">IF($A60="","",IFERROR(1/(1/IF($B60="Residential",SUMIFS(INDEX('Oxford Economics'!$A$7:$AZ$1000,0,IFERROR(MATCH(AG$5,'Oxford Economics'!$A$6:$AZ$6,0),MATCH(AG$5&amp;"",'Oxford Economics'!$A$6:$AZ$6,0))),'Oxford Economics'!$A$7:$A$1000,$C60,'Oxford Economics'!$B$7:$B$1000,Settings!$B$11)-SUMIFS(INDEX('Oxford Economics'!$A$7:$AZ$1000,0,IFERROR(MATCH(AG$5,'Oxford Economics'!$A$6:$AZ$6,0),MATCH(AG$5&amp;"",'Oxford Economics'!$A$6:$AZ$6,0))),'Oxford Economics'!$A$7:$A$1000,$C60,'Oxford Economics'!$B$7:$B$1000,Settings!$B$13),SUMIFS(INDEX('Oxford Economics'!$A$7:$AZ$1000,0,IFERROR(MATCH(AG$5,'Oxford Economics'!$A$6:$AZ$6,0),MATCH(AG$5&amp;"",'Oxford Economics'!$A$6:$AZ$6,0))),'Oxford Economics'!$A$7:$A$1000,$C60,'Oxford Economics'!$B$7:$B$1000,Settings!$B$13)+SUMIFS(INDEX('Oxford Economics'!$A$7:$AZ$1000,0,IFERROR(MATCH(AG$5,'Oxford Economics'!$A$6:$AZ$6,0),MATCH(AG$5&amp;"",'Oxford Economics'!$A$6:$AZ$6,0))),'Oxford Economics'!$A$7:$A$1000,$C60,'Oxford Economics'!$B$7:$B$1000,Settings!$B$15)+IF(Settings!$B$17="",0,SUMIFS(INDEX('Oxford Economics'!$A$7:$AZ$1000,0,IFERROR(MATCH(AG$5,'Oxford Economics'!$A$6:$AZ$6,0),MATCH(AG$5&amp;"",'Oxford Economics'!$A$6:$AZ$6,0))),'Oxford Economics'!$A$7:$A$1000,$C60,'Oxford Economics'!$B$7:$B$1000,Settings!$B$17)))),""))</f>
        <v/>
      </c>
      <c r="AH60" s="37" t="str">
        <f aca="false">IF($A60="","",IFERROR(1/(1/IF($B60="Residential",SUMIFS(INDEX('Oxford Economics'!$A$7:$AZ$1000,0,IFERROR(MATCH(AH$5,'Oxford Economics'!$A$6:$AZ$6,0),MATCH(AH$5&amp;"",'Oxford Economics'!$A$6:$AZ$6,0))),'Oxford Economics'!$A$7:$A$1000,$C60,'Oxford Economics'!$B$7:$B$1000,Settings!$B$11)-SUMIFS(INDEX('Oxford Economics'!$A$7:$AZ$1000,0,IFERROR(MATCH(AH$5,'Oxford Economics'!$A$6:$AZ$6,0),MATCH(AH$5&amp;"",'Oxford Economics'!$A$6:$AZ$6,0))),'Oxford Economics'!$A$7:$A$1000,$C60,'Oxford Economics'!$B$7:$B$1000,Settings!$B$13),SUMIFS(INDEX('Oxford Economics'!$A$7:$AZ$1000,0,IFERROR(MATCH(AH$5,'Oxford Economics'!$A$6:$AZ$6,0),MATCH(AH$5&amp;"",'Oxford Economics'!$A$6:$AZ$6,0))),'Oxford Economics'!$A$7:$A$1000,$C60,'Oxford Economics'!$B$7:$B$1000,Settings!$B$13)+SUMIFS(INDEX('Oxford Economics'!$A$7:$AZ$1000,0,IFERROR(MATCH(AH$5,'Oxford Economics'!$A$6:$AZ$6,0),MATCH(AH$5&amp;"",'Oxford Economics'!$A$6:$AZ$6,0))),'Oxford Economics'!$A$7:$A$1000,$C60,'Oxford Economics'!$B$7:$B$1000,Settings!$B$15)+IF(Settings!$B$17="",0,SUMIFS(INDEX('Oxford Economics'!$A$7:$AZ$1000,0,IFERROR(MATCH(AH$5,'Oxford Economics'!$A$6:$AZ$6,0),MATCH(AH$5&amp;"",'Oxford Economics'!$A$6:$AZ$6,0))),'Oxford Economics'!$A$7:$A$1000,$C60,'Oxford Economics'!$B$7:$B$1000,Settings!$B$17)))),""))</f>
        <v/>
      </c>
      <c r="AI60" s="37" t="str">
        <f aca="false">IF($A60="","",IFERROR(1/(1/IF($B60="Residential",SUMIFS(INDEX('Oxford Economics'!$A$7:$AZ$1000,0,IFERROR(MATCH(AI$5,'Oxford Economics'!$A$6:$AZ$6,0),MATCH(AI$5&amp;"",'Oxford Economics'!$A$6:$AZ$6,0))),'Oxford Economics'!$A$7:$A$1000,$C60,'Oxford Economics'!$B$7:$B$1000,Settings!$B$11)-SUMIFS(INDEX('Oxford Economics'!$A$7:$AZ$1000,0,IFERROR(MATCH(AI$5,'Oxford Economics'!$A$6:$AZ$6,0),MATCH(AI$5&amp;"",'Oxford Economics'!$A$6:$AZ$6,0))),'Oxford Economics'!$A$7:$A$1000,$C60,'Oxford Economics'!$B$7:$B$1000,Settings!$B$13),SUMIFS(INDEX('Oxford Economics'!$A$7:$AZ$1000,0,IFERROR(MATCH(AI$5,'Oxford Economics'!$A$6:$AZ$6,0),MATCH(AI$5&amp;"",'Oxford Economics'!$A$6:$AZ$6,0))),'Oxford Economics'!$A$7:$A$1000,$C60,'Oxford Economics'!$B$7:$B$1000,Settings!$B$13)+SUMIFS(INDEX('Oxford Economics'!$A$7:$AZ$1000,0,IFERROR(MATCH(AI$5,'Oxford Economics'!$A$6:$AZ$6,0),MATCH(AI$5&amp;"",'Oxford Economics'!$A$6:$AZ$6,0))),'Oxford Economics'!$A$7:$A$1000,$C60,'Oxford Economics'!$B$7:$B$1000,Settings!$B$15)+IF(Settings!$B$17="",0,SUMIFS(INDEX('Oxford Economics'!$A$7:$AZ$1000,0,IFERROR(MATCH(AI$5,'Oxford Economics'!$A$6:$AZ$6,0),MATCH(AI$5&amp;"",'Oxford Economics'!$A$6:$AZ$6,0))),'Oxford Economics'!$A$7:$A$1000,$C60,'Oxford Economics'!$B$7:$B$1000,Settings!$B$17)))),""))</f>
        <v/>
      </c>
      <c r="AJ60" s="37" t="str">
        <f aca="false">IF($A60="","",IFERROR(1/(1/IF($B60="Residential",SUMIFS(INDEX('Oxford Economics'!$A$7:$AZ$1000,0,IFERROR(MATCH(AJ$5,'Oxford Economics'!$A$6:$AZ$6,0),MATCH(AJ$5&amp;"",'Oxford Economics'!$A$6:$AZ$6,0))),'Oxford Economics'!$A$7:$A$1000,$C60,'Oxford Economics'!$B$7:$B$1000,Settings!$B$11)-SUMIFS(INDEX('Oxford Economics'!$A$7:$AZ$1000,0,IFERROR(MATCH(AJ$5,'Oxford Economics'!$A$6:$AZ$6,0),MATCH(AJ$5&amp;"",'Oxford Economics'!$A$6:$AZ$6,0))),'Oxford Economics'!$A$7:$A$1000,$C60,'Oxford Economics'!$B$7:$B$1000,Settings!$B$13),SUMIFS(INDEX('Oxford Economics'!$A$7:$AZ$1000,0,IFERROR(MATCH(AJ$5,'Oxford Economics'!$A$6:$AZ$6,0),MATCH(AJ$5&amp;"",'Oxford Economics'!$A$6:$AZ$6,0))),'Oxford Economics'!$A$7:$A$1000,$C60,'Oxford Economics'!$B$7:$B$1000,Settings!$B$13)+SUMIFS(INDEX('Oxford Economics'!$A$7:$AZ$1000,0,IFERROR(MATCH(AJ$5,'Oxford Economics'!$A$6:$AZ$6,0),MATCH(AJ$5&amp;"",'Oxford Economics'!$A$6:$AZ$6,0))),'Oxford Economics'!$A$7:$A$1000,$C60,'Oxford Economics'!$B$7:$B$1000,Settings!$B$15)+IF(Settings!$B$17="",0,SUMIFS(INDEX('Oxford Economics'!$A$7:$AZ$1000,0,IFERROR(MATCH(AJ$5,'Oxford Economics'!$A$6:$AZ$6,0),MATCH(AJ$5&amp;"",'Oxford Economics'!$A$6:$AZ$6,0))),'Oxford Economics'!$A$7:$A$1000,$C60,'Oxford Economics'!$B$7:$B$1000,Settings!$B$17)))),""))</f>
        <v/>
      </c>
      <c r="AK60" s="37" t="str">
        <f aca="false">IF($A60="","",IFERROR(1/(1/IF($B60="Residential",SUMIFS(INDEX('Oxford Economics'!$A$7:$AZ$1000,0,IFERROR(MATCH(AK$5,'Oxford Economics'!$A$6:$AZ$6,0),MATCH(AK$5&amp;"",'Oxford Economics'!$A$6:$AZ$6,0))),'Oxford Economics'!$A$7:$A$1000,$C60,'Oxford Economics'!$B$7:$B$1000,Settings!$B$11)-SUMIFS(INDEX('Oxford Economics'!$A$7:$AZ$1000,0,IFERROR(MATCH(AK$5,'Oxford Economics'!$A$6:$AZ$6,0),MATCH(AK$5&amp;"",'Oxford Economics'!$A$6:$AZ$6,0))),'Oxford Economics'!$A$7:$A$1000,$C60,'Oxford Economics'!$B$7:$B$1000,Settings!$B$13),SUMIFS(INDEX('Oxford Economics'!$A$7:$AZ$1000,0,IFERROR(MATCH(AK$5,'Oxford Economics'!$A$6:$AZ$6,0),MATCH(AK$5&amp;"",'Oxford Economics'!$A$6:$AZ$6,0))),'Oxford Economics'!$A$7:$A$1000,$C60,'Oxford Economics'!$B$7:$B$1000,Settings!$B$13)+SUMIFS(INDEX('Oxford Economics'!$A$7:$AZ$1000,0,IFERROR(MATCH(AK$5,'Oxford Economics'!$A$6:$AZ$6,0),MATCH(AK$5&amp;"",'Oxford Economics'!$A$6:$AZ$6,0))),'Oxford Economics'!$A$7:$A$1000,$C60,'Oxford Economics'!$B$7:$B$1000,Settings!$B$15)+IF(Settings!$B$17="",0,SUMIFS(INDEX('Oxford Economics'!$A$7:$AZ$1000,0,IFERROR(MATCH(AK$5,'Oxford Economics'!$A$6:$AZ$6,0),MATCH(AK$5&amp;"",'Oxford Economics'!$A$6:$AZ$6,0))),'Oxford Economics'!$A$7:$A$1000,$C60,'Oxford Economics'!$B$7:$B$1000,Settings!$B$17)))),""))</f>
        <v/>
      </c>
      <c r="AL60" s="37" t="str">
        <f aca="false">IF($A60="","",IFERROR(1/(1/IF($B60="Residential",SUMIFS(INDEX('Oxford Economics'!$A$7:$AZ$1000,0,IFERROR(MATCH(AL$5,'Oxford Economics'!$A$6:$AZ$6,0),MATCH(AL$5&amp;"",'Oxford Economics'!$A$6:$AZ$6,0))),'Oxford Economics'!$A$7:$A$1000,$C60,'Oxford Economics'!$B$7:$B$1000,Settings!$B$11)-SUMIFS(INDEX('Oxford Economics'!$A$7:$AZ$1000,0,IFERROR(MATCH(AL$5,'Oxford Economics'!$A$6:$AZ$6,0),MATCH(AL$5&amp;"",'Oxford Economics'!$A$6:$AZ$6,0))),'Oxford Economics'!$A$7:$A$1000,$C60,'Oxford Economics'!$B$7:$B$1000,Settings!$B$13),SUMIFS(INDEX('Oxford Economics'!$A$7:$AZ$1000,0,IFERROR(MATCH(AL$5,'Oxford Economics'!$A$6:$AZ$6,0),MATCH(AL$5&amp;"",'Oxford Economics'!$A$6:$AZ$6,0))),'Oxford Economics'!$A$7:$A$1000,$C60,'Oxford Economics'!$B$7:$B$1000,Settings!$B$13)+SUMIFS(INDEX('Oxford Economics'!$A$7:$AZ$1000,0,IFERROR(MATCH(AL$5,'Oxford Economics'!$A$6:$AZ$6,0),MATCH(AL$5&amp;"",'Oxford Economics'!$A$6:$AZ$6,0))),'Oxford Economics'!$A$7:$A$1000,$C60,'Oxford Economics'!$B$7:$B$1000,Settings!$B$15)+IF(Settings!$B$17="",0,SUMIFS(INDEX('Oxford Economics'!$A$7:$AZ$1000,0,IFERROR(MATCH(AL$5,'Oxford Economics'!$A$6:$AZ$6,0),MATCH(AL$5&amp;"",'Oxford Economics'!$A$6:$AZ$6,0))),'Oxford Economics'!$A$7:$A$1000,$C60,'Oxford Economics'!$B$7:$B$1000,Settings!$B$17)))),""))</f>
        <v/>
      </c>
      <c r="AM60" s="37" t="str">
        <f aca="false">IF($A60="","",IFERROR(1/(1/IF($B60="Residential",SUMIFS(INDEX('Oxford Economics'!$A$7:$AZ$1000,0,IFERROR(MATCH(AM$5,'Oxford Economics'!$A$6:$AZ$6,0),MATCH(AM$5&amp;"",'Oxford Economics'!$A$6:$AZ$6,0))),'Oxford Economics'!$A$7:$A$1000,$C60,'Oxford Economics'!$B$7:$B$1000,Settings!$B$11)-SUMIFS(INDEX('Oxford Economics'!$A$7:$AZ$1000,0,IFERROR(MATCH(AM$5,'Oxford Economics'!$A$6:$AZ$6,0),MATCH(AM$5&amp;"",'Oxford Economics'!$A$6:$AZ$6,0))),'Oxford Economics'!$A$7:$A$1000,$C60,'Oxford Economics'!$B$7:$B$1000,Settings!$B$13),SUMIFS(INDEX('Oxford Economics'!$A$7:$AZ$1000,0,IFERROR(MATCH(AM$5,'Oxford Economics'!$A$6:$AZ$6,0),MATCH(AM$5&amp;"",'Oxford Economics'!$A$6:$AZ$6,0))),'Oxford Economics'!$A$7:$A$1000,$C60,'Oxford Economics'!$B$7:$B$1000,Settings!$B$13)+SUMIFS(INDEX('Oxford Economics'!$A$7:$AZ$1000,0,IFERROR(MATCH(AM$5,'Oxford Economics'!$A$6:$AZ$6,0),MATCH(AM$5&amp;"",'Oxford Economics'!$A$6:$AZ$6,0))),'Oxford Economics'!$A$7:$A$1000,$C60,'Oxford Economics'!$B$7:$B$1000,Settings!$B$15)+IF(Settings!$B$17="",0,SUMIFS(INDEX('Oxford Economics'!$A$7:$AZ$1000,0,IFERROR(MATCH(AM$5,'Oxford Economics'!$A$6:$AZ$6,0),MATCH(AM$5&amp;"",'Oxford Economics'!$A$6:$AZ$6,0))),'Oxford Economics'!$A$7:$A$1000,$C60,'Oxford Economics'!$B$7:$B$1000,Settings!$B$17)))),""))</f>
        <v/>
      </c>
    </row>
    <row r="61" customFormat="false" ht="15" hidden="false" customHeight="false" outlineLevel="0" collapsed="false">
      <c r="A61" s="36" t="str">
        <f aca="false">IF('Raw data'!$A61="","",'Raw data'!$A61)</f>
        <v/>
      </c>
      <c r="B61" s="36" t="str">
        <f aca="false">IF($A61="","",'Raw data'!$C61)</f>
        <v/>
      </c>
      <c r="C61" s="36" t="str">
        <f aca="false">IF($A61="","",IF('Raw data'!$D61="",$A61,'Raw data'!$D61))</f>
        <v/>
      </c>
      <c r="D61" s="37" t="str">
        <f aca="false">IF($A61="","",IF(AND(ISNUMBER(P61),ISNUMBER(AB61)),P61+AB61,""))</f>
        <v/>
      </c>
      <c r="E61" s="37" t="str">
        <f aca="false">IF($A61="","",IF(AND(ISNUMBER(Q61),ISNUMBER(AC61)),Q61+AC61,""))</f>
        <v/>
      </c>
      <c r="F61" s="37" t="str">
        <f aca="false">IF($A61="","",IF(AND(ISNUMBER(R61),ISNUMBER(AD61)),R61+AD61,""))</f>
        <v/>
      </c>
      <c r="G61" s="37" t="str">
        <f aca="false">IF($A61="","",IF(AND(ISNUMBER(S61),ISNUMBER(AE61)),S61+AE61,""))</f>
        <v/>
      </c>
      <c r="H61" s="37" t="str">
        <f aca="false">IF($A61="","",IF(AND(ISNUMBER(T61),ISNUMBER(AF61)),T61+AF61,""))</f>
        <v/>
      </c>
      <c r="I61" s="37" t="str">
        <f aca="false">IF($A61="","",IF(AND(ISNUMBER(U61),ISNUMBER(AG61)),U61+AG61,""))</f>
        <v/>
      </c>
      <c r="J61" s="37" t="str">
        <f aca="false">IF($A61="","",IF(AND(ISNUMBER(V61),ISNUMBER(AH61)),V61+AH61,""))</f>
        <v/>
      </c>
      <c r="K61" s="37" t="str">
        <f aca="false">IF($A61="","",IF(AND(ISNUMBER(W61),ISNUMBER(AI61)),W61+AI61,""))</f>
        <v/>
      </c>
      <c r="L61" s="37" t="str">
        <f aca="false">IF($A61="","",IF(AND(ISNUMBER(X61),ISNUMBER(AJ61)),X61+AJ61,""))</f>
        <v/>
      </c>
      <c r="M61" s="37" t="str">
        <f aca="false">IF($A61="","",IF(AND(ISNUMBER(Y61),ISNUMBER(AK61)),Y61+AK61,""))</f>
        <v/>
      </c>
      <c r="N61" s="37" t="str">
        <f aca="false">IF($A61="","",IF(AND(ISNUMBER(Z61),ISNUMBER(AL61)),Z61+AL61,""))</f>
        <v/>
      </c>
      <c r="O61" s="37" t="str">
        <f aca="false">IF($A61="","",IF(AND(ISNUMBER(AA61),ISNUMBER(AM61)),AA61+AM61,""))</f>
        <v/>
      </c>
      <c r="P61" s="37" t="str">
        <f aca="false">IF($A61="","",IFERROR(1/(1/IF($B61="Residential",SUMIFS(INDEX('Oxford Economics'!$A$7:$AZ$1000,0,IFERROR(MATCH(P$5,'Oxford Economics'!$A$6:$AZ$6,0),MATCH(P$5&amp;"",'Oxford Economics'!$A$6:$AZ$6,0))),'Oxford Economics'!$A$7:$A$1000,$C61,'Oxford Economics'!$B$7:$B$1000,Settings!$B$12)-SUMIFS(INDEX('Oxford Economics'!$A$7:$AZ$1000,0,IFERROR(MATCH(P$5,'Oxford Economics'!$A$6:$AZ$6,0),MATCH(P$5&amp;"",'Oxford Economics'!$A$6:$AZ$6,0))),'Oxford Economics'!$A$7:$A$1000,$C61,'Oxford Economics'!$B$7:$B$1000,Settings!$B$14),SUMIFS(INDEX('Oxford Economics'!$A$7:$AZ$1000,0,IFERROR(MATCH(P$5,'Oxford Economics'!$A$6:$AZ$6,0),MATCH(P$5&amp;"",'Oxford Economics'!$A$6:$AZ$6,0))),'Oxford Economics'!$A$7:$A$1000,$C61,'Oxford Economics'!$B$7:$B$1000,Settings!$B$14)+SUMIFS(INDEX('Oxford Economics'!$A$7:$AZ$1000,0,IFERROR(MATCH(P$5,'Oxford Economics'!$A$6:$AZ$6,0),MATCH(P$5&amp;"",'Oxford Economics'!$A$6:$AZ$6,0))),'Oxford Economics'!$A$7:$A$1000,$C61,'Oxford Economics'!$B$7:$B$1000,Settings!$B$16)+IF(Settings!$B$18="",0,SUMIFS(INDEX('Oxford Economics'!$A$7:$AZ$1000,0,IFERROR(MATCH(P$5,'Oxford Economics'!$A$6:$AZ$6,0),MATCH(P$5&amp;"",'Oxford Economics'!$A$6:$AZ$6,0))),'Oxford Economics'!$A$7:$A$1000,$C61,'Oxford Economics'!$B$7:$B$1000,Settings!$B$18)))),""))</f>
        <v/>
      </c>
      <c r="Q61" s="37" t="str">
        <f aca="false">IF($A61="","",IFERROR(1/(1/IF($B61="Residential",SUMIFS(INDEX('Oxford Economics'!$A$7:$AZ$1000,0,IFERROR(MATCH(Q$5,'Oxford Economics'!$A$6:$AZ$6,0),MATCH(Q$5&amp;"",'Oxford Economics'!$A$6:$AZ$6,0))),'Oxford Economics'!$A$7:$A$1000,$C61,'Oxford Economics'!$B$7:$B$1000,Settings!$B$12)-SUMIFS(INDEX('Oxford Economics'!$A$7:$AZ$1000,0,IFERROR(MATCH(Q$5,'Oxford Economics'!$A$6:$AZ$6,0),MATCH(Q$5&amp;"",'Oxford Economics'!$A$6:$AZ$6,0))),'Oxford Economics'!$A$7:$A$1000,$C61,'Oxford Economics'!$B$7:$B$1000,Settings!$B$14),SUMIFS(INDEX('Oxford Economics'!$A$7:$AZ$1000,0,IFERROR(MATCH(Q$5,'Oxford Economics'!$A$6:$AZ$6,0),MATCH(Q$5&amp;"",'Oxford Economics'!$A$6:$AZ$6,0))),'Oxford Economics'!$A$7:$A$1000,$C61,'Oxford Economics'!$B$7:$B$1000,Settings!$B$14)+SUMIFS(INDEX('Oxford Economics'!$A$7:$AZ$1000,0,IFERROR(MATCH(Q$5,'Oxford Economics'!$A$6:$AZ$6,0),MATCH(Q$5&amp;"",'Oxford Economics'!$A$6:$AZ$6,0))),'Oxford Economics'!$A$7:$A$1000,$C61,'Oxford Economics'!$B$7:$B$1000,Settings!$B$16)+IF(Settings!$B$18="",0,SUMIFS(INDEX('Oxford Economics'!$A$7:$AZ$1000,0,IFERROR(MATCH(Q$5,'Oxford Economics'!$A$6:$AZ$6,0),MATCH(Q$5&amp;"",'Oxford Economics'!$A$6:$AZ$6,0))),'Oxford Economics'!$A$7:$A$1000,$C61,'Oxford Economics'!$B$7:$B$1000,Settings!$B$18)))),""))</f>
        <v/>
      </c>
      <c r="R61" s="37" t="str">
        <f aca="false">IF($A61="","",IFERROR(1/(1/IF($B61="Residential",SUMIFS(INDEX('Oxford Economics'!$A$7:$AZ$1000,0,IFERROR(MATCH(R$5,'Oxford Economics'!$A$6:$AZ$6,0),MATCH(R$5&amp;"",'Oxford Economics'!$A$6:$AZ$6,0))),'Oxford Economics'!$A$7:$A$1000,$C61,'Oxford Economics'!$B$7:$B$1000,Settings!$B$12)-SUMIFS(INDEX('Oxford Economics'!$A$7:$AZ$1000,0,IFERROR(MATCH(R$5,'Oxford Economics'!$A$6:$AZ$6,0),MATCH(R$5&amp;"",'Oxford Economics'!$A$6:$AZ$6,0))),'Oxford Economics'!$A$7:$A$1000,$C61,'Oxford Economics'!$B$7:$B$1000,Settings!$B$14),SUMIFS(INDEX('Oxford Economics'!$A$7:$AZ$1000,0,IFERROR(MATCH(R$5,'Oxford Economics'!$A$6:$AZ$6,0),MATCH(R$5&amp;"",'Oxford Economics'!$A$6:$AZ$6,0))),'Oxford Economics'!$A$7:$A$1000,$C61,'Oxford Economics'!$B$7:$B$1000,Settings!$B$14)+SUMIFS(INDEX('Oxford Economics'!$A$7:$AZ$1000,0,IFERROR(MATCH(R$5,'Oxford Economics'!$A$6:$AZ$6,0),MATCH(R$5&amp;"",'Oxford Economics'!$A$6:$AZ$6,0))),'Oxford Economics'!$A$7:$A$1000,$C61,'Oxford Economics'!$B$7:$B$1000,Settings!$B$16)+IF(Settings!$B$18="",0,SUMIFS(INDEX('Oxford Economics'!$A$7:$AZ$1000,0,IFERROR(MATCH(R$5,'Oxford Economics'!$A$6:$AZ$6,0),MATCH(R$5&amp;"",'Oxford Economics'!$A$6:$AZ$6,0))),'Oxford Economics'!$A$7:$A$1000,$C61,'Oxford Economics'!$B$7:$B$1000,Settings!$B$18)))),""))</f>
        <v/>
      </c>
      <c r="S61" s="37" t="str">
        <f aca="false">IF($A61="","",IFERROR(1/(1/IF($B61="Residential",SUMIFS(INDEX('Oxford Economics'!$A$7:$AZ$1000,0,IFERROR(MATCH(S$5,'Oxford Economics'!$A$6:$AZ$6,0),MATCH(S$5&amp;"",'Oxford Economics'!$A$6:$AZ$6,0))),'Oxford Economics'!$A$7:$A$1000,$C61,'Oxford Economics'!$B$7:$B$1000,Settings!$B$12)-SUMIFS(INDEX('Oxford Economics'!$A$7:$AZ$1000,0,IFERROR(MATCH(S$5,'Oxford Economics'!$A$6:$AZ$6,0),MATCH(S$5&amp;"",'Oxford Economics'!$A$6:$AZ$6,0))),'Oxford Economics'!$A$7:$A$1000,$C61,'Oxford Economics'!$B$7:$B$1000,Settings!$B$14),SUMIFS(INDEX('Oxford Economics'!$A$7:$AZ$1000,0,IFERROR(MATCH(S$5,'Oxford Economics'!$A$6:$AZ$6,0),MATCH(S$5&amp;"",'Oxford Economics'!$A$6:$AZ$6,0))),'Oxford Economics'!$A$7:$A$1000,$C61,'Oxford Economics'!$B$7:$B$1000,Settings!$B$14)+SUMIFS(INDEX('Oxford Economics'!$A$7:$AZ$1000,0,IFERROR(MATCH(S$5,'Oxford Economics'!$A$6:$AZ$6,0),MATCH(S$5&amp;"",'Oxford Economics'!$A$6:$AZ$6,0))),'Oxford Economics'!$A$7:$A$1000,$C61,'Oxford Economics'!$B$7:$B$1000,Settings!$B$16)+IF(Settings!$B$18="",0,SUMIFS(INDEX('Oxford Economics'!$A$7:$AZ$1000,0,IFERROR(MATCH(S$5,'Oxford Economics'!$A$6:$AZ$6,0),MATCH(S$5&amp;"",'Oxford Economics'!$A$6:$AZ$6,0))),'Oxford Economics'!$A$7:$A$1000,$C61,'Oxford Economics'!$B$7:$B$1000,Settings!$B$18)))),""))</f>
        <v/>
      </c>
      <c r="T61" s="37" t="str">
        <f aca="false">IF($A61="","",IFERROR(1/(1/IF($B61="Residential",SUMIFS(INDEX('Oxford Economics'!$A$7:$AZ$1000,0,IFERROR(MATCH(T$5,'Oxford Economics'!$A$6:$AZ$6,0),MATCH(T$5&amp;"",'Oxford Economics'!$A$6:$AZ$6,0))),'Oxford Economics'!$A$7:$A$1000,$C61,'Oxford Economics'!$B$7:$B$1000,Settings!$B$12)-SUMIFS(INDEX('Oxford Economics'!$A$7:$AZ$1000,0,IFERROR(MATCH(T$5,'Oxford Economics'!$A$6:$AZ$6,0),MATCH(T$5&amp;"",'Oxford Economics'!$A$6:$AZ$6,0))),'Oxford Economics'!$A$7:$A$1000,$C61,'Oxford Economics'!$B$7:$B$1000,Settings!$B$14),SUMIFS(INDEX('Oxford Economics'!$A$7:$AZ$1000,0,IFERROR(MATCH(T$5,'Oxford Economics'!$A$6:$AZ$6,0),MATCH(T$5&amp;"",'Oxford Economics'!$A$6:$AZ$6,0))),'Oxford Economics'!$A$7:$A$1000,$C61,'Oxford Economics'!$B$7:$B$1000,Settings!$B$14)+SUMIFS(INDEX('Oxford Economics'!$A$7:$AZ$1000,0,IFERROR(MATCH(T$5,'Oxford Economics'!$A$6:$AZ$6,0),MATCH(T$5&amp;"",'Oxford Economics'!$A$6:$AZ$6,0))),'Oxford Economics'!$A$7:$A$1000,$C61,'Oxford Economics'!$B$7:$B$1000,Settings!$B$16)+IF(Settings!$B$18="",0,SUMIFS(INDEX('Oxford Economics'!$A$7:$AZ$1000,0,IFERROR(MATCH(T$5,'Oxford Economics'!$A$6:$AZ$6,0),MATCH(T$5&amp;"",'Oxford Economics'!$A$6:$AZ$6,0))),'Oxford Economics'!$A$7:$A$1000,$C61,'Oxford Economics'!$B$7:$B$1000,Settings!$B$18)))),""))</f>
        <v/>
      </c>
      <c r="U61" s="37" t="str">
        <f aca="false">IF($A61="","",IFERROR(1/(1/IF($B61="Residential",SUMIFS(INDEX('Oxford Economics'!$A$7:$AZ$1000,0,IFERROR(MATCH(U$5,'Oxford Economics'!$A$6:$AZ$6,0),MATCH(U$5&amp;"",'Oxford Economics'!$A$6:$AZ$6,0))),'Oxford Economics'!$A$7:$A$1000,$C61,'Oxford Economics'!$B$7:$B$1000,Settings!$B$12)-SUMIFS(INDEX('Oxford Economics'!$A$7:$AZ$1000,0,IFERROR(MATCH(U$5,'Oxford Economics'!$A$6:$AZ$6,0),MATCH(U$5&amp;"",'Oxford Economics'!$A$6:$AZ$6,0))),'Oxford Economics'!$A$7:$A$1000,$C61,'Oxford Economics'!$B$7:$B$1000,Settings!$B$14),SUMIFS(INDEX('Oxford Economics'!$A$7:$AZ$1000,0,IFERROR(MATCH(U$5,'Oxford Economics'!$A$6:$AZ$6,0),MATCH(U$5&amp;"",'Oxford Economics'!$A$6:$AZ$6,0))),'Oxford Economics'!$A$7:$A$1000,$C61,'Oxford Economics'!$B$7:$B$1000,Settings!$B$14)+SUMIFS(INDEX('Oxford Economics'!$A$7:$AZ$1000,0,IFERROR(MATCH(U$5,'Oxford Economics'!$A$6:$AZ$6,0),MATCH(U$5&amp;"",'Oxford Economics'!$A$6:$AZ$6,0))),'Oxford Economics'!$A$7:$A$1000,$C61,'Oxford Economics'!$B$7:$B$1000,Settings!$B$16)+IF(Settings!$B$18="",0,SUMIFS(INDEX('Oxford Economics'!$A$7:$AZ$1000,0,IFERROR(MATCH(U$5,'Oxford Economics'!$A$6:$AZ$6,0),MATCH(U$5&amp;"",'Oxford Economics'!$A$6:$AZ$6,0))),'Oxford Economics'!$A$7:$A$1000,$C61,'Oxford Economics'!$B$7:$B$1000,Settings!$B$18)))),""))</f>
        <v/>
      </c>
      <c r="V61" s="37" t="str">
        <f aca="false">IF($A61="","",IFERROR(1/(1/IF($B61="Residential",SUMIFS(INDEX('Oxford Economics'!$A$7:$AZ$1000,0,IFERROR(MATCH(V$5,'Oxford Economics'!$A$6:$AZ$6,0),MATCH(V$5&amp;"",'Oxford Economics'!$A$6:$AZ$6,0))),'Oxford Economics'!$A$7:$A$1000,$C61,'Oxford Economics'!$B$7:$B$1000,Settings!$B$12)-SUMIFS(INDEX('Oxford Economics'!$A$7:$AZ$1000,0,IFERROR(MATCH(V$5,'Oxford Economics'!$A$6:$AZ$6,0),MATCH(V$5&amp;"",'Oxford Economics'!$A$6:$AZ$6,0))),'Oxford Economics'!$A$7:$A$1000,$C61,'Oxford Economics'!$B$7:$B$1000,Settings!$B$14),SUMIFS(INDEX('Oxford Economics'!$A$7:$AZ$1000,0,IFERROR(MATCH(V$5,'Oxford Economics'!$A$6:$AZ$6,0),MATCH(V$5&amp;"",'Oxford Economics'!$A$6:$AZ$6,0))),'Oxford Economics'!$A$7:$A$1000,$C61,'Oxford Economics'!$B$7:$B$1000,Settings!$B$14)+SUMIFS(INDEX('Oxford Economics'!$A$7:$AZ$1000,0,IFERROR(MATCH(V$5,'Oxford Economics'!$A$6:$AZ$6,0),MATCH(V$5&amp;"",'Oxford Economics'!$A$6:$AZ$6,0))),'Oxford Economics'!$A$7:$A$1000,$C61,'Oxford Economics'!$B$7:$B$1000,Settings!$B$16)+IF(Settings!$B$18="",0,SUMIFS(INDEX('Oxford Economics'!$A$7:$AZ$1000,0,IFERROR(MATCH(V$5,'Oxford Economics'!$A$6:$AZ$6,0),MATCH(V$5&amp;"",'Oxford Economics'!$A$6:$AZ$6,0))),'Oxford Economics'!$A$7:$A$1000,$C61,'Oxford Economics'!$B$7:$B$1000,Settings!$B$18)))),""))</f>
        <v/>
      </c>
      <c r="W61" s="37" t="str">
        <f aca="false">IF($A61="","",IFERROR(1/(1/IF($B61="Residential",SUMIFS(INDEX('Oxford Economics'!$A$7:$AZ$1000,0,IFERROR(MATCH(W$5,'Oxford Economics'!$A$6:$AZ$6,0),MATCH(W$5&amp;"",'Oxford Economics'!$A$6:$AZ$6,0))),'Oxford Economics'!$A$7:$A$1000,$C61,'Oxford Economics'!$B$7:$B$1000,Settings!$B$12)-SUMIFS(INDEX('Oxford Economics'!$A$7:$AZ$1000,0,IFERROR(MATCH(W$5,'Oxford Economics'!$A$6:$AZ$6,0),MATCH(W$5&amp;"",'Oxford Economics'!$A$6:$AZ$6,0))),'Oxford Economics'!$A$7:$A$1000,$C61,'Oxford Economics'!$B$7:$B$1000,Settings!$B$14),SUMIFS(INDEX('Oxford Economics'!$A$7:$AZ$1000,0,IFERROR(MATCH(W$5,'Oxford Economics'!$A$6:$AZ$6,0),MATCH(W$5&amp;"",'Oxford Economics'!$A$6:$AZ$6,0))),'Oxford Economics'!$A$7:$A$1000,$C61,'Oxford Economics'!$B$7:$B$1000,Settings!$B$14)+SUMIFS(INDEX('Oxford Economics'!$A$7:$AZ$1000,0,IFERROR(MATCH(W$5,'Oxford Economics'!$A$6:$AZ$6,0),MATCH(W$5&amp;"",'Oxford Economics'!$A$6:$AZ$6,0))),'Oxford Economics'!$A$7:$A$1000,$C61,'Oxford Economics'!$B$7:$B$1000,Settings!$B$16)+IF(Settings!$B$18="",0,SUMIFS(INDEX('Oxford Economics'!$A$7:$AZ$1000,0,IFERROR(MATCH(W$5,'Oxford Economics'!$A$6:$AZ$6,0),MATCH(W$5&amp;"",'Oxford Economics'!$A$6:$AZ$6,0))),'Oxford Economics'!$A$7:$A$1000,$C61,'Oxford Economics'!$B$7:$B$1000,Settings!$B$18)))),""))</f>
        <v/>
      </c>
      <c r="X61" s="37" t="str">
        <f aca="false">IF($A61="","",IFERROR(1/(1/IF($B61="Residential",SUMIFS(INDEX('Oxford Economics'!$A$7:$AZ$1000,0,IFERROR(MATCH(X$5,'Oxford Economics'!$A$6:$AZ$6,0),MATCH(X$5&amp;"",'Oxford Economics'!$A$6:$AZ$6,0))),'Oxford Economics'!$A$7:$A$1000,$C61,'Oxford Economics'!$B$7:$B$1000,Settings!$B$12)-SUMIFS(INDEX('Oxford Economics'!$A$7:$AZ$1000,0,IFERROR(MATCH(X$5,'Oxford Economics'!$A$6:$AZ$6,0),MATCH(X$5&amp;"",'Oxford Economics'!$A$6:$AZ$6,0))),'Oxford Economics'!$A$7:$A$1000,$C61,'Oxford Economics'!$B$7:$B$1000,Settings!$B$14),SUMIFS(INDEX('Oxford Economics'!$A$7:$AZ$1000,0,IFERROR(MATCH(X$5,'Oxford Economics'!$A$6:$AZ$6,0),MATCH(X$5&amp;"",'Oxford Economics'!$A$6:$AZ$6,0))),'Oxford Economics'!$A$7:$A$1000,$C61,'Oxford Economics'!$B$7:$B$1000,Settings!$B$14)+SUMIFS(INDEX('Oxford Economics'!$A$7:$AZ$1000,0,IFERROR(MATCH(X$5,'Oxford Economics'!$A$6:$AZ$6,0),MATCH(X$5&amp;"",'Oxford Economics'!$A$6:$AZ$6,0))),'Oxford Economics'!$A$7:$A$1000,$C61,'Oxford Economics'!$B$7:$B$1000,Settings!$B$16)+IF(Settings!$B$18="",0,SUMIFS(INDEX('Oxford Economics'!$A$7:$AZ$1000,0,IFERROR(MATCH(X$5,'Oxford Economics'!$A$6:$AZ$6,0),MATCH(X$5&amp;"",'Oxford Economics'!$A$6:$AZ$6,0))),'Oxford Economics'!$A$7:$A$1000,$C61,'Oxford Economics'!$B$7:$B$1000,Settings!$B$18)))),""))</f>
        <v/>
      </c>
      <c r="Y61" s="37" t="str">
        <f aca="false">IF($A61="","",IFERROR(1/(1/IF($B61="Residential",SUMIFS(INDEX('Oxford Economics'!$A$7:$AZ$1000,0,IFERROR(MATCH(Y$5,'Oxford Economics'!$A$6:$AZ$6,0),MATCH(Y$5&amp;"",'Oxford Economics'!$A$6:$AZ$6,0))),'Oxford Economics'!$A$7:$A$1000,$C61,'Oxford Economics'!$B$7:$B$1000,Settings!$B$12)-SUMIFS(INDEX('Oxford Economics'!$A$7:$AZ$1000,0,IFERROR(MATCH(Y$5,'Oxford Economics'!$A$6:$AZ$6,0),MATCH(Y$5&amp;"",'Oxford Economics'!$A$6:$AZ$6,0))),'Oxford Economics'!$A$7:$A$1000,$C61,'Oxford Economics'!$B$7:$B$1000,Settings!$B$14),SUMIFS(INDEX('Oxford Economics'!$A$7:$AZ$1000,0,IFERROR(MATCH(Y$5,'Oxford Economics'!$A$6:$AZ$6,0),MATCH(Y$5&amp;"",'Oxford Economics'!$A$6:$AZ$6,0))),'Oxford Economics'!$A$7:$A$1000,$C61,'Oxford Economics'!$B$7:$B$1000,Settings!$B$14)+SUMIFS(INDEX('Oxford Economics'!$A$7:$AZ$1000,0,IFERROR(MATCH(Y$5,'Oxford Economics'!$A$6:$AZ$6,0),MATCH(Y$5&amp;"",'Oxford Economics'!$A$6:$AZ$6,0))),'Oxford Economics'!$A$7:$A$1000,$C61,'Oxford Economics'!$B$7:$B$1000,Settings!$B$16)+IF(Settings!$B$18="",0,SUMIFS(INDEX('Oxford Economics'!$A$7:$AZ$1000,0,IFERROR(MATCH(Y$5,'Oxford Economics'!$A$6:$AZ$6,0),MATCH(Y$5&amp;"",'Oxford Economics'!$A$6:$AZ$6,0))),'Oxford Economics'!$A$7:$A$1000,$C61,'Oxford Economics'!$B$7:$B$1000,Settings!$B$18)))),""))</f>
        <v/>
      </c>
      <c r="Z61" s="37" t="str">
        <f aca="false">IF($A61="","",IFERROR(1/(1/IF($B61="Residential",SUMIFS(INDEX('Oxford Economics'!$A$7:$AZ$1000,0,IFERROR(MATCH(Z$5,'Oxford Economics'!$A$6:$AZ$6,0),MATCH(Z$5&amp;"",'Oxford Economics'!$A$6:$AZ$6,0))),'Oxford Economics'!$A$7:$A$1000,$C61,'Oxford Economics'!$B$7:$B$1000,Settings!$B$12)-SUMIFS(INDEX('Oxford Economics'!$A$7:$AZ$1000,0,IFERROR(MATCH(Z$5,'Oxford Economics'!$A$6:$AZ$6,0),MATCH(Z$5&amp;"",'Oxford Economics'!$A$6:$AZ$6,0))),'Oxford Economics'!$A$7:$A$1000,$C61,'Oxford Economics'!$B$7:$B$1000,Settings!$B$14),SUMIFS(INDEX('Oxford Economics'!$A$7:$AZ$1000,0,IFERROR(MATCH(Z$5,'Oxford Economics'!$A$6:$AZ$6,0),MATCH(Z$5&amp;"",'Oxford Economics'!$A$6:$AZ$6,0))),'Oxford Economics'!$A$7:$A$1000,$C61,'Oxford Economics'!$B$7:$B$1000,Settings!$B$14)+SUMIFS(INDEX('Oxford Economics'!$A$7:$AZ$1000,0,IFERROR(MATCH(Z$5,'Oxford Economics'!$A$6:$AZ$6,0),MATCH(Z$5&amp;"",'Oxford Economics'!$A$6:$AZ$6,0))),'Oxford Economics'!$A$7:$A$1000,$C61,'Oxford Economics'!$B$7:$B$1000,Settings!$B$16)+IF(Settings!$B$18="",0,SUMIFS(INDEX('Oxford Economics'!$A$7:$AZ$1000,0,IFERROR(MATCH(Z$5,'Oxford Economics'!$A$6:$AZ$6,0),MATCH(Z$5&amp;"",'Oxford Economics'!$A$6:$AZ$6,0))),'Oxford Economics'!$A$7:$A$1000,$C61,'Oxford Economics'!$B$7:$B$1000,Settings!$B$18)))),""))</f>
        <v/>
      </c>
      <c r="AA61" s="37" t="str">
        <f aca="false">IF($A61="","",IFERROR(1/(1/IF($B61="Residential",SUMIFS(INDEX('Oxford Economics'!$A$7:$AZ$1000,0,IFERROR(MATCH(AA$5,'Oxford Economics'!$A$6:$AZ$6,0),MATCH(AA$5&amp;"",'Oxford Economics'!$A$6:$AZ$6,0))),'Oxford Economics'!$A$7:$A$1000,$C61,'Oxford Economics'!$B$7:$B$1000,Settings!$B$12)-SUMIFS(INDEX('Oxford Economics'!$A$7:$AZ$1000,0,IFERROR(MATCH(AA$5,'Oxford Economics'!$A$6:$AZ$6,0),MATCH(AA$5&amp;"",'Oxford Economics'!$A$6:$AZ$6,0))),'Oxford Economics'!$A$7:$A$1000,$C61,'Oxford Economics'!$B$7:$B$1000,Settings!$B$14),SUMIFS(INDEX('Oxford Economics'!$A$7:$AZ$1000,0,IFERROR(MATCH(AA$5,'Oxford Economics'!$A$6:$AZ$6,0),MATCH(AA$5&amp;"",'Oxford Economics'!$A$6:$AZ$6,0))),'Oxford Economics'!$A$7:$A$1000,$C61,'Oxford Economics'!$B$7:$B$1000,Settings!$B$14)+SUMIFS(INDEX('Oxford Economics'!$A$7:$AZ$1000,0,IFERROR(MATCH(AA$5,'Oxford Economics'!$A$6:$AZ$6,0),MATCH(AA$5&amp;"",'Oxford Economics'!$A$6:$AZ$6,0))),'Oxford Economics'!$A$7:$A$1000,$C61,'Oxford Economics'!$B$7:$B$1000,Settings!$B$16)+IF(Settings!$B$18="",0,SUMIFS(INDEX('Oxford Economics'!$A$7:$AZ$1000,0,IFERROR(MATCH(AA$5,'Oxford Economics'!$A$6:$AZ$6,0),MATCH(AA$5&amp;"",'Oxford Economics'!$A$6:$AZ$6,0))),'Oxford Economics'!$A$7:$A$1000,$C61,'Oxford Economics'!$B$7:$B$1000,Settings!$B$18)))),""))</f>
        <v/>
      </c>
      <c r="AB61" s="37" t="str">
        <f aca="false">IF($A61="","",IFERROR(1/(1/IF($B61="Residential",SUMIFS(INDEX('Oxford Economics'!$A$7:$AZ$1000,0,IFERROR(MATCH(AB$5,'Oxford Economics'!$A$6:$AZ$6,0),MATCH(AB$5&amp;"",'Oxford Economics'!$A$6:$AZ$6,0))),'Oxford Economics'!$A$7:$A$1000,$C61,'Oxford Economics'!$B$7:$B$1000,Settings!$B$11)-SUMIFS(INDEX('Oxford Economics'!$A$7:$AZ$1000,0,IFERROR(MATCH(AB$5,'Oxford Economics'!$A$6:$AZ$6,0),MATCH(AB$5&amp;"",'Oxford Economics'!$A$6:$AZ$6,0))),'Oxford Economics'!$A$7:$A$1000,$C61,'Oxford Economics'!$B$7:$B$1000,Settings!$B$13),SUMIFS(INDEX('Oxford Economics'!$A$7:$AZ$1000,0,IFERROR(MATCH(AB$5,'Oxford Economics'!$A$6:$AZ$6,0),MATCH(AB$5&amp;"",'Oxford Economics'!$A$6:$AZ$6,0))),'Oxford Economics'!$A$7:$A$1000,$C61,'Oxford Economics'!$B$7:$B$1000,Settings!$B$13)+SUMIFS(INDEX('Oxford Economics'!$A$7:$AZ$1000,0,IFERROR(MATCH(AB$5,'Oxford Economics'!$A$6:$AZ$6,0),MATCH(AB$5&amp;"",'Oxford Economics'!$A$6:$AZ$6,0))),'Oxford Economics'!$A$7:$A$1000,$C61,'Oxford Economics'!$B$7:$B$1000,Settings!$B$15)+IF(Settings!$B$17="",0,SUMIFS(INDEX('Oxford Economics'!$A$7:$AZ$1000,0,IFERROR(MATCH(AB$5,'Oxford Economics'!$A$6:$AZ$6,0),MATCH(AB$5&amp;"",'Oxford Economics'!$A$6:$AZ$6,0))),'Oxford Economics'!$A$7:$A$1000,$C61,'Oxford Economics'!$B$7:$B$1000,Settings!$B$17)))),""))</f>
        <v/>
      </c>
      <c r="AC61" s="37" t="str">
        <f aca="false">IF($A61="","",IFERROR(1/(1/IF($B61="Residential",SUMIFS(INDEX('Oxford Economics'!$A$7:$AZ$1000,0,IFERROR(MATCH(AC$5,'Oxford Economics'!$A$6:$AZ$6,0),MATCH(AC$5&amp;"",'Oxford Economics'!$A$6:$AZ$6,0))),'Oxford Economics'!$A$7:$A$1000,$C61,'Oxford Economics'!$B$7:$B$1000,Settings!$B$11)-SUMIFS(INDEX('Oxford Economics'!$A$7:$AZ$1000,0,IFERROR(MATCH(AC$5,'Oxford Economics'!$A$6:$AZ$6,0),MATCH(AC$5&amp;"",'Oxford Economics'!$A$6:$AZ$6,0))),'Oxford Economics'!$A$7:$A$1000,$C61,'Oxford Economics'!$B$7:$B$1000,Settings!$B$13),SUMIFS(INDEX('Oxford Economics'!$A$7:$AZ$1000,0,IFERROR(MATCH(AC$5,'Oxford Economics'!$A$6:$AZ$6,0),MATCH(AC$5&amp;"",'Oxford Economics'!$A$6:$AZ$6,0))),'Oxford Economics'!$A$7:$A$1000,$C61,'Oxford Economics'!$B$7:$B$1000,Settings!$B$13)+SUMIFS(INDEX('Oxford Economics'!$A$7:$AZ$1000,0,IFERROR(MATCH(AC$5,'Oxford Economics'!$A$6:$AZ$6,0),MATCH(AC$5&amp;"",'Oxford Economics'!$A$6:$AZ$6,0))),'Oxford Economics'!$A$7:$A$1000,$C61,'Oxford Economics'!$B$7:$B$1000,Settings!$B$15)+IF(Settings!$B$17="",0,SUMIFS(INDEX('Oxford Economics'!$A$7:$AZ$1000,0,IFERROR(MATCH(AC$5,'Oxford Economics'!$A$6:$AZ$6,0),MATCH(AC$5&amp;"",'Oxford Economics'!$A$6:$AZ$6,0))),'Oxford Economics'!$A$7:$A$1000,$C61,'Oxford Economics'!$B$7:$B$1000,Settings!$B$17)))),""))</f>
        <v/>
      </c>
      <c r="AD61" s="37" t="str">
        <f aca="false">IF($A61="","",IFERROR(1/(1/IF($B61="Residential",SUMIFS(INDEX('Oxford Economics'!$A$7:$AZ$1000,0,IFERROR(MATCH(AD$5,'Oxford Economics'!$A$6:$AZ$6,0),MATCH(AD$5&amp;"",'Oxford Economics'!$A$6:$AZ$6,0))),'Oxford Economics'!$A$7:$A$1000,$C61,'Oxford Economics'!$B$7:$B$1000,Settings!$B$11)-SUMIFS(INDEX('Oxford Economics'!$A$7:$AZ$1000,0,IFERROR(MATCH(AD$5,'Oxford Economics'!$A$6:$AZ$6,0),MATCH(AD$5&amp;"",'Oxford Economics'!$A$6:$AZ$6,0))),'Oxford Economics'!$A$7:$A$1000,$C61,'Oxford Economics'!$B$7:$B$1000,Settings!$B$13),SUMIFS(INDEX('Oxford Economics'!$A$7:$AZ$1000,0,IFERROR(MATCH(AD$5,'Oxford Economics'!$A$6:$AZ$6,0),MATCH(AD$5&amp;"",'Oxford Economics'!$A$6:$AZ$6,0))),'Oxford Economics'!$A$7:$A$1000,$C61,'Oxford Economics'!$B$7:$B$1000,Settings!$B$13)+SUMIFS(INDEX('Oxford Economics'!$A$7:$AZ$1000,0,IFERROR(MATCH(AD$5,'Oxford Economics'!$A$6:$AZ$6,0),MATCH(AD$5&amp;"",'Oxford Economics'!$A$6:$AZ$6,0))),'Oxford Economics'!$A$7:$A$1000,$C61,'Oxford Economics'!$B$7:$B$1000,Settings!$B$15)+IF(Settings!$B$17="",0,SUMIFS(INDEX('Oxford Economics'!$A$7:$AZ$1000,0,IFERROR(MATCH(AD$5,'Oxford Economics'!$A$6:$AZ$6,0),MATCH(AD$5&amp;"",'Oxford Economics'!$A$6:$AZ$6,0))),'Oxford Economics'!$A$7:$A$1000,$C61,'Oxford Economics'!$B$7:$B$1000,Settings!$B$17)))),""))</f>
        <v/>
      </c>
      <c r="AE61" s="37" t="str">
        <f aca="false">IF($A61="","",IFERROR(1/(1/IF($B61="Residential",SUMIFS(INDEX('Oxford Economics'!$A$7:$AZ$1000,0,IFERROR(MATCH(AE$5,'Oxford Economics'!$A$6:$AZ$6,0),MATCH(AE$5&amp;"",'Oxford Economics'!$A$6:$AZ$6,0))),'Oxford Economics'!$A$7:$A$1000,$C61,'Oxford Economics'!$B$7:$B$1000,Settings!$B$11)-SUMIFS(INDEX('Oxford Economics'!$A$7:$AZ$1000,0,IFERROR(MATCH(AE$5,'Oxford Economics'!$A$6:$AZ$6,0),MATCH(AE$5&amp;"",'Oxford Economics'!$A$6:$AZ$6,0))),'Oxford Economics'!$A$7:$A$1000,$C61,'Oxford Economics'!$B$7:$B$1000,Settings!$B$13),SUMIFS(INDEX('Oxford Economics'!$A$7:$AZ$1000,0,IFERROR(MATCH(AE$5,'Oxford Economics'!$A$6:$AZ$6,0),MATCH(AE$5&amp;"",'Oxford Economics'!$A$6:$AZ$6,0))),'Oxford Economics'!$A$7:$A$1000,$C61,'Oxford Economics'!$B$7:$B$1000,Settings!$B$13)+SUMIFS(INDEX('Oxford Economics'!$A$7:$AZ$1000,0,IFERROR(MATCH(AE$5,'Oxford Economics'!$A$6:$AZ$6,0),MATCH(AE$5&amp;"",'Oxford Economics'!$A$6:$AZ$6,0))),'Oxford Economics'!$A$7:$A$1000,$C61,'Oxford Economics'!$B$7:$B$1000,Settings!$B$15)+IF(Settings!$B$17="",0,SUMIFS(INDEX('Oxford Economics'!$A$7:$AZ$1000,0,IFERROR(MATCH(AE$5,'Oxford Economics'!$A$6:$AZ$6,0),MATCH(AE$5&amp;"",'Oxford Economics'!$A$6:$AZ$6,0))),'Oxford Economics'!$A$7:$A$1000,$C61,'Oxford Economics'!$B$7:$B$1000,Settings!$B$17)))),""))</f>
        <v/>
      </c>
      <c r="AF61" s="37" t="str">
        <f aca="false">IF($A61="","",IFERROR(1/(1/IF($B61="Residential",SUMIFS(INDEX('Oxford Economics'!$A$7:$AZ$1000,0,IFERROR(MATCH(AF$5,'Oxford Economics'!$A$6:$AZ$6,0),MATCH(AF$5&amp;"",'Oxford Economics'!$A$6:$AZ$6,0))),'Oxford Economics'!$A$7:$A$1000,$C61,'Oxford Economics'!$B$7:$B$1000,Settings!$B$11)-SUMIFS(INDEX('Oxford Economics'!$A$7:$AZ$1000,0,IFERROR(MATCH(AF$5,'Oxford Economics'!$A$6:$AZ$6,0),MATCH(AF$5&amp;"",'Oxford Economics'!$A$6:$AZ$6,0))),'Oxford Economics'!$A$7:$A$1000,$C61,'Oxford Economics'!$B$7:$B$1000,Settings!$B$13),SUMIFS(INDEX('Oxford Economics'!$A$7:$AZ$1000,0,IFERROR(MATCH(AF$5,'Oxford Economics'!$A$6:$AZ$6,0),MATCH(AF$5&amp;"",'Oxford Economics'!$A$6:$AZ$6,0))),'Oxford Economics'!$A$7:$A$1000,$C61,'Oxford Economics'!$B$7:$B$1000,Settings!$B$13)+SUMIFS(INDEX('Oxford Economics'!$A$7:$AZ$1000,0,IFERROR(MATCH(AF$5,'Oxford Economics'!$A$6:$AZ$6,0),MATCH(AF$5&amp;"",'Oxford Economics'!$A$6:$AZ$6,0))),'Oxford Economics'!$A$7:$A$1000,$C61,'Oxford Economics'!$B$7:$B$1000,Settings!$B$15)+IF(Settings!$B$17="",0,SUMIFS(INDEX('Oxford Economics'!$A$7:$AZ$1000,0,IFERROR(MATCH(AF$5,'Oxford Economics'!$A$6:$AZ$6,0),MATCH(AF$5&amp;"",'Oxford Economics'!$A$6:$AZ$6,0))),'Oxford Economics'!$A$7:$A$1000,$C61,'Oxford Economics'!$B$7:$B$1000,Settings!$B$17)))),""))</f>
        <v/>
      </c>
      <c r="AG61" s="37" t="str">
        <f aca="false">IF($A61="","",IFERROR(1/(1/IF($B61="Residential",SUMIFS(INDEX('Oxford Economics'!$A$7:$AZ$1000,0,IFERROR(MATCH(AG$5,'Oxford Economics'!$A$6:$AZ$6,0),MATCH(AG$5&amp;"",'Oxford Economics'!$A$6:$AZ$6,0))),'Oxford Economics'!$A$7:$A$1000,$C61,'Oxford Economics'!$B$7:$B$1000,Settings!$B$11)-SUMIFS(INDEX('Oxford Economics'!$A$7:$AZ$1000,0,IFERROR(MATCH(AG$5,'Oxford Economics'!$A$6:$AZ$6,0),MATCH(AG$5&amp;"",'Oxford Economics'!$A$6:$AZ$6,0))),'Oxford Economics'!$A$7:$A$1000,$C61,'Oxford Economics'!$B$7:$B$1000,Settings!$B$13),SUMIFS(INDEX('Oxford Economics'!$A$7:$AZ$1000,0,IFERROR(MATCH(AG$5,'Oxford Economics'!$A$6:$AZ$6,0),MATCH(AG$5&amp;"",'Oxford Economics'!$A$6:$AZ$6,0))),'Oxford Economics'!$A$7:$A$1000,$C61,'Oxford Economics'!$B$7:$B$1000,Settings!$B$13)+SUMIFS(INDEX('Oxford Economics'!$A$7:$AZ$1000,0,IFERROR(MATCH(AG$5,'Oxford Economics'!$A$6:$AZ$6,0),MATCH(AG$5&amp;"",'Oxford Economics'!$A$6:$AZ$6,0))),'Oxford Economics'!$A$7:$A$1000,$C61,'Oxford Economics'!$B$7:$B$1000,Settings!$B$15)+IF(Settings!$B$17="",0,SUMIFS(INDEX('Oxford Economics'!$A$7:$AZ$1000,0,IFERROR(MATCH(AG$5,'Oxford Economics'!$A$6:$AZ$6,0),MATCH(AG$5&amp;"",'Oxford Economics'!$A$6:$AZ$6,0))),'Oxford Economics'!$A$7:$A$1000,$C61,'Oxford Economics'!$B$7:$B$1000,Settings!$B$17)))),""))</f>
        <v/>
      </c>
      <c r="AH61" s="37" t="str">
        <f aca="false">IF($A61="","",IFERROR(1/(1/IF($B61="Residential",SUMIFS(INDEX('Oxford Economics'!$A$7:$AZ$1000,0,IFERROR(MATCH(AH$5,'Oxford Economics'!$A$6:$AZ$6,0),MATCH(AH$5&amp;"",'Oxford Economics'!$A$6:$AZ$6,0))),'Oxford Economics'!$A$7:$A$1000,$C61,'Oxford Economics'!$B$7:$B$1000,Settings!$B$11)-SUMIFS(INDEX('Oxford Economics'!$A$7:$AZ$1000,0,IFERROR(MATCH(AH$5,'Oxford Economics'!$A$6:$AZ$6,0),MATCH(AH$5&amp;"",'Oxford Economics'!$A$6:$AZ$6,0))),'Oxford Economics'!$A$7:$A$1000,$C61,'Oxford Economics'!$B$7:$B$1000,Settings!$B$13),SUMIFS(INDEX('Oxford Economics'!$A$7:$AZ$1000,0,IFERROR(MATCH(AH$5,'Oxford Economics'!$A$6:$AZ$6,0),MATCH(AH$5&amp;"",'Oxford Economics'!$A$6:$AZ$6,0))),'Oxford Economics'!$A$7:$A$1000,$C61,'Oxford Economics'!$B$7:$B$1000,Settings!$B$13)+SUMIFS(INDEX('Oxford Economics'!$A$7:$AZ$1000,0,IFERROR(MATCH(AH$5,'Oxford Economics'!$A$6:$AZ$6,0),MATCH(AH$5&amp;"",'Oxford Economics'!$A$6:$AZ$6,0))),'Oxford Economics'!$A$7:$A$1000,$C61,'Oxford Economics'!$B$7:$B$1000,Settings!$B$15)+IF(Settings!$B$17="",0,SUMIFS(INDEX('Oxford Economics'!$A$7:$AZ$1000,0,IFERROR(MATCH(AH$5,'Oxford Economics'!$A$6:$AZ$6,0),MATCH(AH$5&amp;"",'Oxford Economics'!$A$6:$AZ$6,0))),'Oxford Economics'!$A$7:$A$1000,$C61,'Oxford Economics'!$B$7:$B$1000,Settings!$B$17)))),""))</f>
        <v/>
      </c>
      <c r="AI61" s="37" t="str">
        <f aca="false">IF($A61="","",IFERROR(1/(1/IF($B61="Residential",SUMIFS(INDEX('Oxford Economics'!$A$7:$AZ$1000,0,IFERROR(MATCH(AI$5,'Oxford Economics'!$A$6:$AZ$6,0),MATCH(AI$5&amp;"",'Oxford Economics'!$A$6:$AZ$6,0))),'Oxford Economics'!$A$7:$A$1000,$C61,'Oxford Economics'!$B$7:$B$1000,Settings!$B$11)-SUMIFS(INDEX('Oxford Economics'!$A$7:$AZ$1000,0,IFERROR(MATCH(AI$5,'Oxford Economics'!$A$6:$AZ$6,0),MATCH(AI$5&amp;"",'Oxford Economics'!$A$6:$AZ$6,0))),'Oxford Economics'!$A$7:$A$1000,$C61,'Oxford Economics'!$B$7:$B$1000,Settings!$B$13),SUMIFS(INDEX('Oxford Economics'!$A$7:$AZ$1000,0,IFERROR(MATCH(AI$5,'Oxford Economics'!$A$6:$AZ$6,0),MATCH(AI$5&amp;"",'Oxford Economics'!$A$6:$AZ$6,0))),'Oxford Economics'!$A$7:$A$1000,$C61,'Oxford Economics'!$B$7:$B$1000,Settings!$B$13)+SUMIFS(INDEX('Oxford Economics'!$A$7:$AZ$1000,0,IFERROR(MATCH(AI$5,'Oxford Economics'!$A$6:$AZ$6,0),MATCH(AI$5&amp;"",'Oxford Economics'!$A$6:$AZ$6,0))),'Oxford Economics'!$A$7:$A$1000,$C61,'Oxford Economics'!$B$7:$B$1000,Settings!$B$15)+IF(Settings!$B$17="",0,SUMIFS(INDEX('Oxford Economics'!$A$7:$AZ$1000,0,IFERROR(MATCH(AI$5,'Oxford Economics'!$A$6:$AZ$6,0),MATCH(AI$5&amp;"",'Oxford Economics'!$A$6:$AZ$6,0))),'Oxford Economics'!$A$7:$A$1000,$C61,'Oxford Economics'!$B$7:$B$1000,Settings!$B$17)))),""))</f>
        <v/>
      </c>
      <c r="AJ61" s="37" t="str">
        <f aca="false">IF($A61="","",IFERROR(1/(1/IF($B61="Residential",SUMIFS(INDEX('Oxford Economics'!$A$7:$AZ$1000,0,IFERROR(MATCH(AJ$5,'Oxford Economics'!$A$6:$AZ$6,0),MATCH(AJ$5&amp;"",'Oxford Economics'!$A$6:$AZ$6,0))),'Oxford Economics'!$A$7:$A$1000,$C61,'Oxford Economics'!$B$7:$B$1000,Settings!$B$11)-SUMIFS(INDEX('Oxford Economics'!$A$7:$AZ$1000,0,IFERROR(MATCH(AJ$5,'Oxford Economics'!$A$6:$AZ$6,0),MATCH(AJ$5&amp;"",'Oxford Economics'!$A$6:$AZ$6,0))),'Oxford Economics'!$A$7:$A$1000,$C61,'Oxford Economics'!$B$7:$B$1000,Settings!$B$13),SUMIFS(INDEX('Oxford Economics'!$A$7:$AZ$1000,0,IFERROR(MATCH(AJ$5,'Oxford Economics'!$A$6:$AZ$6,0),MATCH(AJ$5&amp;"",'Oxford Economics'!$A$6:$AZ$6,0))),'Oxford Economics'!$A$7:$A$1000,$C61,'Oxford Economics'!$B$7:$B$1000,Settings!$B$13)+SUMIFS(INDEX('Oxford Economics'!$A$7:$AZ$1000,0,IFERROR(MATCH(AJ$5,'Oxford Economics'!$A$6:$AZ$6,0),MATCH(AJ$5&amp;"",'Oxford Economics'!$A$6:$AZ$6,0))),'Oxford Economics'!$A$7:$A$1000,$C61,'Oxford Economics'!$B$7:$B$1000,Settings!$B$15)+IF(Settings!$B$17="",0,SUMIFS(INDEX('Oxford Economics'!$A$7:$AZ$1000,0,IFERROR(MATCH(AJ$5,'Oxford Economics'!$A$6:$AZ$6,0),MATCH(AJ$5&amp;"",'Oxford Economics'!$A$6:$AZ$6,0))),'Oxford Economics'!$A$7:$A$1000,$C61,'Oxford Economics'!$B$7:$B$1000,Settings!$B$17)))),""))</f>
        <v/>
      </c>
      <c r="AK61" s="37" t="str">
        <f aca="false">IF($A61="","",IFERROR(1/(1/IF($B61="Residential",SUMIFS(INDEX('Oxford Economics'!$A$7:$AZ$1000,0,IFERROR(MATCH(AK$5,'Oxford Economics'!$A$6:$AZ$6,0),MATCH(AK$5&amp;"",'Oxford Economics'!$A$6:$AZ$6,0))),'Oxford Economics'!$A$7:$A$1000,$C61,'Oxford Economics'!$B$7:$B$1000,Settings!$B$11)-SUMIFS(INDEX('Oxford Economics'!$A$7:$AZ$1000,0,IFERROR(MATCH(AK$5,'Oxford Economics'!$A$6:$AZ$6,0),MATCH(AK$5&amp;"",'Oxford Economics'!$A$6:$AZ$6,0))),'Oxford Economics'!$A$7:$A$1000,$C61,'Oxford Economics'!$B$7:$B$1000,Settings!$B$13),SUMIFS(INDEX('Oxford Economics'!$A$7:$AZ$1000,0,IFERROR(MATCH(AK$5,'Oxford Economics'!$A$6:$AZ$6,0),MATCH(AK$5&amp;"",'Oxford Economics'!$A$6:$AZ$6,0))),'Oxford Economics'!$A$7:$A$1000,$C61,'Oxford Economics'!$B$7:$B$1000,Settings!$B$13)+SUMIFS(INDEX('Oxford Economics'!$A$7:$AZ$1000,0,IFERROR(MATCH(AK$5,'Oxford Economics'!$A$6:$AZ$6,0),MATCH(AK$5&amp;"",'Oxford Economics'!$A$6:$AZ$6,0))),'Oxford Economics'!$A$7:$A$1000,$C61,'Oxford Economics'!$B$7:$B$1000,Settings!$B$15)+IF(Settings!$B$17="",0,SUMIFS(INDEX('Oxford Economics'!$A$7:$AZ$1000,0,IFERROR(MATCH(AK$5,'Oxford Economics'!$A$6:$AZ$6,0),MATCH(AK$5&amp;"",'Oxford Economics'!$A$6:$AZ$6,0))),'Oxford Economics'!$A$7:$A$1000,$C61,'Oxford Economics'!$B$7:$B$1000,Settings!$B$17)))),""))</f>
        <v/>
      </c>
      <c r="AL61" s="37" t="str">
        <f aca="false">IF($A61="","",IFERROR(1/(1/IF($B61="Residential",SUMIFS(INDEX('Oxford Economics'!$A$7:$AZ$1000,0,IFERROR(MATCH(AL$5,'Oxford Economics'!$A$6:$AZ$6,0),MATCH(AL$5&amp;"",'Oxford Economics'!$A$6:$AZ$6,0))),'Oxford Economics'!$A$7:$A$1000,$C61,'Oxford Economics'!$B$7:$B$1000,Settings!$B$11)-SUMIFS(INDEX('Oxford Economics'!$A$7:$AZ$1000,0,IFERROR(MATCH(AL$5,'Oxford Economics'!$A$6:$AZ$6,0),MATCH(AL$5&amp;"",'Oxford Economics'!$A$6:$AZ$6,0))),'Oxford Economics'!$A$7:$A$1000,$C61,'Oxford Economics'!$B$7:$B$1000,Settings!$B$13),SUMIFS(INDEX('Oxford Economics'!$A$7:$AZ$1000,0,IFERROR(MATCH(AL$5,'Oxford Economics'!$A$6:$AZ$6,0),MATCH(AL$5&amp;"",'Oxford Economics'!$A$6:$AZ$6,0))),'Oxford Economics'!$A$7:$A$1000,$C61,'Oxford Economics'!$B$7:$B$1000,Settings!$B$13)+SUMIFS(INDEX('Oxford Economics'!$A$7:$AZ$1000,0,IFERROR(MATCH(AL$5,'Oxford Economics'!$A$6:$AZ$6,0),MATCH(AL$5&amp;"",'Oxford Economics'!$A$6:$AZ$6,0))),'Oxford Economics'!$A$7:$A$1000,$C61,'Oxford Economics'!$B$7:$B$1000,Settings!$B$15)+IF(Settings!$B$17="",0,SUMIFS(INDEX('Oxford Economics'!$A$7:$AZ$1000,0,IFERROR(MATCH(AL$5,'Oxford Economics'!$A$6:$AZ$6,0),MATCH(AL$5&amp;"",'Oxford Economics'!$A$6:$AZ$6,0))),'Oxford Economics'!$A$7:$A$1000,$C61,'Oxford Economics'!$B$7:$B$1000,Settings!$B$17)))),""))</f>
        <v/>
      </c>
      <c r="AM61" s="37" t="str">
        <f aca="false">IF($A61="","",IFERROR(1/(1/IF($B61="Residential",SUMIFS(INDEX('Oxford Economics'!$A$7:$AZ$1000,0,IFERROR(MATCH(AM$5,'Oxford Economics'!$A$6:$AZ$6,0),MATCH(AM$5&amp;"",'Oxford Economics'!$A$6:$AZ$6,0))),'Oxford Economics'!$A$7:$A$1000,$C61,'Oxford Economics'!$B$7:$B$1000,Settings!$B$11)-SUMIFS(INDEX('Oxford Economics'!$A$7:$AZ$1000,0,IFERROR(MATCH(AM$5,'Oxford Economics'!$A$6:$AZ$6,0),MATCH(AM$5&amp;"",'Oxford Economics'!$A$6:$AZ$6,0))),'Oxford Economics'!$A$7:$A$1000,$C61,'Oxford Economics'!$B$7:$B$1000,Settings!$B$13),SUMIFS(INDEX('Oxford Economics'!$A$7:$AZ$1000,0,IFERROR(MATCH(AM$5,'Oxford Economics'!$A$6:$AZ$6,0),MATCH(AM$5&amp;"",'Oxford Economics'!$A$6:$AZ$6,0))),'Oxford Economics'!$A$7:$A$1000,$C61,'Oxford Economics'!$B$7:$B$1000,Settings!$B$13)+SUMIFS(INDEX('Oxford Economics'!$A$7:$AZ$1000,0,IFERROR(MATCH(AM$5,'Oxford Economics'!$A$6:$AZ$6,0),MATCH(AM$5&amp;"",'Oxford Economics'!$A$6:$AZ$6,0))),'Oxford Economics'!$A$7:$A$1000,$C61,'Oxford Economics'!$B$7:$B$1000,Settings!$B$15)+IF(Settings!$B$17="",0,SUMIFS(INDEX('Oxford Economics'!$A$7:$AZ$1000,0,IFERROR(MATCH(AM$5,'Oxford Economics'!$A$6:$AZ$6,0),MATCH(AM$5&amp;"",'Oxford Economics'!$A$6:$AZ$6,0))),'Oxford Economics'!$A$7:$A$1000,$C61,'Oxford Economics'!$B$7:$B$1000,Settings!$B$17)))),""))</f>
        <v/>
      </c>
    </row>
    <row r="62" customFormat="false" ht="15" hidden="false" customHeight="false" outlineLevel="0" collapsed="false">
      <c r="A62" s="36" t="str">
        <f aca="false">IF('Raw data'!$A62="","",'Raw data'!$A62)</f>
        <v/>
      </c>
      <c r="B62" s="36" t="str">
        <f aca="false">IF($A62="","",'Raw data'!$C62)</f>
        <v/>
      </c>
      <c r="C62" s="36" t="str">
        <f aca="false">IF($A62="","",IF('Raw data'!$D62="",$A62,'Raw data'!$D62))</f>
        <v/>
      </c>
      <c r="D62" s="37" t="str">
        <f aca="false">IF($A62="","",IF(AND(ISNUMBER(P62),ISNUMBER(AB62)),P62+AB62,""))</f>
        <v/>
      </c>
      <c r="E62" s="37" t="str">
        <f aca="false">IF($A62="","",IF(AND(ISNUMBER(Q62),ISNUMBER(AC62)),Q62+AC62,""))</f>
        <v/>
      </c>
      <c r="F62" s="37" t="str">
        <f aca="false">IF($A62="","",IF(AND(ISNUMBER(R62),ISNUMBER(AD62)),R62+AD62,""))</f>
        <v/>
      </c>
      <c r="G62" s="37" t="str">
        <f aca="false">IF($A62="","",IF(AND(ISNUMBER(S62),ISNUMBER(AE62)),S62+AE62,""))</f>
        <v/>
      </c>
      <c r="H62" s="37" t="str">
        <f aca="false">IF($A62="","",IF(AND(ISNUMBER(T62),ISNUMBER(AF62)),T62+AF62,""))</f>
        <v/>
      </c>
      <c r="I62" s="37" t="str">
        <f aca="false">IF($A62="","",IF(AND(ISNUMBER(U62),ISNUMBER(AG62)),U62+AG62,""))</f>
        <v/>
      </c>
      <c r="J62" s="37" t="str">
        <f aca="false">IF($A62="","",IF(AND(ISNUMBER(V62),ISNUMBER(AH62)),V62+AH62,""))</f>
        <v/>
      </c>
      <c r="K62" s="37" t="str">
        <f aca="false">IF($A62="","",IF(AND(ISNUMBER(W62),ISNUMBER(AI62)),W62+AI62,""))</f>
        <v/>
      </c>
      <c r="L62" s="37" t="str">
        <f aca="false">IF($A62="","",IF(AND(ISNUMBER(X62),ISNUMBER(AJ62)),X62+AJ62,""))</f>
        <v/>
      </c>
      <c r="M62" s="37" t="str">
        <f aca="false">IF($A62="","",IF(AND(ISNUMBER(Y62),ISNUMBER(AK62)),Y62+AK62,""))</f>
        <v/>
      </c>
      <c r="N62" s="37" t="str">
        <f aca="false">IF($A62="","",IF(AND(ISNUMBER(Z62),ISNUMBER(AL62)),Z62+AL62,""))</f>
        <v/>
      </c>
      <c r="O62" s="37" t="str">
        <f aca="false">IF($A62="","",IF(AND(ISNUMBER(AA62),ISNUMBER(AM62)),AA62+AM62,""))</f>
        <v/>
      </c>
      <c r="P62" s="37" t="str">
        <f aca="false">IF($A62="","",IFERROR(1/(1/IF($B62="Residential",SUMIFS(INDEX('Oxford Economics'!$A$7:$AZ$1000,0,IFERROR(MATCH(P$5,'Oxford Economics'!$A$6:$AZ$6,0),MATCH(P$5&amp;"",'Oxford Economics'!$A$6:$AZ$6,0))),'Oxford Economics'!$A$7:$A$1000,$C62,'Oxford Economics'!$B$7:$B$1000,Settings!$B$12)-SUMIFS(INDEX('Oxford Economics'!$A$7:$AZ$1000,0,IFERROR(MATCH(P$5,'Oxford Economics'!$A$6:$AZ$6,0),MATCH(P$5&amp;"",'Oxford Economics'!$A$6:$AZ$6,0))),'Oxford Economics'!$A$7:$A$1000,$C62,'Oxford Economics'!$B$7:$B$1000,Settings!$B$14),SUMIFS(INDEX('Oxford Economics'!$A$7:$AZ$1000,0,IFERROR(MATCH(P$5,'Oxford Economics'!$A$6:$AZ$6,0),MATCH(P$5&amp;"",'Oxford Economics'!$A$6:$AZ$6,0))),'Oxford Economics'!$A$7:$A$1000,$C62,'Oxford Economics'!$B$7:$B$1000,Settings!$B$14)+SUMIFS(INDEX('Oxford Economics'!$A$7:$AZ$1000,0,IFERROR(MATCH(P$5,'Oxford Economics'!$A$6:$AZ$6,0),MATCH(P$5&amp;"",'Oxford Economics'!$A$6:$AZ$6,0))),'Oxford Economics'!$A$7:$A$1000,$C62,'Oxford Economics'!$B$7:$B$1000,Settings!$B$16)+IF(Settings!$B$18="",0,SUMIFS(INDEX('Oxford Economics'!$A$7:$AZ$1000,0,IFERROR(MATCH(P$5,'Oxford Economics'!$A$6:$AZ$6,0),MATCH(P$5&amp;"",'Oxford Economics'!$A$6:$AZ$6,0))),'Oxford Economics'!$A$7:$A$1000,$C62,'Oxford Economics'!$B$7:$B$1000,Settings!$B$18)))),""))</f>
        <v/>
      </c>
      <c r="Q62" s="37" t="str">
        <f aca="false">IF($A62="","",IFERROR(1/(1/IF($B62="Residential",SUMIFS(INDEX('Oxford Economics'!$A$7:$AZ$1000,0,IFERROR(MATCH(Q$5,'Oxford Economics'!$A$6:$AZ$6,0),MATCH(Q$5&amp;"",'Oxford Economics'!$A$6:$AZ$6,0))),'Oxford Economics'!$A$7:$A$1000,$C62,'Oxford Economics'!$B$7:$B$1000,Settings!$B$12)-SUMIFS(INDEX('Oxford Economics'!$A$7:$AZ$1000,0,IFERROR(MATCH(Q$5,'Oxford Economics'!$A$6:$AZ$6,0),MATCH(Q$5&amp;"",'Oxford Economics'!$A$6:$AZ$6,0))),'Oxford Economics'!$A$7:$A$1000,$C62,'Oxford Economics'!$B$7:$B$1000,Settings!$B$14),SUMIFS(INDEX('Oxford Economics'!$A$7:$AZ$1000,0,IFERROR(MATCH(Q$5,'Oxford Economics'!$A$6:$AZ$6,0),MATCH(Q$5&amp;"",'Oxford Economics'!$A$6:$AZ$6,0))),'Oxford Economics'!$A$7:$A$1000,$C62,'Oxford Economics'!$B$7:$B$1000,Settings!$B$14)+SUMIFS(INDEX('Oxford Economics'!$A$7:$AZ$1000,0,IFERROR(MATCH(Q$5,'Oxford Economics'!$A$6:$AZ$6,0),MATCH(Q$5&amp;"",'Oxford Economics'!$A$6:$AZ$6,0))),'Oxford Economics'!$A$7:$A$1000,$C62,'Oxford Economics'!$B$7:$B$1000,Settings!$B$16)+IF(Settings!$B$18="",0,SUMIFS(INDEX('Oxford Economics'!$A$7:$AZ$1000,0,IFERROR(MATCH(Q$5,'Oxford Economics'!$A$6:$AZ$6,0),MATCH(Q$5&amp;"",'Oxford Economics'!$A$6:$AZ$6,0))),'Oxford Economics'!$A$7:$A$1000,$C62,'Oxford Economics'!$B$7:$B$1000,Settings!$B$18)))),""))</f>
        <v/>
      </c>
      <c r="R62" s="37" t="str">
        <f aca="false">IF($A62="","",IFERROR(1/(1/IF($B62="Residential",SUMIFS(INDEX('Oxford Economics'!$A$7:$AZ$1000,0,IFERROR(MATCH(R$5,'Oxford Economics'!$A$6:$AZ$6,0),MATCH(R$5&amp;"",'Oxford Economics'!$A$6:$AZ$6,0))),'Oxford Economics'!$A$7:$A$1000,$C62,'Oxford Economics'!$B$7:$B$1000,Settings!$B$12)-SUMIFS(INDEX('Oxford Economics'!$A$7:$AZ$1000,0,IFERROR(MATCH(R$5,'Oxford Economics'!$A$6:$AZ$6,0),MATCH(R$5&amp;"",'Oxford Economics'!$A$6:$AZ$6,0))),'Oxford Economics'!$A$7:$A$1000,$C62,'Oxford Economics'!$B$7:$B$1000,Settings!$B$14),SUMIFS(INDEX('Oxford Economics'!$A$7:$AZ$1000,0,IFERROR(MATCH(R$5,'Oxford Economics'!$A$6:$AZ$6,0),MATCH(R$5&amp;"",'Oxford Economics'!$A$6:$AZ$6,0))),'Oxford Economics'!$A$7:$A$1000,$C62,'Oxford Economics'!$B$7:$B$1000,Settings!$B$14)+SUMIFS(INDEX('Oxford Economics'!$A$7:$AZ$1000,0,IFERROR(MATCH(R$5,'Oxford Economics'!$A$6:$AZ$6,0),MATCH(R$5&amp;"",'Oxford Economics'!$A$6:$AZ$6,0))),'Oxford Economics'!$A$7:$A$1000,$C62,'Oxford Economics'!$B$7:$B$1000,Settings!$B$16)+IF(Settings!$B$18="",0,SUMIFS(INDEX('Oxford Economics'!$A$7:$AZ$1000,0,IFERROR(MATCH(R$5,'Oxford Economics'!$A$6:$AZ$6,0),MATCH(R$5&amp;"",'Oxford Economics'!$A$6:$AZ$6,0))),'Oxford Economics'!$A$7:$A$1000,$C62,'Oxford Economics'!$B$7:$B$1000,Settings!$B$18)))),""))</f>
        <v/>
      </c>
      <c r="S62" s="37" t="str">
        <f aca="false">IF($A62="","",IFERROR(1/(1/IF($B62="Residential",SUMIFS(INDEX('Oxford Economics'!$A$7:$AZ$1000,0,IFERROR(MATCH(S$5,'Oxford Economics'!$A$6:$AZ$6,0),MATCH(S$5&amp;"",'Oxford Economics'!$A$6:$AZ$6,0))),'Oxford Economics'!$A$7:$A$1000,$C62,'Oxford Economics'!$B$7:$B$1000,Settings!$B$12)-SUMIFS(INDEX('Oxford Economics'!$A$7:$AZ$1000,0,IFERROR(MATCH(S$5,'Oxford Economics'!$A$6:$AZ$6,0),MATCH(S$5&amp;"",'Oxford Economics'!$A$6:$AZ$6,0))),'Oxford Economics'!$A$7:$A$1000,$C62,'Oxford Economics'!$B$7:$B$1000,Settings!$B$14),SUMIFS(INDEX('Oxford Economics'!$A$7:$AZ$1000,0,IFERROR(MATCH(S$5,'Oxford Economics'!$A$6:$AZ$6,0),MATCH(S$5&amp;"",'Oxford Economics'!$A$6:$AZ$6,0))),'Oxford Economics'!$A$7:$A$1000,$C62,'Oxford Economics'!$B$7:$B$1000,Settings!$B$14)+SUMIFS(INDEX('Oxford Economics'!$A$7:$AZ$1000,0,IFERROR(MATCH(S$5,'Oxford Economics'!$A$6:$AZ$6,0),MATCH(S$5&amp;"",'Oxford Economics'!$A$6:$AZ$6,0))),'Oxford Economics'!$A$7:$A$1000,$C62,'Oxford Economics'!$B$7:$B$1000,Settings!$B$16)+IF(Settings!$B$18="",0,SUMIFS(INDEX('Oxford Economics'!$A$7:$AZ$1000,0,IFERROR(MATCH(S$5,'Oxford Economics'!$A$6:$AZ$6,0),MATCH(S$5&amp;"",'Oxford Economics'!$A$6:$AZ$6,0))),'Oxford Economics'!$A$7:$A$1000,$C62,'Oxford Economics'!$B$7:$B$1000,Settings!$B$18)))),""))</f>
        <v/>
      </c>
      <c r="T62" s="37" t="str">
        <f aca="false">IF($A62="","",IFERROR(1/(1/IF($B62="Residential",SUMIFS(INDEX('Oxford Economics'!$A$7:$AZ$1000,0,IFERROR(MATCH(T$5,'Oxford Economics'!$A$6:$AZ$6,0),MATCH(T$5&amp;"",'Oxford Economics'!$A$6:$AZ$6,0))),'Oxford Economics'!$A$7:$A$1000,$C62,'Oxford Economics'!$B$7:$B$1000,Settings!$B$12)-SUMIFS(INDEX('Oxford Economics'!$A$7:$AZ$1000,0,IFERROR(MATCH(T$5,'Oxford Economics'!$A$6:$AZ$6,0),MATCH(T$5&amp;"",'Oxford Economics'!$A$6:$AZ$6,0))),'Oxford Economics'!$A$7:$A$1000,$C62,'Oxford Economics'!$B$7:$B$1000,Settings!$B$14),SUMIFS(INDEX('Oxford Economics'!$A$7:$AZ$1000,0,IFERROR(MATCH(T$5,'Oxford Economics'!$A$6:$AZ$6,0),MATCH(T$5&amp;"",'Oxford Economics'!$A$6:$AZ$6,0))),'Oxford Economics'!$A$7:$A$1000,$C62,'Oxford Economics'!$B$7:$B$1000,Settings!$B$14)+SUMIFS(INDEX('Oxford Economics'!$A$7:$AZ$1000,0,IFERROR(MATCH(T$5,'Oxford Economics'!$A$6:$AZ$6,0),MATCH(T$5&amp;"",'Oxford Economics'!$A$6:$AZ$6,0))),'Oxford Economics'!$A$7:$A$1000,$C62,'Oxford Economics'!$B$7:$B$1000,Settings!$B$16)+IF(Settings!$B$18="",0,SUMIFS(INDEX('Oxford Economics'!$A$7:$AZ$1000,0,IFERROR(MATCH(T$5,'Oxford Economics'!$A$6:$AZ$6,0),MATCH(T$5&amp;"",'Oxford Economics'!$A$6:$AZ$6,0))),'Oxford Economics'!$A$7:$A$1000,$C62,'Oxford Economics'!$B$7:$B$1000,Settings!$B$18)))),""))</f>
        <v/>
      </c>
      <c r="U62" s="37" t="str">
        <f aca="false">IF($A62="","",IFERROR(1/(1/IF($B62="Residential",SUMIFS(INDEX('Oxford Economics'!$A$7:$AZ$1000,0,IFERROR(MATCH(U$5,'Oxford Economics'!$A$6:$AZ$6,0),MATCH(U$5&amp;"",'Oxford Economics'!$A$6:$AZ$6,0))),'Oxford Economics'!$A$7:$A$1000,$C62,'Oxford Economics'!$B$7:$B$1000,Settings!$B$12)-SUMIFS(INDEX('Oxford Economics'!$A$7:$AZ$1000,0,IFERROR(MATCH(U$5,'Oxford Economics'!$A$6:$AZ$6,0),MATCH(U$5&amp;"",'Oxford Economics'!$A$6:$AZ$6,0))),'Oxford Economics'!$A$7:$A$1000,$C62,'Oxford Economics'!$B$7:$B$1000,Settings!$B$14),SUMIFS(INDEX('Oxford Economics'!$A$7:$AZ$1000,0,IFERROR(MATCH(U$5,'Oxford Economics'!$A$6:$AZ$6,0),MATCH(U$5&amp;"",'Oxford Economics'!$A$6:$AZ$6,0))),'Oxford Economics'!$A$7:$A$1000,$C62,'Oxford Economics'!$B$7:$B$1000,Settings!$B$14)+SUMIFS(INDEX('Oxford Economics'!$A$7:$AZ$1000,0,IFERROR(MATCH(U$5,'Oxford Economics'!$A$6:$AZ$6,0),MATCH(U$5&amp;"",'Oxford Economics'!$A$6:$AZ$6,0))),'Oxford Economics'!$A$7:$A$1000,$C62,'Oxford Economics'!$B$7:$B$1000,Settings!$B$16)+IF(Settings!$B$18="",0,SUMIFS(INDEX('Oxford Economics'!$A$7:$AZ$1000,0,IFERROR(MATCH(U$5,'Oxford Economics'!$A$6:$AZ$6,0),MATCH(U$5&amp;"",'Oxford Economics'!$A$6:$AZ$6,0))),'Oxford Economics'!$A$7:$A$1000,$C62,'Oxford Economics'!$B$7:$B$1000,Settings!$B$18)))),""))</f>
        <v/>
      </c>
      <c r="V62" s="37" t="str">
        <f aca="false">IF($A62="","",IFERROR(1/(1/IF($B62="Residential",SUMIFS(INDEX('Oxford Economics'!$A$7:$AZ$1000,0,IFERROR(MATCH(V$5,'Oxford Economics'!$A$6:$AZ$6,0),MATCH(V$5&amp;"",'Oxford Economics'!$A$6:$AZ$6,0))),'Oxford Economics'!$A$7:$A$1000,$C62,'Oxford Economics'!$B$7:$B$1000,Settings!$B$12)-SUMIFS(INDEX('Oxford Economics'!$A$7:$AZ$1000,0,IFERROR(MATCH(V$5,'Oxford Economics'!$A$6:$AZ$6,0),MATCH(V$5&amp;"",'Oxford Economics'!$A$6:$AZ$6,0))),'Oxford Economics'!$A$7:$A$1000,$C62,'Oxford Economics'!$B$7:$B$1000,Settings!$B$14),SUMIFS(INDEX('Oxford Economics'!$A$7:$AZ$1000,0,IFERROR(MATCH(V$5,'Oxford Economics'!$A$6:$AZ$6,0),MATCH(V$5&amp;"",'Oxford Economics'!$A$6:$AZ$6,0))),'Oxford Economics'!$A$7:$A$1000,$C62,'Oxford Economics'!$B$7:$B$1000,Settings!$B$14)+SUMIFS(INDEX('Oxford Economics'!$A$7:$AZ$1000,0,IFERROR(MATCH(V$5,'Oxford Economics'!$A$6:$AZ$6,0),MATCH(V$5&amp;"",'Oxford Economics'!$A$6:$AZ$6,0))),'Oxford Economics'!$A$7:$A$1000,$C62,'Oxford Economics'!$B$7:$B$1000,Settings!$B$16)+IF(Settings!$B$18="",0,SUMIFS(INDEX('Oxford Economics'!$A$7:$AZ$1000,0,IFERROR(MATCH(V$5,'Oxford Economics'!$A$6:$AZ$6,0),MATCH(V$5&amp;"",'Oxford Economics'!$A$6:$AZ$6,0))),'Oxford Economics'!$A$7:$A$1000,$C62,'Oxford Economics'!$B$7:$B$1000,Settings!$B$18)))),""))</f>
        <v/>
      </c>
      <c r="W62" s="37" t="str">
        <f aca="false">IF($A62="","",IFERROR(1/(1/IF($B62="Residential",SUMIFS(INDEX('Oxford Economics'!$A$7:$AZ$1000,0,IFERROR(MATCH(W$5,'Oxford Economics'!$A$6:$AZ$6,0),MATCH(W$5&amp;"",'Oxford Economics'!$A$6:$AZ$6,0))),'Oxford Economics'!$A$7:$A$1000,$C62,'Oxford Economics'!$B$7:$B$1000,Settings!$B$12)-SUMIFS(INDEX('Oxford Economics'!$A$7:$AZ$1000,0,IFERROR(MATCH(W$5,'Oxford Economics'!$A$6:$AZ$6,0),MATCH(W$5&amp;"",'Oxford Economics'!$A$6:$AZ$6,0))),'Oxford Economics'!$A$7:$A$1000,$C62,'Oxford Economics'!$B$7:$B$1000,Settings!$B$14),SUMIFS(INDEX('Oxford Economics'!$A$7:$AZ$1000,0,IFERROR(MATCH(W$5,'Oxford Economics'!$A$6:$AZ$6,0),MATCH(W$5&amp;"",'Oxford Economics'!$A$6:$AZ$6,0))),'Oxford Economics'!$A$7:$A$1000,$C62,'Oxford Economics'!$B$7:$B$1000,Settings!$B$14)+SUMIFS(INDEX('Oxford Economics'!$A$7:$AZ$1000,0,IFERROR(MATCH(W$5,'Oxford Economics'!$A$6:$AZ$6,0),MATCH(W$5&amp;"",'Oxford Economics'!$A$6:$AZ$6,0))),'Oxford Economics'!$A$7:$A$1000,$C62,'Oxford Economics'!$B$7:$B$1000,Settings!$B$16)+IF(Settings!$B$18="",0,SUMIFS(INDEX('Oxford Economics'!$A$7:$AZ$1000,0,IFERROR(MATCH(W$5,'Oxford Economics'!$A$6:$AZ$6,0),MATCH(W$5&amp;"",'Oxford Economics'!$A$6:$AZ$6,0))),'Oxford Economics'!$A$7:$A$1000,$C62,'Oxford Economics'!$B$7:$B$1000,Settings!$B$18)))),""))</f>
        <v/>
      </c>
      <c r="X62" s="37" t="str">
        <f aca="false">IF($A62="","",IFERROR(1/(1/IF($B62="Residential",SUMIFS(INDEX('Oxford Economics'!$A$7:$AZ$1000,0,IFERROR(MATCH(X$5,'Oxford Economics'!$A$6:$AZ$6,0),MATCH(X$5&amp;"",'Oxford Economics'!$A$6:$AZ$6,0))),'Oxford Economics'!$A$7:$A$1000,$C62,'Oxford Economics'!$B$7:$B$1000,Settings!$B$12)-SUMIFS(INDEX('Oxford Economics'!$A$7:$AZ$1000,0,IFERROR(MATCH(X$5,'Oxford Economics'!$A$6:$AZ$6,0),MATCH(X$5&amp;"",'Oxford Economics'!$A$6:$AZ$6,0))),'Oxford Economics'!$A$7:$A$1000,$C62,'Oxford Economics'!$B$7:$B$1000,Settings!$B$14),SUMIFS(INDEX('Oxford Economics'!$A$7:$AZ$1000,0,IFERROR(MATCH(X$5,'Oxford Economics'!$A$6:$AZ$6,0),MATCH(X$5&amp;"",'Oxford Economics'!$A$6:$AZ$6,0))),'Oxford Economics'!$A$7:$A$1000,$C62,'Oxford Economics'!$B$7:$B$1000,Settings!$B$14)+SUMIFS(INDEX('Oxford Economics'!$A$7:$AZ$1000,0,IFERROR(MATCH(X$5,'Oxford Economics'!$A$6:$AZ$6,0),MATCH(X$5&amp;"",'Oxford Economics'!$A$6:$AZ$6,0))),'Oxford Economics'!$A$7:$A$1000,$C62,'Oxford Economics'!$B$7:$B$1000,Settings!$B$16)+IF(Settings!$B$18="",0,SUMIFS(INDEX('Oxford Economics'!$A$7:$AZ$1000,0,IFERROR(MATCH(X$5,'Oxford Economics'!$A$6:$AZ$6,0),MATCH(X$5&amp;"",'Oxford Economics'!$A$6:$AZ$6,0))),'Oxford Economics'!$A$7:$A$1000,$C62,'Oxford Economics'!$B$7:$B$1000,Settings!$B$18)))),""))</f>
        <v/>
      </c>
      <c r="Y62" s="37" t="str">
        <f aca="false">IF($A62="","",IFERROR(1/(1/IF($B62="Residential",SUMIFS(INDEX('Oxford Economics'!$A$7:$AZ$1000,0,IFERROR(MATCH(Y$5,'Oxford Economics'!$A$6:$AZ$6,0),MATCH(Y$5&amp;"",'Oxford Economics'!$A$6:$AZ$6,0))),'Oxford Economics'!$A$7:$A$1000,$C62,'Oxford Economics'!$B$7:$B$1000,Settings!$B$12)-SUMIFS(INDEX('Oxford Economics'!$A$7:$AZ$1000,0,IFERROR(MATCH(Y$5,'Oxford Economics'!$A$6:$AZ$6,0),MATCH(Y$5&amp;"",'Oxford Economics'!$A$6:$AZ$6,0))),'Oxford Economics'!$A$7:$A$1000,$C62,'Oxford Economics'!$B$7:$B$1000,Settings!$B$14),SUMIFS(INDEX('Oxford Economics'!$A$7:$AZ$1000,0,IFERROR(MATCH(Y$5,'Oxford Economics'!$A$6:$AZ$6,0),MATCH(Y$5&amp;"",'Oxford Economics'!$A$6:$AZ$6,0))),'Oxford Economics'!$A$7:$A$1000,$C62,'Oxford Economics'!$B$7:$B$1000,Settings!$B$14)+SUMIFS(INDEX('Oxford Economics'!$A$7:$AZ$1000,0,IFERROR(MATCH(Y$5,'Oxford Economics'!$A$6:$AZ$6,0),MATCH(Y$5&amp;"",'Oxford Economics'!$A$6:$AZ$6,0))),'Oxford Economics'!$A$7:$A$1000,$C62,'Oxford Economics'!$B$7:$B$1000,Settings!$B$16)+IF(Settings!$B$18="",0,SUMIFS(INDEX('Oxford Economics'!$A$7:$AZ$1000,0,IFERROR(MATCH(Y$5,'Oxford Economics'!$A$6:$AZ$6,0),MATCH(Y$5&amp;"",'Oxford Economics'!$A$6:$AZ$6,0))),'Oxford Economics'!$A$7:$A$1000,$C62,'Oxford Economics'!$B$7:$B$1000,Settings!$B$18)))),""))</f>
        <v/>
      </c>
      <c r="Z62" s="37" t="str">
        <f aca="false">IF($A62="","",IFERROR(1/(1/IF($B62="Residential",SUMIFS(INDEX('Oxford Economics'!$A$7:$AZ$1000,0,IFERROR(MATCH(Z$5,'Oxford Economics'!$A$6:$AZ$6,0),MATCH(Z$5&amp;"",'Oxford Economics'!$A$6:$AZ$6,0))),'Oxford Economics'!$A$7:$A$1000,$C62,'Oxford Economics'!$B$7:$B$1000,Settings!$B$12)-SUMIFS(INDEX('Oxford Economics'!$A$7:$AZ$1000,0,IFERROR(MATCH(Z$5,'Oxford Economics'!$A$6:$AZ$6,0),MATCH(Z$5&amp;"",'Oxford Economics'!$A$6:$AZ$6,0))),'Oxford Economics'!$A$7:$A$1000,$C62,'Oxford Economics'!$B$7:$B$1000,Settings!$B$14),SUMIFS(INDEX('Oxford Economics'!$A$7:$AZ$1000,0,IFERROR(MATCH(Z$5,'Oxford Economics'!$A$6:$AZ$6,0),MATCH(Z$5&amp;"",'Oxford Economics'!$A$6:$AZ$6,0))),'Oxford Economics'!$A$7:$A$1000,$C62,'Oxford Economics'!$B$7:$B$1000,Settings!$B$14)+SUMIFS(INDEX('Oxford Economics'!$A$7:$AZ$1000,0,IFERROR(MATCH(Z$5,'Oxford Economics'!$A$6:$AZ$6,0),MATCH(Z$5&amp;"",'Oxford Economics'!$A$6:$AZ$6,0))),'Oxford Economics'!$A$7:$A$1000,$C62,'Oxford Economics'!$B$7:$B$1000,Settings!$B$16)+IF(Settings!$B$18="",0,SUMIFS(INDEX('Oxford Economics'!$A$7:$AZ$1000,0,IFERROR(MATCH(Z$5,'Oxford Economics'!$A$6:$AZ$6,0),MATCH(Z$5&amp;"",'Oxford Economics'!$A$6:$AZ$6,0))),'Oxford Economics'!$A$7:$A$1000,$C62,'Oxford Economics'!$B$7:$B$1000,Settings!$B$18)))),""))</f>
        <v/>
      </c>
      <c r="AA62" s="37" t="str">
        <f aca="false">IF($A62="","",IFERROR(1/(1/IF($B62="Residential",SUMIFS(INDEX('Oxford Economics'!$A$7:$AZ$1000,0,IFERROR(MATCH(AA$5,'Oxford Economics'!$A$6:$AZ$6,0),MATCH(AA$5&amp;"",'Oxford Economics'!$A$6:$AZ$6,0))),'Oxford Economics'!$A$7:$A$1000,$C62,'Oxford Economics'!$B$7:$B$1000,Settings!$B$12)-SUMIFS(INDEX('Oxford Economics'!$A$7:$AZ$1000,0,IFERROR(MATCH(AA$5,'Oxford Economics'!$A$6:$AZ$6,0),MATCH(AA$5&amp;"",'Oxford Economics'!$A$6:$AZ$6,0))),'Oxford Economics'!$A$7:$A$1000,$C62,'Oxford Economics'!$B$7:$B$1000,Settings!$B$14),SUMIFS(INDEX('Oxford Economics'!$A$7:$AZ$1000,0,IFERROR(MATCH(AA$5,'Oxford Economics'!$A$6:$AZ$6,0),MATCH(AA$5&amp;"",'Oxford Economics'!$A$6:$AZ$6,0))),'Oxford Economics'!$A$7:$A$1000,$C62,'Oxford Economics'!$B$7:$B$1000,Settings!$B$14)+SUMIFS(INDEX('Oxford Economics'!$A$7:$AZ$1000,0,IFERROR(MATCH(AA$5,'Oxford Economics'!$A$6:$AZ$6,0),MATCH(AA$5&amp;"",'Oxford Economics'!$A$6:$AZ$6,0))),'Oxford Economics'!$A$7:$A$1000,$C62,'Oxford Economics'!$B$7:$B$1000,Settings!$B$16)+IF(Settings!$B$18="",0,SUMIFS(INDEX('Oxford Economics'!$A$7:$AZ$1000,0,IFERROR(MATCH(AA$5,'Oxford Economics'!$A$6:$AZ$6,0),MATCH(AA$5&amp;"",'Oxford Economics'!$A$6:$AZ$6,0))),'Oxford Economics'!$A$7:$A$1000,$C62,'Oxford Economics'!$B$7:$B$1000,Settings!$B$18)))),""))</f>
        <v/>
      </c>
      <c r="AB62" s="37" t="str">
        <f aca="false">IF($A62="","",IFERROR(1/(1/IF($B62="Residential",SUMIFS(INDEX('Oxford Economics'!$A$7:$AZ$1000,0,IFERROR(MATCH(AB$5,'Oxford Economics'!$A$6:$AZ$6,0),MATCH(AB$5&amp;"",'Oxford Economics'!$A$6:$AZ$6,0))),'Oxford Economics'!$A$7:$A$1000,$C62,'Oxford Economics'!$B$7:$B$1000,Settings!$B$11)-SUMIFS(INDEX('Oxford Economics'!$A$7:$AZ$1000,0,IFERROR(MATCH(AB$5,'Oxford Economics'!$A$6:$AZ$6,0),MATCH(AB$5&amp;"",'Oxford Economics'!$A$6:$AZ$6,0))),'Oxford Economics'!$A$7:$A$1000,$C62,'Oxford Economics'!$B$7:$B$1000,Settings!$B$13),SUMIFS(INDEX('Oxford Economics'!$A$7:$AZ$1000,0,IFERROR(MATCH(AB$5,'Oxford Economics'!$A$6:$AZ$6,0),MATCH(AB$5&amp;"",'Oxford Economics'!$A$6:$AZ$6,0))),'Oxford Economics'!$A$7:$A$1000,$C62,'Oxford Economics'!$B$7:$B$1000,Settings!$B$13)+SUMIFS(INDEX('Oxford Economics'!$A$7:$AZ$1000,0,IFERROR(MATCH(AB$5,'Oxford Economics'!$A$6:$AZ$6,0),MATCH(AB$5&amp;"",'Oxford Economics'!$A$6:$AZ$6,0))),'Oxford Economics'!$A$7:$A$1000,$C62,'Oxford Economics'!$B$7:$B$1000,Settings!$B$15)+IF(Settings!$B$17="",0,SUMIFS(INDEX('Oxford Economics'!$A$7:$AZ$1000,0,IFERROR(MATCH(AB$5,'Oxford Economics'!$A$6:$AZ$6,0),MATCH(AB$5&amp;"",'Oxford Economics'!$A$6:$AZ$6,0))),'Oxford Economics'!$A$7:$A$1000,$C62,'Oxford Economics'!$B$7:$B$1000,Settings!$B$17)))),""))</f>
        <v/>
      </c>
      <c r="AC62" s="37" t="str">
        <f aca="false">IF($A62="","",IFERROR(1/(1/IF($B62="Residential",SUMIFS(INDEX('Oxford Economics'!$A$7:$AZ$1000,0,IFERROR(MATCH(AC$5,'Oxford Economics'!$A$6:$AZ$6,0),MATCH(AC$5&amp;"",'Oxford Economics'!$A$6:$AZ$6,0))),'Oxford Economics'!$A$7:$A$1000,$C62,'Oxford Economics'!$B$7:$B$1000,Settings!$B$11)-SUMIFS(INDEX('Oxford Economics'!$A$7:$AZ$1000,0,IFERROR(MATCH(AC$5,'Oxford Economics'!$A$6:$AZ$6,0),MATCH(AC$5&amp;"",'Oxford Economics'!$A$6:$AZ$6,0))),'Oxford Economics'!$A$7:$A$1000,$C62,'Oxford Economics'!$B$7:$B$1000,Settings!$B$13),SUMIFS(INDEX('Oxford Economics'!$A$7:$AZ$1000,0,IFERROR(MATCH(AC$5,'Oxford Economics'!$A$6:$AZ$6,0),MATCH(AC$5&amp;"",'Oxford Economics'!$A$6:$AZ$6,0))),'Oxford Economics'!$A$7:$A$1000,$C62,'Oxford Economics'!$B$7:$B$1000,Settings!$B$13)+SUMIFS(INDEX('Oxford Economics'!$A$7:$AZ$1000,0,IFERROR(MATCH(AC$5,'Oxford Economics'!$A$6:$AZ$6,0),MATCH(AC$5&amp;"",'Oxford Economics'!$A$6:$AZ$6,0))),'Oxford Economics'!$A$7:$A$1000,$C62,'Oxford Economics'!$B$7:$B$1000,Settings!$B$15)+IF(Settings!$B$17="",0,SUMIFS(INDEX('Oxford Economics'!$A$7:$AZ$1000,0,IFERROR(MATCH(AC$5,'Oxford Economics'!$A$6:$AZ$6,0),MATCH(AC$5&amp;"",'Oxford Economics'!$A$6:$AZ$6,0))),'Oxford Economics'!$A$7:$A$1000,$C62,'Oxford Economics'!$B$7:$B$1000,Settings!$B$17)))),""))</f>
        <v/>
      </c>
      <c r="AD62" s="37" t="str">
        <f aca="false">IF($A62="","",IFERROR(1/(1/IF($B62="Residential",SUMIFS(INDEX('Oxford Economics'!$A$7:$AZ$1000,0,IFERROR(MATCH(AD$5,'Oxford Economics'!$A$6:$AZ$6,0),MATCH(AD$5&amp;"",'Oxford Economics'!$A$6:$AZ$6,0))),'Oxford Economics'!$A$7:$A$1000,$C62,'Oxford Economics'!$B$7:$B$1000,Settings!$B$11)-SUMIFS(INDEX('Oxford Economics'!$A$7:$AZ$1000,0,IFERROR(MATCH(AD$5,'Oxford Economics'!$A$6:$AZ$6,0),MATCH(AD$5&amp;"",'Oxford Economics'!$A$6:$AZ$6,0))),'Oxford Economics'!$A$7:$A$1000,$C62,'Oxford Economics'!$B$7:$B$1000,Settings!$B$13),SUMIFS(INDEX('Oxford Economics'!$A$7:$AZ$1000,0,IFERROR(MATCH(AD$5,'Oxford Economics'!$A$6:$AZ$6,0),MATCH(AD$5&amp;"",'Oxford Economics'!$A$6:$AZ$6,0))),'Oxford Economics'!$A$7:$A$1000,$C62,'Oxford Economics'!$B$7:$B$1000,Settings!$B$13)+SUMIFS(INDEX('Oxford Economics'!$A$7:$AZ$1000,0,IFERROR(MATCH(AD$5,'Oxford Economics'!$A$6:$AZ$6,0),MATCH(AD$5&amp;"",'Oxford Economics'!$A$6:$AZ$6,0))),'Oxford Economics'!$A$7:$A$1000,$C62,'Oxford Economics'!$B$7:$B$1000,Settings!$B$15)+IF(Settings!$B$17="",0,SUMIFS(INDEX('Oxford Economics'!$A$7:$AZ$1000,0,IFERROR(MATCH(AD$5,'Oxford Economics'!$A$6:$AZ$6,0),MATCH(AD$5&amp;"",'Oxford Economics'!$A$6:$AZ$6,0))),'Oxford Economics'!$A$7:$A$1000,$C62,'Oxford Economics'!$B$7:$B$1000,Settings!$B$17)))),""))</f>
        <v/>
      </c>
      <c r="AE62" s="37" t="str">
        <f aca="false">IF($A62="","",IFERROR(1/(1/IF($B62="Residential",SUMIFS(INDEX('Oxford Economics'!$A$7:$AZ$1000,0,IFERROR(MATCH(AE$5,'Oxford Economics'!$A$6:$AZ$6,0),MATCH(AE$5&amp;"",'Oxford Economics'!$A$6:$AZ$6,0))),'Oxford Economics'!$A$7:$A$1000,$C62,'Oxford Economics'!$B$7:$B$1000,Settings!$B$11)-SUMIFS(INDEX('Oxford Economics'!$A$7:$AZ$1000,0,IFERROR(MATCH(AE$5,'Oxford Economics'!$A$6:$AZ$6,0),MATCH(AE$5&amp;"",'Oxford Economics'!$A$6:$AZ$6,0))),'Oxford Economics'!$A$7:$A$1000,$C62,'Oxford Economics'!$B$7:$B$1000,Settings!$B$13),SUMIFS(INDEX('Oxford Economics'!$A$7:$AZ$1000,0,IFERROR(MATCH(AE$5,'Oxford Economics'!$A$6:$AZ$6,0),MATCH(AE$5&amp;"",'Oxford Economics'!$A$6:$AZ$6,0))),'Oxford Economics'!$A$7:$A$1000,$C62,'Oxford Economics'!$B$7:$B$1000,Settings!$B$13)+SUMIFS(INDEX('Oxford Economics'!$A$7:$AZ$1000,0,IFERROR(MATCH(AE$5,'Oxford Economics'!$A$6:$AZ$6,0),MATCH(AE$5&amp;"",'Oxford Economics'!$A$6:$AZ$6,0))),'Oxford Economics'!$A$7:$A$1000,$C62,'Oxford Economics'!$B$7:$B$1000,Settings!$B$15)+IF(Settings!$B$17="",0,SUMIFS(INDEX('Oxford Economics'!$A$7:$AZ$1000,0,IFERROR(MATCH(AE$5,'Oxford Economics'!$A$6:$AZ$6,0),MATCH(AE$5&amp;"",'Oxford Economics'!$A$6:$AZ$6,0))),'Oxford Economics'!$A$7:$A$1000,$C62,'Oxford Economics'!$B$7:$B$1000,Settings!$B$17)))),""))</f>
        <v/>
      </c>
      <c r="AF62" s="37" t="str">
        <f aca="false">IF($A62="","",IFERROR(1/(1/IF($B62="Residential",SUMIFS(INDEX('Oxford Economics'!$A$7:$AZ$1000,0,IFERROR(MATCH(AF$5,'Oxford Economics'!$A$6:$AZ$6,0),MATCH(AF$5&amp;"",'Oxford Economics'!$A$6:$AZ$6,0))),'Oxford Economics'!$A$7:$A$1000,$C62,'Oxford Economics'!$B$7:$B$1000,Settings!$B$11)-SUMIFS(INDEX('Oxford Economics'!$A$7:$AZ$1000,0,IFERROR(MATCH(AF$5,'Oxford Economics'!$A$6:$AZ$6,0),MATCH(AF$5&amp;"",'Oxford Economics'!$A$6:$AZ$6,0))),'Oxford Economics'!$A$7:$A$1000,$C62,'Oxford Economics'!$B$7:$B$1000,Settings!$B$13),SUMIFS(INDEX('Oxford Economics'!$A$7:$AZ$1000,0,IFERROR(MATCH(AF$5,'Oxford Economics'!$A$6:$AZ$6,0),MATCH(AF$5&amp;"",'Oxford Economics'!$A$6:$AZ$6,0))),'Oxford Economics'!$A$7:$A$1000,$C62,'Oxford Economics'!$B$7:$B$1000,Settings!$B$13)+SUMIFS(INDEX('Oxford Economics'!$A$7:$AZ$1000,0,IFERROR(MATCH(AF$5,'Oxford Economics'!$A$6:$AZ$6,0),MATCH(AF$5&amp;"",'Oxford Economics'!$A$6:$AZ$6,0))),'Oxford Economics'!$A$7:$A$1000,$C62,'Oxford Economics'!$B$7:$B$1000,Settings!$B$15)+IF(Settings!$B$17="",0,SUMIFS(INDEX('Oxford Economics'!$A$7:$AZ$1000,0,IFERROR(MATCH(AF$5,'Oxford Economics'!$A$6:$AZ$6,0),MATCH(AF$5&amp;"",'Oxford Economics'!$A$6:$AZ$6,0))),'Oxford Economics'!$A$7:$A$1000,$C62,'Oxford Economics'!$B$7:$B$1000,Settings!$B$17)))),""))</f>
        <v/>
      </c>
      <c r="AG62" s="37" t="str">
        <f aca="false">IF($A62="","",IFERROR(1/(1/IF($B62="Residential",SUMIFS(INDEX('Oxford Economics'!$A$7:$AZ$1000,0,IFERROR(MATCH(AG$5,'Oxford Economics'!$A$6:$AZ$6,0),MATCH(AG$5&amp;"",'Oxford Economics'!$A$6:$AZ$6,0))),'Oxford Economics'!$A$7:$A$1000,$C62,'Oxford Economics'!$B$7:$B$1000,Settings!$B$11)-SUMIFS(INDEX('Oxford Economics'!$A$7:$AZ$1000,0,IFERROR(MATCH(AG$5,'Oxford Economics'!$A$6:$AZ$6,0),MATCH(AG$5&amp;"",'Oxford Economics'!$A$6:$AZ$6,0))),'Oxford Economics'!$A$7:$A$1000,$C62,'Oxford Economics'!$B$7:$B$1000,Settings!$B$13),SUMIFS(INDEX('Oxford Economics'!$A$7:$AZ$1000,0,IFERROR(MATCH(AG$5,'Oxford Economics'!$A$6:$AZ$6,0),MATCH(AG$5&amp;"",'Oxford Economics'!$A$6:$AZ$6,0))),'Oxford Economics'!$A$7:$A$1000,$C62,'Oxford Economics'!$B$7:$B$1000,Settings!$B$13)+SUMIFS(INDEX('Oxford Economics'!$A$7:$AZ$1000,0,IFERROR(MATCH(AG$5,'Oxford Economics'!$A$6:$AZ$6,0),MATCH(AG$5&amp;"",'Oxford Economics'!$A$6:$AZ$6,0))),'Oxford Economics'!$A$7:$A$1000,$C62,'Oxford Economics'!$B$7:$B$1000,Settings!$B$15)+IF(Settings!$B$17="",0,SUMIFS(INDEX('Oxford Economics'!$A$7:$AZ$1000,0,IFERROR(MATCH(AG$5,'Oxford Economics'!$A$6:$AZ$6,0),MATCH(AG$5&amp;"",'Oxford Economics'!$A$6:$AZ$6,0))),'Oxford Economics'!$A$7:$A$1000,$C62,'Oxford Economics'!$B$7:$B$1000,Settings!$B$17)))),""))</f>
        <v/>
      </c>
      <c r="AH62" s="37" t="str">
        <f aca="false">IF($A62="","",IFERROR(1/(1/IF($B62="Residential",SUMIFS(INDEX('Oxford Economics'!$A$7:$AZ$1000,0,IFERROR(MATCH(AH$5,'Oxford Economics'!$A$6:$AZ$6,0),MATCH(AH$5&amp;"",'Oxford Economics'!$A$6:$AZ$6,0))),'Oxford Economics'!$A$7:$A$1000,$C62,'Oxford Economics'!$B$7:$B$1000,Settings!$B$11)-SUMIFS(INDEX('Oxford Economics'!$A$7:$AZ$1000,0,IFERROR(MATCH(AH$5,'Oxford Economics'!$A$6:$AZ$6,0),MATCH(AH$5&amp;"",'Oxford Economics'!$A$6:$AZ$6,0))),'Oxford Economics'!$A$7:$A$1000,$C62,'Oxford Economics'!$B$7:$B$1000,Settings!$B$13),SUMIFS(INDEX('Oxford Economics'!$A$7:$AZ$1000,0,IFERROR(MATCH(AH$5,'Oxford Economics'!$A$6:$AZ$6,0),MATCH(AH$5&amp;"",'Oxford Economics'!$A$6:$AZ$6,0))),'Oxford Economics'!$A$7:$A$1000,$C62,'Oxford Economics'!$B$7:$B$1000,Settings!$B$13)+SUMIFS(INDEX('Oxford Economics'!$A$7:$AZ$1000,0,IFERROR(MATCH(AH$5,'Oxford Economics'!$A$6:$AZ$6,0),MATCH(AH$5&amp;"",'Oxford Economics'!$A$6:$AZ$6,0))),'Oxford Economics'!$A$7:$A$1000,$C62,'Oxford Economics'!$B$7:$B$1000,Settings!$B$15)+IF(Settings!$B$17="",0,SUMIFS(INDEX('Oxford Economics'!$A$7:$AZ$1000,0,IFERROR(MATCH(AH$5,'Oxford Economics'!$A$6:$AZ$6,0),MATCH(AH$5&amp;"",'Oxford Economics'!$A$6:$AZ$6,0))),'Oxford Economics'!$A$7:$A$1000,$C62,'Oxford Economics'!$B$7:$B$1000,Settings!$B$17)))),""))</f>
        <v/>
      </c>
      <c r="AI62" s="37" t="str">
        <f aca="false">IF($A62="","",IFERROR(1/(1/IF($B62="Residential",SUMIFS(INDEX('Oxford Economics'!$A$7:$AZ$1000,0,IFERROR(MATCH(AI$5,'Oxford Economics'!$A$6:$AZ$6,0),MATCH(AI$5&amp;"",'Oxford Economics'!$A$6:$AZ$6,0))),'Oxford Economics'!$A$7:$A$1000,$C62,'Oxford Economics'!$B$7:$B$1000,Settings!$B$11)-SUMIFS(INDEX('Oxford Economics'!$A$7:$AZ$1000,0,IFERROR(MATCH(AI$5,'Oxford Economics'!$A$6:$AZ$6,0),MATCH(AI$5&amp;"",'Oxford Economics'!$A$6:$AZ$6,0))),'Oxford Economics'!$A$7:$A$1000,$C62,'Oxford Economics'!$B$7:$B$1000,Settings!$B$13),SUMIFS(INDEX('Oxford Economics'!$A$7:$AZ$1000,0,IFERROR(MATCH(AI$5,'Oxford Economics'!$A$6:$AZ$6,0),MATCH(AI$5&amp;"",'Oxford Economics'!$A$6:$AZ$6,0))),'Oxford Economics'!$A$7:$A$1000,$C62,'Oxford Economics'!$B$7:$B$1000,Settings!$B$13)+SUMIFS(INDEX('Oxford Economics'!$A$7:$AZ$1000,0,IFERROR(MATCH(AI$5,'Oxford Economics'!$A$6:$AZ$6,0),MATCH(AI$5&amp;"",'Oxford Economics'!$A$6:$AZ$6,0))),'Oxford Economics'!$A$7:$A$1000,$C62,'Oxford Economics'!$B$7:$B$1000,Settings!$B$15)+IF(Settings!$B$17="",0,SUMIFS(INDEX('Oxford Economics'!$A$7:$AZ$1000,0,IFERROR(MATCH(AI$5,'Oxford Economics'!$A$6:$AZ$6,0),MATCH(AI$5&amp;"",'Oxford Economics'!$A$6:$AZ$6,0))),'Oxford Economics'!$A$7:$A$1000,$C62,'Oxford Economics'!$B$7:$B$1000,Settings!$B$17)))),""))</f>
        <v/>
      </c>
      <c r="AJ62" s="37" t="str">
        <f aca="false">IF($A62="","",IFERROR(1/(1/IF($B62="Residential",SUMIFS(INDEX('Oxford Economics'!$A$7:$AZ$1000,0,IFERROR(MATCH(AJ$5,'Oxford Economics'!$A$6:$AZ$6,0),MATCH(AJ$5&amp;"",'Oxford Economics'!$A$6:$AZ$6,0))),'Oxford Economics'!$A$7:$A$1000,$C62,'Oxford Economics'!$B$7:$B$1000,Settings!$B$11)-SUMIFS(INDEX('Oxford Economics'!$A$7:$AZ$1000,0,IFERROR(MATCH(AJ$5,'Oxford Economics'!$A$6:$AZ$6,0),MATCH(AJ$5&amp;"",'Oxford Economics'!$A$6:$AZ$6,0))),'Oxford Economics'!$A$7:$A$1000,$C62,'Oxford Economics'!$B$7:$B$1000,Settings!$B$13),SUMIFS(INDEX('Oxford Economics'!$A$7:$AZ$1000,0,IFERROR(MATCH(AJ$5,'Oxford Economics'!$A$6:$AZ$6,0),MATCH(AJ$5&amp;"",'Oxford Economics'!$A$6:$AZ$6,0))),'Oxford Economics'!$A$7:$A$1000,$C62,'Oxford Economics'!$B$7:$B$1000,Settings!$B$13)+SUMIFS(INDEX('Oxford Economics'!$A$7:$AZ$1000,0,IFERROR(MATCH(AJ$5,'Oxford Economics'!$A$6:$AZ$6,0),MATCH(AJ$5&amp;"",'Oxford Economics'!$A$6:$AZ$6,0))),'Oxford Economics'!$A$7:$A$1000,$C62,'Oxford Economics'!$B$7:$B$1000,Settings!$B$15)+IF(Settings!$B$17="",0,SUMIFS(INDEX('Oxford Economics'!$A$7:$AZ$1000,0,IFERROR(MATCH(AJ$5,'Oxford Economics'!$A$6:$AZ$6,0),MATCH(AJ$5&amp;"",'Oxford Economics'!$A$6:$AZ$6,0))),'Oxford Economics'!$A$7:$A$1000,$C62,'Oxford Economics'!$B$7:$B$1000,Settings!$B$17)))),""))</f>
        <v/>
      </c>
      <c r="AK62" s="37" t="str">
        <f aca="false">IF($A62="","",IFERROR(1/(1/IF($B62="Residential",SUMIFS(INDEX('Oxford Economics'!$A$7:$AZ$1000,0,IFERROR(MATCH(AK$5,'Oxford Economics'!$A$6:$AZ$6,0),MATCH(AK$5&amp;"",'Oxford Economics'!$A$6:$AZ$6,0))),'Oxford Economics'!$A$7:$A$1000,$C62,'Oxford Economics'!$B$7:$B$1000,Settings!$B$11)-SUMIFS(INDEX('Oxford Economics'!$A$7:$AZ$1000,0,IFERROR(MATCH(AK$5,'Oxford Economics'!$A$6:$AZ$6,0),MATCH(AK$5&amp;"",'Oxford Economics'!$A$6:$AZ$6,0))),'Oxford Economics'!$A$7:$A$1000,$C62,'Oxford Economics'!$B$7:$B$1000,Settings!$B$13),SUMIFS(INDEX('Oxford Economics'!$A$7:$AZ$1000,0,IFERROR(MATCH(AK$5,'Oxford Economics'!$A$6:$AZ$6,0),MATCH(AK$5&amp;"",'Oxford Economics'!$A$6:$AZ$6,0))),'Oxford Economics'!$A$7:$A$1000,$C62,'Oxford Economics'!$B$7:$B$1000,Settings!$B$13)+SUMIFS(INDEX('Oxford Economics'!$A$7:$AZ$1000,0,IFERROR(MATCH(AK$5,'Oxford Economics'!$A$6:$AZ$6,0),MATCH(AK$5&amp;"",'Oxford Economics'!$A$6:$AZ$6,0))),'Oxford Economics'!$A$7:$A$1000,$C62,'Oxford Economics'!$B$7:$B$1000,Settings!$B$15)+IF(Settings!$B$17="",0,SUMIFS(INDEX('Oxford Economics'!$A$7:$AZ$1000,0,IFERROR(MATCH(AK$5,'Oxford Economics'!$A$6:$AZ$6,0),MATCH(AK$5&amp;"",'Oxford Economics'!$A$6:$AZ$6,0))),'Oxford Economics'!$A$7:$A$1000,$C62,'Oxford Economics'!$B$7:$B$1000,Settings!$B$17)))),""))</f>
        <v/>
      </c>
      <c r="AL62" s="37" t="str">
        <f aca="false">IF($A62="","",IFERROR(1/(1/IF($B62="Residential",SUMIFS(INDEX('Oxford Economics'!$A$7:$AZ$1000,0,IFERROR(MATCH(AL$5,'Oxford Economics'!$A$6:$AZ$6,0),MATCH(AL$5&amp;"",'Oxford Economics'!$A$6:$AZ$6,0))),'Oxford Economics'!$A$7:$A$1000,$C62,'Oxford Economics'!$B$7:$B$1000,Settings!$B$11)-SUMIFS(INDEX('Oxford Economics'!$A$7:$AZ$1000,0,IFERROR(MATCH(AL$5,'Oxford Economics'!$A$6:$AZ$6,0),MATCH(AL$5&amp;"",'Oxford Economics'!$A$6:$AZ$6,0))),'Oxford Economics'!$A$7:$A$1000,$C62,'Oxford Economics'!$B$7:$B$1000,Settings!$B$13),SUMIFS(INDEX('Oxford Economics'!$A$7:$AZ$1000,0,IFERROR(MATCH(AL$5,'Oxford Economics'!$A$6:$AZ$6,0),MATCH(AL$5&amp;"",'Oxford Economics'!$A$6:$AZ$6,0))),'Oxford Economics'!$A$7:$A$1000,$C62,'Oxford Economics'!$B$7:$B$1000,Settings!$B$13)+SUMIFS(INDEX('Oxford Economics'!$A$7:$AZ$1000,0,IFERROR(MATCH(AL$5,'Oxford Economics'!$A$6:$AZ$6,0),MATCH(AL$5&amp;"",'Oxford Economics'!$A$6:$AZ$6,0))),'Oxford Economics'!$A$7:$A$1000,$C62,'Oxford Economics'!$B$7:$B$1000,Settings!$B$15)+IF(Settings!$B$17="",0,SUMIFS(INDEX('Oxford Economics'!$A$7:$AZ$1000,0,IFERROR(MATCH(AL$5,'Oxford Economics'!$A$6:$AZ$6,0),MATCH(AL$5&amp;"",'Oxford Economics'!$A$6:$AZ$6,0))),'Oxford Economics'!$A$7:$A$1000,$C62,'Oxford Economics'!$B$7:$B$1000,Settings!$B$17)))),""))</f>
        <v/>
      </c>
      <c r="AM62" s="37" t="str">
        <f aca="false">IF($A62="","",IFERROR(1/(1/IF($B62="Residential",SUMIFS(INDEX('Oxford Economics'!$A$7:$AZ$1000,0,IFERROR(MATCH(AM$5,'Oxford Economics'!$A$6:$AZ$6,0),MATCH(AM$5&amp;"",'Oxford Economics'!$A$6:$AZ$6,0))),'Oxford Economics'!$A$7:$A$1000,$C62,'Oxford Economics'!$B$7:$B$1000,Settings!$B$11)-SUMIFS(INDEX('Oxford Economics'!$A$7:$AZ$1000,0,IFERROR(MATCH(AM$5,'Oxford Economics'!$A$6:$AZ$6,0),MATCH(AM$5&amp;"",'Oxford Economics'!$A$6:$AZ$6,0))),'Oxford Economics'!$A$7:$A$1000,$C62,'Oxford Economics'!$B$7:$B$1000,Settings!$B$13),SUMIFS(INDEX('Oxford Economics'!$A$7:$AZ$1000,0,IFERROR(MATCH(AM$5,'Oxford Economics'!$A$6:$AZ$6,0),MATCH(AM$5&amp;"",'Oxford Economics'!$A$6:$AZ$6,0))),'Oxford Economics'!$A$7:$A$1000,$C62,'Oxford Economics'!$B$7:$B$1000,Settings!$B$13)+SUMIFS(INDEX('Oxford Economics'!$A$7:$AZ$1000,0,IFERROR(MATCH(AM$5,'Oxford Economics'!$A$6:$AZ$6,0),MATCH(AM$5&amp;"",'Oxford Economics'!$A$6:$AZ$6,0))),'Oxford Economics'!$A$7:$A$1000,$C62,'Oxford Economics'!$B$7:$B$1000,Settings!$B$15)+IF(Settings!$B$17="",0,SUMIFS(INDEX('Oxford Economics'!$A$7:$AZ$1000,0,IFERROR(MATCH(AM$5,'Oxford Economics'!$A$6:$AZ$6,0),MATCH(AM$5&amp;"",'Oxford Economics'!$A$6:$AZ$6,0))),'Oxford Economics'!$A$7:$A$1000,$C62,'Oxford Economics'!$B$7:$B$1000,Settings!$B$17)))),""))</f>
        <v/>
      </c>
    </row>
    <row r="63" customFormat="false" ht="15" hidden="false" customHeight="false" outlineLevel="0" collapsed="false">
      <c r="A63" s="36" t="str">
        <f aca="false">IF('Raw data'!$A63="","",'Raw data'!$A63)</f>
        <v/>
      </c>
      <c r="B63" s="36" t="str">
        <f aca="false">IF($A63="","",'Raw data'!$C63)</f>
        <v/>
      </c>
      <c r="C63" s="36" t="str">
        <f aca="false">IF($A63="","",IF('Raw data'!$D63="",$A63,'Raw data'!$D63))</f>
        <v/>
      </c>
      <c r="D63" s="37" t="str">
        <f aca="false">IF($A63="","",IF(AND(ISNUMBER(P63),ISNUMBER(AB63)),P63+AB63,""))</f>
        <v/>
      </c>
      <c r="E63" s="37" t="str">
        <f aca="false">IF($A63="","",IF(AND(ISNUMBER(Q63),ISNUMBER(AC63)),Q63+AC63,""))</f>
        <v/>
      </c>
      <c r="F63" s="37" t="str">
        <f aca="false">IF($A63="","",IF(AND(ISNUMBER(R63),ISNUMBER(AD63)),R63+AD63,""))</f>
        <v/>
      </c>
      <c r="G63" s="37" t="str">
        <f aca="false">IF($A63="","",IF(AND(ISNUMBER(S63),ISNUMBER(AE63)),S63+AE63,""))</f>
        <v/>
      </c>
      <c r="H63" s="37" t="str">
        <f aca="false">IF($A63="","",IF(AND(ISNUMBER(T63),ISNUMBER(AF63)),T63+AF63,""))</f>
        <v/>
      </c>
      <c r="I63" s="37" t="str">
        <f aca="false">IF($A63="","",IF(AND(ISNUMBER(U63),ISNUMBER(AG63)),U63+AG63,""))</f>
        <v/>
      </c>
      <c r="J63" s="37" t="str">
        <f aca="false">IF($A63="","",IF(AND(ISNUMBER(V63),ISNUMBER(AH63)),V63+AH63,""))</f>
        <v/>
      </c>
      <c r="K63" s="37" t="str">
        <f aca="false">IF($A63="","",IF(AND(ISNUMBER(W63),ISNUMBER(AI63)),W63+AI63,""))</f>
        <v/>
      </c>
      <c r="L63" s="37" t="str">
        <f aca="false">IF($A63="","",IF(AND(ISNUMBER(X63),ISNUMBER(AJ63)),X63+AJ63,""))</f>
        <v/>
      </c>
      <c r="M63" s="37" t="str">
        <f aca="false">IF($A63="","",IF(AND(ISNUMBER(Y63),ISNUMBER(AK63)),Y63+AK63,""))</f>
        <v/>
      </c>
      <c r="N63" s="37" t="str">
        <f aca="false">IF($A63="","",IF(AND(ISNUMBER(Z63),ISNUMBER(AL63)),Z63+AL63,""))</f>
        <v/>
      </c>
      <c r="O63" s="37" t="str">
        <f aca="false">IF($A63="","",IF(AND(ISNUMBER(AA63),ISNUMBER(AM63)),AA63+AM63,""))</f>
        <v/>
      </c>
      <c r="P63" s="37" t="str">
        <f aca="false">IF($A63="","",IFERROR(1/(1/IF($B63="Residential",SUMIFS(INDEX('Oxford Economics'!$A$7:$AZ$1000,0,IFERROR(MATCH(P$5,'Oxford Economics'!$A$6:$AZ$6,0),MATCH(P$5&amp;"",'Oxford Economics'!$A$6:$AZ$6,0))),'Oxford Economics'!$A$7:$A$1000,$C63,'Oxford Economics'!$B$7:$B$1000,Settings!$B$12)-SUMIFS(INDEX('Oxford Economics'!$A$7:$AZ$1000,0,IFERROR(MATCH(P$5,'Oxford Economics'!$A$6:$AZ$6,0),MATCH(P$5&amp;"",'Oxford Economics'!$A$6:$AZ$6,0))),'Oxford Economics'!$A$7:$A$1000,$C63,'Oxford Economics'!$B$7:$B$1000,Settings!$B$14),SUMIFS(INDEX('Oxford Economics'!$A$7:$AZ$1000,0,IFERROR(MATCH(P$5,'Oxford Economics'!$A$6:$AZ$6,0),MATCH(P$5&amp;"",'Oxford Economics'!$A$6:$AZ$6,0))),'Oxford Economics'!$A$7:$A$1000,$C63,'Oxford Economics'!$B$7:$B$1000,Settings!$B$14)+SUMIFS(INDEX('Oxford Economics'!$A$7:$AZ$1000,0,IFERROR(MATCH(P$5,'Oxford Economics'!$A$6:$AZ$6,0),MATCH(P$5&amp;"",'Oxford Economics'!$A$6:$AZ$6,0))),'Oxford Economics'!$A$7:$A$1000,$C63,'Oxford Economics'!$B$7:$B$1000,Settings!$B$16)+IF(Settings!$B$18="",0,SUMIFS(INDEX('Oxford Economics'!$A$7:$AZ$1000,0,IFERROR(MATCH(P$5,'Oxford Economics'!$A$6:$AZ$6,0),MATCH(P$5&amp;"",'Oxford Economics'!$A$6:$AZ$6,0))),'Oxford Economics'!$A$7:$A$1000,$C63,'Oxford Economics'!$B$7:$B$1000,Settings!$B$18)))),""))</f>
        <v/>
      </c>
      <c r="Q63" s="37" t="str">
        <f aca="false">IF($A63="","",IFERROR(1/(1/IF($B63="Residential",SUMIFS(INDEX('Oxford Economics'!$A$7:$AZ$1000,0,IFERROR(MATCH(Q$5,'Oxford Economics'!$A$6:$AZ$6,0),MATCH(Q$5&amp;"",'Oxford Economics'!$A$6:$AZ$6,0))),'Oxford Economics'!$A$7:$A$1000,$C63,'Oxford Economics'!$B$7:$B$1000,Settings!$B$12)-SUMIFS(INDEX('Oxford Economics'!$A$7:$AZ$1000,0,IFERROR(MATCH(Q$5,'Oxford Economics'!$A$6:$AZ$6,0),MATCH(Q$5&amp;"",'Oxford Economics'!$A$6:$AZ$6,0))),'Oxford Economics'!$A$7:$A$1000,$C63,'Oxford Economics'!$B$7:$B$1000,Settings!$B$14),SUMIFS(INDEX('Oxford Economics'!$A$7:$AZ$1000,0,IFERROR(MATCH(Q$5,'Oxford Economics'!$A$6:$AZ$6,0),MATCH(Q$5&amp;"",'Oxford Economics'!$A$6:$AZ$6,0))),'Oxford Economics'!$A$7:$A$1000,$C63,'Oxford Economics'!$B$7:$B$1000,Settings!$B$14)+SUMIFS(INDEX('Oxford Economics'!$A$7:$AZ$1000,0,IFERROR(MATCH(Q$5,'Oxford Economics'!$A$6:$AZ$6,0),MATCH(Q$5&amp;"",'Oxford Economics'!$A$6:$AZ$6,0))),'Oxford Economics'!$A$7:$A$1000,$C63,'Oxford Economics'!$B$7:$B$1000,Settings!$B$16)+IF(Settings!$B$18="",0,SUMIFS(INDEX('Oxford Economics'!$A$7:$AZ$1000,0,IFERROR(MATCH(Q$5,'Oxford Economics'!$A$6:$AZ$6,0),MATCH(Q$5&amp;"",'Oxford Economics'!$A$6:$AZ$6,0))),'Oxford Economics'!$A$7:$A$1000,$C63,'Oxford Economics'!$B$7:$B$1000,Settings!$B$18)))),""))</f>
        <v/>
      </c>
      <c r="R63" s="37" t="str">
        <f aca="false">IF($A63="","",IFERROR(1/(1/IF($B63="Residential",SUMIFS(INDEX('Oxford Economics'!$A$7:$AZ$1000,0,IFERROR(MATCH(R$5,'Oxford Economics'!$A$6:$AZ$6,0),MATCH(R$5&amp;"",'Oxford Economics'!$A$6:$AZ$6,0))),'Oxford Economics'!$A$7:$A$1000,$C63,'Oxford Economics'!$B$7:$B$1000,Settings!$B$12)-SUMIFS(INDEX('Oxford Economics'!$A$7:$AZ$1000,0,IFERROR(MATCH(R$5,'Oxford Economics'!$A$6:$AZ$6,0),MATCH(R$5&amp;"",'Oxford Economics'!$A$6:$AZ$6,0))),'Oxford Economics'!$A$7:$A$1000,$C63,'Oxford Economics'!$B$7:$B$1000,Settings!$B$14),SUMIFS(INDEX('Oxford Economics'!$A$7:$AZ$1000,0,IFERROR(MATCH(R$5,'Oxford Economics'!$A$6:$AZ$6,0),MATCH(R$5&amp;"",'Oxford Economics'!$A$6:$AZ$6,0))),'Oxford Economics'!$A$7:$A$1000,$C63,'Oxford Economics'!$B$7:$B$1000,Settings!$B$14)+SUMIFS(INDEX('Oxford Economics'!$A$7:$AZ$1000,0,IFERROR(MATCH(R$5,'Oxford Economics'!$A$6:$AZ$6,0),MATCH(R$5&amp;"",'Oxford Economics'!$A$6:$AZ$6,0))),'Oxford Economics'!$A$7:$A$1000,$C63,'Oxford Economics'!$B$7:$B$1000,Settings!$B$16)+IF(Settings!$B$18="",0,SUMIFS(INDEX('Oxford Economics'!$A$7:$AZ$1000,0,IFERROR(MATCH(R$5,'Oxford Economics'!$A$6:$AZ$6,0),MATCH(R$5&amp;"",'Oxford Economics'!$A$6:$AZ$6,0))),'Oxford Economics'!$A$7:$A$1000,$C63,'Oxford Economics'!$B$7:$B$1000,Settings!$B$18)))),""))</f>
        <v/>
      </c>
      <c r="S63" s="37" t="str">
        <f aca="false">IF($A63="","",IFERROR(1/(1/IF($B63="Residential",SUMIFS(INDEX('Oxford Economics'!$A$7:$AZ$1000,0,IFERROR(MATCH(S$5,'Oxford Economics'!$A$6:$AZ$6,0),MATCH(S$5&amp;"",'Oxford Economics'!$A$6:$AZ$6,0))),'Oxford Economics'!$A$7:$A$1000,$C63,'Oxford Economics'!$B$7:$B$1000,Settings!$B$12)-SUMIFS(INDEX('Oxford Economics'!$A$7:$AZ$1000,0,IFERROR(MATCH(S$5,'Oxford Economics'!$A$6:$AZ$6,0),MATCH(S$5&amp;"",'Oxford Economics'!$A$6:$AZ$6,0))),'Oxford Economics'!$A$7:$A$1000,$C63,'Oxford Economics'!$B$7:$B$1000,Settings!$B$14),SUMIFS(INDEX('Oxford Economics'!$A$7:$AZ$1000,0,IFERROR(MATCH(S$5,'Oxford Economics'!$A$6:$AZ$6,0),MATCH(S$5&amp;"",'Oxford Economics'!$A$6:$AZ$6,0))),'Oxford Economics'!$A$7:$A$1000,$C63,'Oxford Economics'!$B$7:$B$1000,Settings!$B$14)+SUMIFS(INDEX('Oxford Economics'!$A$7:$AZ$1000,0,IFERROR(MATCH(S$5,'Oxford Economics'!$A$6:$AZ$6,0),MATCH(S$5&amp;"",'Oxford Economics'!$A$6:$AZ$6,0))),'Oxford Economics'!$A$7:$A$1000,$C63,'Oxford Economics'!$B$7:$B$1000,Settings!$B$16)+IF(Settings!$B$18="",0,SUMIFS(INDEX('Oxford Economics'!$A$7:$AZ$1000,0,IFERROR(MATCH(S$5,'Oxford Economics'!$A$6:$AZ$6,0),MATCH(S$5&amp;"",'Oxford Economics'!$A$6:$AZ$6,0))),'Oxford Economics'!$A$7:$A$1000,$C63,'Oxford Economics'!$B$7:$B$1000,Settings!$B$18)))),""))</f>
        <v/>
      </c>
      <c r="T63" s="37" t="str">
        <f aca="false">IF($A63="","",IFERROR(1/(1/IF($B63="Residential",SUMIFS(INDEX('Oxford Economics'!$A$7:$AZ$1000,0,IFERROR(MATCH(T$5,'Oxford Economics'!$A$6:$AZ$6,0),MATCH(T$5&amp;"",'Oxford Economics'!$A$6:$AZ$6,0))),'Oxford Economics'!$A$7:$A$1000,$C63,'Oxford Economics'!$B$7:$B$1000,Settings!$B$12)-SUMIFS(INDEX('Oxford Economics'!$A$7:$AZ$1000,0,IFERROR(MATCH(T$5,'Oxford Economics'!$A$6:$AZ$6,0),MATCH(T$5&amp;"",'Oxford Economics'!$A$6:$AZ$6,0))),'Oxford Economics'!$A$7:$A$1000,$C63,'Oxford Economics'!$B$7:$B$1000,Settings!$B$14),SUMIFS(INDEX('Oxford Economics'!$A$7:$AZ$1000,0,IFERROR(MATCH(T$5,'Oxford Economics'!$A$6:$AZ$6,0),MATCH(T$5&amp;"",'Oxford Economics'!$A$6:$AZ$6,0))),'Oxford Economics'!$A$7:$A$1000,$C63,'Oxford Economics'!$B$7:$B$1000,Settings!$B$14)+SUMIFS(INDEX('Oxford Economics'!$A$7:$AZ$1000,0,IFERROR(MATCH(T$5,'Oxford Economics'!$A$6:$AZ$6,0),MATCH(T$5&amp;"",'Oxford Economics'!$A$6:$AZ$6,0))),'Oxford Economics'!$A$7:$A$1000,$C63,'Oxford Economics'!$B$7:$B$1000,Settings!$B$16)+IF(Settings!$B$18="",0,SUMIFS(INDEX('Oxford Economics'!$A$7:$AZ$1000,0,IFERROR(MATCH(T$5,'Oxford Economics'!$A$6:$AZ$6,0),MATCH(T$5&amp;"",'Oxford Economics'!$A$6:$AZ$6,0))),'Oxford Economics'!$A$7:$A$1000,$C63,'Oxford Economics'!$B$7:$B$1000,Settings!$B$18)))),""))</f>
        <v/>
      </c>
      <c r="U63" s="37" t="str">
        <f aca="false">IF($A63="","",IFERROR(1/(1/IF($B63="Residential",SUMIFS(INDEX('Oxford Economics'!$A$7:$AZ$1000,0,IFERROR(MATCH(U$5,'Oxford Economics'!$A$6:$AZ$6,0),MATCH(U$5&amp;"",'Oxford Economics'!$A$6:$AZ$6,0))),'Oxford Economics'!$A$7:$A$1000,$C63,'Oxford Economics'!$B$7:$B$1000,Settings!$B$12)-SUMIFS(INDEX('Oxford Economics'!$A$7:$AZ$1000,0,IFERROR(MATCH(U$5,'Oxford Economics'!$A$6:$AZ$6,0),MATCH(U$5&amp;"",'Oxford Economics'!$A$6:$AZ$6,0))),'Oxford Economics'!$A$7:$A$1000,$C63,'Oxford Economics'!$B$7:$B$1000,Settings!$B$14),SUMIFS(INDEX('Oxford Economics'!$A$7:$AZ$1000,0,IFERROR(MATCH(U$5,'Oxford Economics'!$A$6:$AZ$6,0),MATCH(U$5&amp;"",'Oxford Economics'!$A$6:$AZ$6,0))),'Oxford Economics'!$A$7:$A$1000,$C63,'Oxford Economics'!$B$7:$B$1000,Settings!$B$14)+SUMIFS(INDEX('Oxford Economics'!$A$7:$AZ$1000,0,IFERROR(MATCH(U$5,'Oxford Economics'!$A$6:$AZ$6,0),MATCH(U$5&amp;"",'Oxford Economics'!$A$6:$AZ$6,0))),'Oxford Economics'!$A$7:$A$1000,$C63,'Oxford Economics'!$B$7:$B$1000,Settings!$B$16)+IF(Settings!$B$18="",0,SUMIFS(INDEX('Oxford Economics'!$A$7:$AZ$1000,0,IFERROR(MATCH(U$5,'Oxford Economics'!$A$6:$AZ$6,0),MATCH(U$5&amp;"",'Oxford Economics'!$A$6:$AZ$6,0))),'Oxford Economics'!$A$7:$A$1000,$C63,'Oxford Economics'!$B$7:$B$1000,Settings!$B$18)))),""))</f>
        <v/>
      </c>
      <c r="V63" s="37" t="str">
        <f aca="false">IF($A63="","",IFERROR(1/(1/IF($B63="Residential",SUMIFS(INDEX('Oxford Economics'!$A$7:$AZ$1000,0,IFERROR(MATCH(V$5,'Oxford Economics'!$A$6:$AZ$6,0),MATCH(V$5&amp;"",'Oxford Economics'!$A$6:$AZ$6,0))),'Oxford Economics'!$A$7:$A$1000,$C63,'Oxford Economics'!$B$7:$B$1000,Settings!$B$12)-SUMIFS(INDEX('Oxford Economics'!$A$7:$AZ$1000,0,IFERROR(MATCH(V$5,'Oxford Economics'!$A$6:$AZ$6,0),MATCH(V$5&amp;"",'Oxford Economics'!$A$6:$AZ$6,0))),'Oxford Economics'!$A$7:$A$1000,$C63,'Oxford Economics'!$B$7:$B$1000,Settings!$B$14),SUMIFS(INDEX('Oxford Economics'!$A$7:$AZ$1000,0,IFERROR(MATCH(V$5,'Oxford Economics'!$A$6:$AZ$6,0),MATCH(V$5&amp;"",'Oxford Economics'!$A$6:$AZ$6,0))),'Oxford Economics'!$A$7:$A$1000,$C63,'Oxford Economics'!$B$7:$B$1000,Settings!$B$14)+SUMIFS(INDEX('Oxford Economics'!$A$7:$AZ$1000,0,IFERROR(MATCH(V$5,'Oxford Economics'!$A$6:$AZ$6,0),MATCH(V$5&amp;"",'Oxford Economics'!$A$6:$AZ$6,0))),'Oxford Economics'!$A$7:$A$1000,$C63,'Oxford Economics'!$B$7:$B$1000,Settings!$B$16)+IF(Settings!$B$18="",0,SUMIFS(INDEX('Oxford Economics'!$A$7:$AZ$1000,0,IFERROR(MATCH(V$5,'Oxford Economics'!$A$6:$AZ$6,0),MATCH(V$5&amp;"",'Oxford Economics'!$A$6:$AZ$6,0))),'Oxford Economics'!$A$7:$A$1000,$C63,'Oxford Economics'!$B$7:$B$1000,Settings!$B$18)))),""))</f>
        <v/>
      </c>
      <c r="W63" s="37" t="str">
        <f aca="false">IF($A63="","",IFERROR(1/(1/IF($B63="Residential",SUMIFS(INDEX('Oxford Economics'!$A$7:$AZ$1000,0,IFERROR(MATCH(W$5,'Oxford Economics'!$A$6:$AZ$6,0),MATCH(W$5&amp;"",'Oxford Economics'!$A$6:$AZ$6,0))),'Oxford Economics'!$A$7:$A$1000,$C63,'Oxford Economics'!$B$7:$B$1000,Settings!$B$12)-SUMIFS(INDEX('Oxford Economics'!$A$7:$AZ$1000,0,IFERROR(MATCH(W$5,'Oxford Economics'!$A$6:$AZ$6,0),MATCH(W$5&amp;"",'Oxford Economics'!$A$6:$AZ$6,0))),'Oxford Economics'!$A$7:$A$1000,$C63,'Oxford Economics'!$B$7:$B$1000,Settings!$B$14),SUMIFS(INDEX('Oxford Economics'!$A$7:$AZ$1000,0,IFERROR(MATCH(W$5,'Oxford Economics'!$A$6:$AZ$6,0),MATCH(W$5&amp;"",'Oxford Economics'!$A$6:$AZ$6,0))),'Oxford Economics'!$A$7:$A$1000,$C63,'Oxford Economics'!$B$7:$B$1000,Settings!$B$14)+SUMIFS(INDEX('Oxford Economics'!$A$7:$AZ$1000,0,IFERROR(MATCH(W$5,'Oxford Economics'!$A$6:$AZ$6,0),MATCH(W$5&amp;"",'Oxford Economics'!$A$6:$AZ$6,0))),'Oxford Economics'!$A$7:$A$1000,$C63,'Oxford Economics'!$B$7:$B$1000,Settings!$B$16)+IF(Settings!$B$18="",0,SUMIFS(INDEX('Oxford Economics'!$A$7:$AZ$1000,0,IFERROR(MATCH(W$5,'Oxford Economics'!$A$6:$AZ$6,0),MATCH(W$5&amp;"",'Oxford Economics'!$A$6:$AZ$6,0))),'Oxford Economics'!$A$7:$A$1000,$C63,'Oxford Economics'!$B$7:$B$1000,Settings!$B$18)))),""))</f>
        <v/>
      </c>
      <c r="X63" s="37" t="str">
        <f aca="false">IF($A63="","",IFERROR(1/(1/IF($B63="Residential",SUMIFS(INDEX('Oxford Economics'!$A$7:$AZ$1000,0,IFERROR(MATCH(X$5,'Oxford Economics'!$A$6:$AZ$6,0),MATCH(X$5&amp;"",'Oxford Economics'!$A$6:$AZ$6,0))),'Oxford Economics'!$A$7:$A$1000,$C63,'Oxford Economics'!$B$7:$B$1000,Settings!$B$12)-SUMIFS(INDEX('Oxford Economics'!$A$7:$AZ$1000,0,IFERROR(MATCH(X$5,'Oxford Economics'!$A$6:$AZ$6,0),MATCH(X$5&amp;"",'Oxford Economics'!$A$6:$AZ$6,0))),'Oxford Economics'!$A$7:$A$1000,$C63,'Oxford Economics'!$B$7:$B$1000,Settings!$B$14),SUMIFS(INDEX('Oxford Economics'!$A$7:$AZ$1000,0,IFERROR(MATCH(X$5,'Oxford Economics'!$A$6:$AZ$6,0),MATCH(X$5&amp;"",'Oxford Economics'!$A$6:$AZ$6,0))),'Oxford Economics'!$A$7:$A$1000,$C63,'Oxford Economics'!$B$7:$B$1000,Settings!$B$14)+SUMIFS(INDEX('Oxford Economics'!$A$7:$AZ$1000,0,IFERROR(MATCH(X$5,'Oxford Economics'!$A$6:$AZ$6,0),MATCH(X$5&amp;"",'Oxford Economics'!$A$6:$AZ$6,0))),'Oxford Economics'!$A$7:$A$1000,$C63,'Oxford Economics'!$B$7:$B$1000,Settings!$B$16)+IF(Settings!$B$18="",0,SUMIFS(INDEX('Oxford Economics'!$A$7:$AZ$1000,0,IFERROR(MATCH(X$5,'Oxford Economics'!$A$6:$AZ$6,0),MATCH(X$5&amp;"",'Oxford Economics'!$A$6:$AZ$6,0))),'Oxford Economics'!$A$7:$A$1000,$C63,'Oxford Economics'!$B$7:$B$1000,Settings!$B$18)))),""))</f>
        <v/>
      </c>
      <c r="Y63" s="37" t="str">
        <f aca="false">IF($A63="","",IFERROR(1/(1/IF($B63="Residential",SUMIFS(INDEX('Oxford Economics'!$A$7:$AZ$1000,0,IFERROR(MATCH(Y$5,'Oxford Economics'!$A$6:$AZ$6,0),MATCH(Y$5&amp;"",'Oxford Economics'!$A$6:$AZ$6,0))),'Oxford Economics'!$A$7:$A$1000,$C63,'Oxford Economics'!$B$7:$B$1000,Settings!$B$12)-SUMIFS(INDEX('Oxford Economics'!$A$7:$AZ$1000,0,IFERROR(MATCH(Y$5,'Oxford Economics'!$A$6:$AZ$6,0),MATCH(Y$5&amp;"",'Oxford Economics'!$A$6:$AZ$6,0))),'Oxford Economics'!$A$7:$A$1000,$C63,'Oxford Economics'!$B$7:$B$1000,Settings!$B$14),SUMIFS(INDEX('Oxford Economics'!$A$7:$AZ$1000,0,IFERROR(MATCH(Y$5,'Oxford Economics'!$A$6:$AZ$6,0),MATCH(Y$5&amp;"",'Oxford Economics'!$A$6:$AZ$6,0))),'Oxford Economics'!$A$7:$A$1000,$C63,'Oxford Economics'!$B$7:$B$1000,Settings!$B$14)+SUMIFS(INDEX('Oxford Economics'!$A$7:$AZ$1000,0,IFERROR(MATCH(Y$5,'Oxford Economics'!$A$6:$AZ$6,0),MATCH(Y$5&amp;"",'Oxford Economics'!$A$6:$AZ$6,0))),'Oxford Economics'!$A$7:$A$1000,$C63,'Oxford Economics'!$B$7:$B$1000,Settings!$B$16)+IF(Settings!$B$18="",0,SUMIFS(INDEX('Oxford Economics'!$A$7:$AZ$1000,0,IFERROR(MATCH(Y$5,'Oxford Economics'!$A$6:$AZ$6,0),MATCH(Y$5&amp;"",'Oxford Economics'!$A$6:$AZ$6,0))),'Oxford Economics'!$A$7:$A$1000,$C63,'Oxford Economics'!$B$7:$B$1000,Settings!$B$18)))),""))</f>
        <v/>
      </c>
      <c r="Z63" s="37" t="str">
        <f aca="false">IF($A63="","",IFERROR(1/(1/IF($B63="Residential",SUMIFS(INDEX('Oxford Economics'!$A$7:$AZ$1000,0,IFERROR(MATCH(Z$5,'Oxford Economics'!$A$6:$AZ$6,0),MATCH(Z$5&amp;"",'Oxford Economics'!$A$6:$AZ$6,0))),'Oxford Economics'!$A$7:$A$1000,$C63,'Oxford Economics'!$B$7:$B$1000,Settings!$B$12)-SUMIFS(INDEX('Oxford Economics'!$A$7:$AZ$1000,0,IFERROR(MATCH(Z$5,'Oxford Economics'!$A$6:$AZ$6,0),MATCH(Z$5&amp;"",'Oxford Economics'!$A$6:$AZ$6,0))),'Oxford Economics'!$A$7:$A$1000,$C63,'Oxford Economics'!$B$7:$B$1000,Settings!$B$14),SUMIFS(INDEX('Oxford Economics'!$A$7:$AZ$1000,0,IFERROR(MATCH(Z$5,'Oxford Economics'!$A$6:$AZ$6,0),MATCH(Z$5&amp;"",'Oxford Economics'!$A$6:$AZ$6,0))),'Oxford Economics'!$A$7:$A$1000,$C63,'Oxford Economics'!$B$7:$B$1000,Settings!$B$14)+SUMIFS(INDEX('Oxford Economics'!$A$7:$AZ$1000,0,IFERROR(MATCH(Z$5,'Oxford Economics'!$A$6:$AZ$6,0),MATCH(Z$5&amp;"",'Oxford Economics'!$A$6:$AZ$6,0))),'Oxford Economics'!$A$7:$A$1000,$C63,'Oxford Economics'!$B$7:$B$1000,Settings!$B$16)+IF(Settings!$B$18="",0,SUMIFS(INDEX('Oxford Economics'!$A$7:$AZ$1000,0,IFERROR(MATCH(Z$5,'Oxford Economics'!$A$6:$AZ$6,0),MATCH(Z$5&amp;"",'Oxford Economics'!$A$6:$AZ$6,0))),'Oxford Economics'!$A$7:$A$1000,$C63,'Oxford Economics'!$B$7:$B$1000,Settings!$B$18)))),""))</f>
        <v/>
      </c>
      <c r="AA63" s="37" t="str">
        <f aca="false">IF($A63="","",IFERROR(1/(1/IF($B63="Residential",SUMIFS(INDEX('Oxford Economics'!$A$7:$AZ$1000,0,IFERROR(MATCH(AA$5,'Oxford Economics'!$A$6:$AZ$6,0),MATCH(AA$5&amp;"",'Oxford Economics'!$A$6:$AZ$6,0))),'Oxford Economics'!$A$7:$A$1000,$C63,'Oxford Economics'!$B$7:$B$1000,Settings!$B$12)-SUMIFS(INDEX('Oxford Economics'!$A$7:$AZ$1000,0,IFERROR(MATCH(AA$5,'Oxford Economics'!$A$6:$AZ$6,0),MATCH(AA$5&amp;"",'Oxford Economics'!$A$6:$AZ$6,0))),'Oxford Economics'!$A$7:$A$1000,$C63,'Oxford Economics'!$B$7:$B$1000,Settings!$B$14),SUMIFS(INDEX('Oxford Economics'!$A$7:$AZ$1000,0,IFERROR(MATCH(AA$5,'Oxford Economics'!$A$6:$AZ$6,0),MATCH(AA$5&amp;"",'Oxford Economics'!$A$6:$AZ$6,0))),'Oxford Economics'!$A$7:$A$1000,$C63,'Oxford Economics'!$B$7:$B$1000,Settings!$B$14)+SUMIFS(INDEX('Oxford Economics'!$A$7:$AZ$1000,0,IFERROR(MATCH(AA$5,'Oxford Economics'!$A$6:$AZ$6,0),MATCH(AA$5&amp;"",'Oxford Economics'!$A$6:$AZ$6,0))),'Oxford Economics'!$A$7:$A$1000,$C63,'Oxford Economics'!$B$7:$B$1000,Settings!$B$16)+IF(Settings!$B$18="",0,SUMIFS(INDEX('Oxford Economics'!$A$7:$AZ$1000,0,IFERROR(MATCH(AA$5,'Oxford Economics'!$A$6:$AZ$6,0),MATCH(AA$5&amp;"",'Oxford Economics'!$A$6:$AZ$6,0))),'Oxford Economics'!$A$7:$A$1000,$C63,'Oxford Economics'!$B$7:$B$1000,Settings!$B$18)))),""))</f>
        <v/>
      </c>
      <c r="AB63" s="37" t="str">
        <f aca="false">IF($A63="","",IFERROR(1/(1/IF($B63="Residential",SUMIFS(INDEX('Oxford Economics'!$A$7:$AZ$1000,0,IFERROR(MATCH(AB$5,'Oxford Economics'!$A$6:$AZ$6,0),MATCH(AB$5&amp;"",'Oxford Economics'!$A$6:$AZ$6,0))),'Oxford Economics'!$A$7:$A$1000,$C63,'Oxford Economics'!$B$7:$B$1000,Settings!$B$11)-SUMIFS(INDEX('Oxford Economics'!$A$7:$AZ$1000,0,IFERROR(MATCH(AB$5,'Oxford Economics'!$A$6:$AZ$6,0),MATCH(AB$5&amp;"",'Oxford Economics'!$A$6:$AZ$6,0))),'Oxford Economics'!$A$7:$A$1000,$C63,'Oxford Economics'!$B$7:$B$1000,Settings!$B$13),SUMIFS(INDEX('Oxford Economics'!$A$7:$AZ$1000,0,IFERROR(MATCH(AB$5,'Oxford Economics'!$A$6:$AZ$6,0),MATCH(AB$5&amp;"",'Oxford Economics'!$A$6:$AZ$6,0))),'Oxford Economics'!$A$7:$A$1000,$C63,'Oxford Economics'!$B$7:$B$1000,Settings!$B$13)+SUMIFS(INDEX('Oxford Economics'!$A$7:$AZ$1000,0,IFERROR(MATCH(AB$5,'Oxford Economics'!$A$6:$AZ$6,0),MATCH(AB$5&amp;"",'Oxford Economics'!$A$6:$AZ$6,0))),'Oxford Economics'!$A$7:$A$1000,$C63,'Oxford Economics'!$B$7:$B$1000,Settings!$B$15)+IF(Settings!$B$17="",0,SUMIFS(INDEX('Oxford Economics'!$A$7:$AZ$1000,0,IFERROR(MATCH(AB$5,'Oxford Economics'!$A$6:$AZ$6,0),MATCH(AB$5&amp;"",'Oxford Economics'!$A$6:$AZ$6,0))),'Oxford Economics'!$A$7:$A$1000,$C63,'Oxford Economics'!$B$7:$B$1000,Settings!$B$17)))),""))</f>
        <v/>
      </c>
      <c r="AC63" s="37" t="str">
        <f aca="false">IF($A63="","",IFERROR(1/(1/IF($B63="Residential",SUMIFS(INDEX('Oxford Economics'!$A$7:$AZ$1000,0,IFERROR(MATCH(AC$5,'Oxford Economics'!$A$6:$AZ$6,0),MATCH(AC$5&amp;"",'Oxford Economics'!$A$6:$AZ$6,0))),'Oxford Economics'!$A$7:$A$1000,$C63,'Oxford Economics'!$B$7:$B$1000,Settings!$B$11)-SUMIFS(INDEX('Oxford Economics'!$A$7:$AZ$1000,0,IFERROR(MATCH(AC$5,'Oxford Economics'!$A$6:$AZ$6,0),MATCH(AC$5&amp;"",'Oxford Economics'!$A$6:$AZ$6,0))),'Oxford Economics'!$A$7:$A$1000,$C63,'Oxford Economics'!$B$7:$B$1000,Settings!$B$13),SUMIFS(INDEX('Oxford Economics'!$A$7:$AZ$1000,0,IFERROR(MATCH(AC$5,'Oxford Economics'!$A$6:$AZ$6,0),MATCH(AC$5&amp;"",'Oxford Economics'!$A$6:$AZ$6,0))),'Oxford Economics'!$A$7:$A$1000,$C63,'Oxford Economics'!$B$7:$B$1000,Settings!$B$13)+SUMIFS(INDEX('Oxford Economics'!$A$7:$AZ$1000,0,IFERROR(MATCH(AC$5,'Oxford Economics'!$A$6:$AZ$6,0),MATCH(AC$5&amp;"",'Oxford Economics'!$A$6:$AZ$6,0))),'Oxford Economics'!$A$7:$A$1000,$C63,'Oxford Economics'!$B$7:$B$1000,Settings!$B$15)+IF(Settings!$B$17="",0,SUMIFS(INDEX('Oxford Economics'!$A$7:$AZ$1000,0,IFERROR(MATCH(AC$5,'Oxford Economics'!$A$6:$AZ$6,0),MATCH(AC$5&amp;"",'Oxford Economics'!$A$6:$AZ$6,0))),'Oxford Economics'!$A$7:$A$1000,$C63,'Oxford Economics'!$B$7:$B$1000,Settings!$B$17)))),""))</f>
        <v/>
      </c>
      <c r="AD63" s="37" t="str">
        <f aca="false">IF($A63="","",IFERROR(1/(1/IF($B63="Residential",SUMIFS(INDEX('Oxford Economics'!$A$7:$AZ$1000,0,IFERROR(MATCH(AD$5,'Oxford Economics'!$A$6:$AZ$6,0),MATCH(AD$5&amp;"",'Oxford Economics'!$A$6:$AZ$6,0))),'Oxford Economics'!$A$7:$A$1000,$C63,'Oxford Economics'!$B$7:$B$1000,Settings!$B$11)-SUMIFS(INDEX('Oxford Economics'!$A$7:$AZ$1000,0,IFERROR(MATCH(AD$5,'Oxford Economics'!$A$6:$AZ$6,0),MATCH(AD$5&amp;"",'Oxford Economics'!$A$6:$AZ$6,0))),'Oxford Economics'!$A$7:$A$1000,$C63,'Oxford Economics'!$B$7:$B$1000,Settings!$B$13),SUMIFS(INDEX('Oxford Economics'!$A$7:$AZ$1000,0,IFERROR(MATCH(AD$5,'Oxford Economics'!$A$6:$AZ$6,0),MATCH(AD$5&amp;"",'Oxford Economics'!$A$6:$AZ$6,0))),'Oxford Economics'!$A$7:$A$1000,$C63,'Oxford Economics'!$B$7:$B$1000,Settings!$B$13)+SUMIFS(INDEX('Oxford Economics'!$A$7:$AZ$1000,0,IFERROR(MATCH(AD$5,'Oxford Economics'!$A$6:$AZ$6,0),MATCH(AD$5&amp;"",'Oxford Economics'!$A$6:$AZ$6,0))),'Oxford Economics'!$A$7:$A$1000,$C63,'Oxford Economics'!$B$7:$B$1000,Settings!$B$15)+IF(Settings!$B$17="",0,SUMIFS(INDEX('Oxford Economics'!$A$7:$AZ$1000,0,IFERROR(MATCH(AD$5,'Oxford Economics'!$A$6:$AZ$6,0),MATCH(AD$5&amp;"",'Oxford Economics'!$A$6:$AZ$6,0))),'Oxford Economics'!$A$7:$A$1000,$C63,'Oxford Economics'!$B$7:$B$1000,Settings!$B$17)))),""))</f>
        <v/>
      </c>
      <c r="AE63" s="37" t="str">
        <f aca="false">IF($A63="","",IFERROR(1/(1/IF($B63="Residential",SUMIFS(INDEX('Oxford Economics'!$A$7:$AZ$1000,0,IFERROR(MATCH(AE$5,'Oxford Economics'!$A$6:$AZ$6,0),MATCH(AE$5&amp;"",'Oxford Economics'!$A$6:$AZ$6,0))),'Oxford Economics'!$A$7:$A$1000,$C63,'Oxford Economics'!$B$7:$B$1000,Settings!$B$11)-SUMIFS(INDEX('Oxford Economics'!$A$7:$AZ$1000,0,IFERROR(MATCH(AE$5,'Oxford Economics'!$A$6:$AZ$6,0),MATCH(AE$5&amp;"",'Oxford Economics'!$A$6:$AZ$6,0))),'Oxford Economics'!$A$7:$A$1000,$C63,'Oxford Economics'!$B$7:$B$1000,Settings!$B$13),SUMIFS(INDEX('Oxford Economics'!$A$7:$AZ$1000,0,IFERROR(MATCH(AE$5,'Oxford Economics'!$A$6:$AZ$6,0),MATCH(AE$5&amp;"",'Oxford Economics'!$A$6:$AZ$6,0))),'Oxford Economics'!$A$7:$A$1000,$C63,'Oxford Economics'!$B$7:$B$1000,Settings!$B$13)+SUMIFS(INDEX('Oxford Economics'!$A$7:$AZ$1000,0,IFERROR(MATCH(AE$5,'Oxford Economics'!$A$6:$AZ$6,0),MATCH(AE$5&amp;"",'Oxford Economics'!$A$6:$AZ$6,0))),'Oxford Economics'!$A$7:$A$1000,$C63,'Oxford Economics'!$B$7:$B$1000,Settings!$B$15)+IF(Settings!$B$17="",0,SUMIFS(INDEX('Oxford Economics'!$A$7:$AZ$1000,0,IFERROR(MATCH(AE$5,'Oxford Economics'!$A$6:$AZ$6,0),MATCH(AE$5&amp;"",'Oxford Economics'!$A$6:$AZ$6,0))),'Oxford Economics'!$A$7:$A$1000,$C63,'Oxford Economics'!$B$7:$B$1000,Settings!$B$17)))),""))</f>
        <v/>
      </c>
      <c r="AF63" s="37" t="str">
        <f aca="false">IF($A63="","",IFERROR(1/(1/IF($B63="Residential",SUMIFS(INDEX('Oxford Economics'!$A$7:$AZ$1000,0,IFERROR(MATCH(AF$5,'Oxford Economics'!$A$6:$AZ$6,0),MATCH(AF$5&amp;"",'Oxford Economics'!$A$6:$AZ$6,0))),'Oxford Economics'!$A$7:$A$1000,$C63,'Oxford Economics'!$B$7:$B$1000,Settings!$B$11)-SUMIFS(INDEX('Oxford Economics'!$A$7:$AZ$1000,0,IFERROR(MATCH(AF$5,'Oxford Economics'!$A$6:$AZ$6,0),MATCH(AF$5&amp;"",'Oxford Economics'!$A$6:$AZ$6,0))),'Oxford Economics'!$A$7:$A$1000,$C63,'Oxford Economics'!$B$7:$B$1000,Settings!$B$13),SUMIFS(INDEX('Oxford Economics'!$A$7:$AZ$1000,0,IFERROR(MATCH(AF$5,'Oxford Economics'!$A$6:$AZ$6,0),MATCH(AF$5&amp;"",'Oxford Economics'!$A$6:$AZ$6,0))),'Oxford Economics'!$A$7:$A$1000,$C63,'Oxford Economics'!$B$7:$B$1000,Settings!$B$13)+SUMIFS(INDEX('Oxford Economics'!$A$7:$AZ$1000,0,IFERROR(MATCH(AF$5,'Oxford Economics'!$A$6:$AZ$6,0),MATCH(AF$5&amp;"",'Oxford Economics'!$A$6:$AZ$6,0))),'Oxford Economics'!$A$7:$A$1000,$C63,'Oxford Economics'!$B$7:$B$1000,Settings!$B$15)+IF(Settings!$B$17="",0,SUMIFS(INDEX('Oxford Economics'!$A$7:$AZ$1000,0,IFERROR(MATCH(AF$5,'Oxford Economics'!$A$6:$AZ$6,0),MATCH(AF$5&amp;"",'Oxford Economics'!$A$6:$AZ$6,0))),'Oxford Economics'!$A$7:$A$1000,$C63,'Oxford Economics'!$B$7:$B$1000,Settings!$B$17)))),""))</f>
        <v/>
      </c>
      <c r="AG63" s="37" t="str">
        <f aca="false">IF($A63="","",IFERROR(1/(1/IF($B63="Residential",SUMIFS(INDEX('Oxford Economics'!$A$7:$AZ$1000,0,IFERROR(MATCH(AG$5,'Oxford Economics'!$A$6:$AZ$6,0),MATCH(AG$5&amp;"",'Oxford Economics'!$A$6:$AZ$6,0))),'Oxford Economics'!$A$7:$A$1000,$C63,'Oxford Economics'!$B$7:$B$1000,Settings!$B$11)-SUMIFS(INDEX('Oxford Economics'!$A$7:$AZ$1000,0,IFERROR(MATCH(AG$5,'Oxford Economics'!$A$6:$AZ$6,0),MATCH(AG$5&amp;"",'Oxford Economics'!$A$6:$AZ$6,0))),'Oxford Economics'!$A$7:$A$1000,$C63,'Oxford Economics'!$B$7:$B$1000,Settings!$B$13),SUMIFS(INDEX('Oxford Economics'!$A$7:$AZ$1000,0,IFERROR(MATCH(AG$5,'Oxford Economics'!$A$6:$AZ$6,0),MATCH(AG$5&amp;"",'Oxford Economics'!$A$6:$AZ$6,0))),'Oxford Economics'!$A$7:$A$1000,$C63,'Oxford Economics'!$B$7:$B$1000,Settings!$B$13)+SUMIFS(INDEX('Oxford Economics'!$A$7:$AZ$1000,0,IFERROR(MATCH(AG$5,'Oxford Economics'!$A$6:$AZ$6,0),MATCH(AG$5&amp;"",'Oxford Economics'!$A$6:$AZ$6,0))),'Oxford Economics'!$A$7:$A$1000,$C63,'Oxford Economics'!$B$7:$B$1000,Settings!$B$15)+IF(Settings!$B$17="",0,SUMIFS(INDEX('Oxford Economics'!$A$7:$AZ$1000,0,IFERROR(MATCH(AG$5,'Oxford Economics'!$A$6:$AZ$6,0),MATCH(AG$5&amp;"",'Oxford Economics'!$A$6:$AZ$6,0))),'Oxford Economics'!$A$7:$A$1000,$C63,'Oxford Economics'!$B$7:$B$1000,Settings!$B$17)))),""))</f>
        <v/>
      </c>
      <c r="AH63" s="37" t="str">
        <f aca="false">IF($A63="","",IFERROR(1/(1/IF($B63="Residential",SUMIFS(INDEX('Oxford Economics'!$A$7:$AZ$1000,0,IFERROR(MATCH(AH$5,'Oxford Economics'!$A$6:$AZ$6,0),MATCH(AH$5&amp;"",'Oxford Economics'!$A$6:$AZ$6,0))),'Oxford Economics'!$A$7:$A$1000,$C63,'Oxford Economics'!$B$7:$B$1000,Settings!$B$11)-SUMIFS(INDEX('Oxford Economics'!$A$7:$AZ$1000,0,IFERROR(MATCH(AH$5,'Oxford Economics'!$A$6:$AZ$6,0),MATCH(AH$5&amp;"",'Oxford Economics'!$A$6:$AZ$6,0))),'Oxford Economics'!$A$7:$A$1000,$C63,'Oxford Economics'!$B$7:$B$1000,Settings!$B$13),SUMIFS(INDEX('Oxford Economics'!$A$7:$AZ$1000,0,IFERROR(MATCH(AH$5,'Oxford Economics'!$A$6:$AZ$6,0),MATCH(AH$5&amp;"",'Oxford Economics'!$A$6:$AZ$6,0))),'Oxford Economics'!$A$7:$A$1000,$C63,'Oxford Economics'!$B$7:$B$1000,Settings!$B$13)+SUMIFS(INDEX('Oxford Economics'!$A$7:$AZ$1000,0,IFERROR(MATCH(AH$5,'Oxford Economics'!$A$6:$AZ$6,0),MATCH(AH$5&amp;"",'Oxford Economics'!$A$6:$AZ$6,0))),'Oxford Economics'!$A$7:$A$1000,$C63,'Oxford Economics'!$B$7:$B$1000,Settings!$B$15)+IF(Settings!$B$17="",0,SUMIFS(INDEX('Oxford Economics'!$A$7:$AZ$1000,0,IFERROR(MATCH(AH$5,'Oxford Economics'!$A$6:$AZ$6,0),MATCH(AH$5&amp;"",'Oxford Economics'!$A$6:$AZ$6,0))),'Oxford Economics'!$A$7:$A$1000,$C63,'Oxford Economics'!$B$7:$B$1000,Settings!$B$17)))),""))</f>
        <v/>
      </c>
      <c r="AI63" s="37" t="str">
        <f aca="false">IF($A63="","",IFERROR(1/(1/IF($B63="Residential",SUMIFS(INDEX('Oxford Economics'!$A$7:$AZ$1000,0,IFERROR(MATCH(AI$5,'Oxford Economics'!$A$6:$AZ$6,0),MATCH(AI$5&amp;"",'Oxford Economics'!$A$6:$AZ$6,0))),'Oxford Economics'!$A$7:$A$1000,$C63,'Oxford Economics'!$B$7:$B$1000,Settings!$B$11)-SUMIFS(INDEX('Oxford Economics'!$A$7:$AZ$1000,0,IFERROR(MATCH(AI$5,'Oxford Economics'!$A$6:$AZ$6,0),MATCH(AI$5&amp;"",'Oxford Economics'!$A$6:$AZ$6,0))),'Oxford Economics'!$A$7:$A$1000,$C63,'Oxford Economics'!$B$7:$B$1000,Settings!$B$13),SUMIFS(INDEX('Oxford Economics'!$A$7:$AZ$1000,0,IFERROR(MATCH(AI$5,'Oxford Economics'!$A$6:$AZ$6,0),MATCH(AI$5&amp;"",'Oxford Economics'!$A$6:$AZ$6,0))),'Oxford Economics'!$A$7:$A$1000,$C63,'Oxford Economics'!$B$7:$B$1000,Settings!$B$13)+SUMIFS(INDEX('Oxford Economics'!$A$7:$AZ$1000,0,IFERROR(MATCH(AI$5,'Oxford Economics'!$A$6:$AZ$6,0),MATCH(AI$5&amp;"",'Oxford Economics'!$A$6:$AZ$6,0))),'Oxford Economics'!$A$7:$A$1000,$C63,'Oxford Economics'!$B$7:$B$1000,Settings!$B$15)+IF(Settings!$B$17="",0,SUMIFS(INDEX('Oxford Economics'!$A$7:$AZ$1000,0,IFERROR(MATCH(AI$5,'Oxford Economics'!$A$6:$AZ$6,0),MATCH(AI$5&amp;"",'Oxford Economics'!$A$6:$AZ$6,0))),'Oxford Economics'!$A$7:$A$1000,$C63,'Oxford Economics'!$B$7:$B$1000,Settings!$B$17)))),""))</f>
        <v/>
      </c>
      <c r="AJ63" s="37" t="str">
        <f aca="false">IF($A63="","",IFERROR(1/(1/IF($B63="Residential",SUMIFS(INDEX('Oxford Economics'!$A$7:$AZ$1000,0,IFERROR(MATCH(AJ$5,'Oxford Economics'!$A$6:$AZ$6,0),MATCH(AJ$5&amp;"",'Oxford Economics'!$A$6:$AZ$6,0))),'Oxford Economics'!$A$7:$A$1000,$C63,'Oxford Economics'!$B$7:$B$1000,Settings!$B$11)-SUMIFS(INDEX('Oxford Economics'!$A$7:$AZ$1000,0,IFERROR(MATCH(AJ$5,'Oxford Economics'!$A$6:$AZ$6,0),MATCH(AJ$5&amp;"",'Oxford Economics'!$A$6:$AZ$6,0))),'Oxford Economics'!$A$7:$A$1000,$C63,'Oxford Economics'!$B$7:$B$1000,Settings!$B$13),SUMIFS(INDEX('Oxford Economics'!$A$7:$AZ$1000,0,IFERROR(MATCH(AJ$5,'Oxford Economics'!$A$6:$AZ$6,0),MATCH(AJ$5&amp;"",'Oxford Economics'!$A$6:$AZ$6,0))),'Oxford Economics'!$A$7:$A$1000,$C63,'Oxford Economics'!$B$7:$B$1000,Settings!$B$13)+SUMIFS(INDEX('Oxford Economics'!$A$7:$AZ$1000,0,IFERROR(MATCH(AJ$5,'Oxford Economics'!$A$6:$AZ$6,0),MATCH(AJ$5&amp;"",'Oxford Economics'!$A$6:$AZ$6,0))),'Oxford Economics'!$A$7:$A$1000,$C63,'Oxford Economics'!$B$7:$B$1000,Settings!$B$15)+IF(Settings!$B$17="",0,SUMIFS(INDEX('Oxford Economics'!$A$7:$AZ$1000,0,IFERROR(MATCH(AJ$5,'Oxford Economics'!$A$6:$AZ$6,0),MATCH(AJ$5&amp;"",'Oxford Economics'!$A$6:$AZ$6,0))),'Oxford Economics'!$A$7:$A$1000,$C63,'Oxford Economics'!$B$7:$B$1000,Settings!$B$17)))),""))</f>
        <v/>
      </c>
      <c r="AK63" s="37" t="str">
        <f aca="false">IF($A63="","",IFERROR(1/(1/IF($B63="Residential",SUMIFS(INDEX('Oxford Economics'!$A$7:$AZ$1000,0,IFERROR(MATCH(AK$5,'Oxford Economics'!$A$6:$AZ$6,0),MATCH(AK$5&amp;"",'Oxford Economics'!$A$6:$AZ$6,0))),'Oxford Economics'!$A$7:$A$1000,$C63,'Oxford Economics'!$B$7:$B$1000,Settings!$B$11)-SUMIFS(INDEX('Oxford Economics'!$A$7:$AZ$1000,0,IFERROR(MATCH(AK$5,'Oxford Economics'!$A$6:$AZ$6,0),MATCH(AK$5&amp;"",'Oxford Economics'!$A$6:$AZ$6,0))),'Oxford Economics'!$A$7:$A$1000,$C63,'Oxford Economics'!$B$7:$B$1000,Settings!$B$13),SUMIFS(INDEX('Oxford Economics'!$A$7:$AZ$1000,0,IFERROR(MATCH(AK$5,'Oxford Economics'!$A$6:$AZ$6,0),MATCH(AK$5&amp;"",'Oxford Economics'!$A$6:$AZ$6,0))),'Oxford Economics'!$A$7:$A$1000,$C63,'Oxford Economics'!$B$7:$B$1000,Settings!$B$13)+SUMIFS(INDEX('Oxford Economics'!$A$7:$AZ$1000,0,IFERROR(MATCH(AK$5,'Oxford Economics'!$A$6:$AZ$6,0),MATCH(AK$5&amp;"",'Oxford Economics'!$A$6:$AZ$6,0))),'Oxford Economics'!$A$7:$A$1000,$C63,'Oxford Economics'!$B$7:$B$1000,Settings!$B$15)+IF(Settings!$B$17="",0,SUMIFS(INDEX('Oxford Economics'!$A$7:$AZ$1000,0,IFERROR(MATCH(AK$5,'Oxford Economics'!$A$6:$AZ$6,0),MATCH(AK$5&amp;"",'Oxford Economics'!$A$6:$AZ$6,0))),'Oxford Economics'!$A$7:$A$1000,$C63,'Oxford Economics'!$B$7:$B$1000,Settings!$B$17)))),""))</f>
        <v/>
      </c>
      <c r="AL63" s="37" t="str">
        <f aca="false">IF($A63="","",IFERROR(1/(1/IF($B63="Residential",SUMIFS(INDEX('Oxford Economics'!$A$7:$AZ$1000,0,IFERROR(MATCH(AL$5,'Oxford Economics'!$A$6:$AZ$6,0),MATCH(AL$5&amp;"",'Oxford Economics'!$A$6:$AZ$6,0))),'Oxford Economics'!$A$7:$A$1000,$C63,'Oxford Economics'!$B$7:$B$1000,Settings!$B$11)-SUMIFS(INDEX('Oxford Economics'!$A$7:$AZ$1000,0,IFERROR(MATCH(AL$5,'Oxford Economics'!$A$6:$AZ$6,0),MATCH(AL$5&amp;"",'Oxford Economics'!$A$6:$AZ$6,0))),'Oxford Economics'!$A$7:$A$1000,$C63,'Oxford Economics'!$B$7:$B$1000,Settings!$B$13),SUMIFS(INDEX('Oxford Economics'!$A$7:$AZ$1000,0,IFERROR(MATCH(AL$5,'Oxford Economics'!$A$6:$AZ$6,0),MATCH(AL$5&amp;"",'Oxford Economics'!$A$6:$AZ$6,0))),'Oxford Economics'!$A$7:$A$1000,$C63,'Oxford Economics'!$B$7:$B$1000,Settings!$B$13)+SUMIFS(INDEX('Oxford Economics'!$A$7:$AZ$1000,0,IFERROR(MATCH(AL$5,'Oxford Economics'!$A$6:$AZ$6,0),MATCH(AL$5&amp;"",'Oxford Economics'!$A$6:$AZ$6,0))),'Oxford Economics'!$A$7:$A$1000,$C63,'Oxford Economics'!$B$7:$B$1000,Settings!$B$15)+IF(Settings!$B$17="",0,SUMIFS(INDEX('Oxford Economics'!$A$7:$AZ$1000,0,IFERROR(MATCH(AL$5,'Oxford Economics'!$A$6:$AZ$6,0),MATCH(AL$5&amp;"",'Oxford Economics'!$A$6:$AZ$6,0))),'Oxford Economics'!$A$7:$A$1000,$C63,'Oxford Economics'!$B$7:$B$1000,Settings!$B$17)))),""))</f>
        <v/>
      </c>
      <c r="AM63" s="37" t="str">
        <f aca="false">IF($A63="","",IFERROR(1/(1/IF($B63="Residential",SUMIFS(INDEX('Oxford Economics'!$A$7:$AZ$1000,0,IFERROR(MATCH(AM$5,'Oxford Economics'!$A$6:$AZ$6,0),MATCH(AM$5&amp;"",'Oxford Economics'!$A$6:$AZ$6,0))),'Oxford Economics'!$A$7:$A$1000,$C63,'Oxford Economics'!$B$7:$B$1000,Settings!$B$11)-SUMIFS(INDEX('Oxford Economics'!$A$7:$AZ$1000,0,IFERROR(MATCH(AM$5,'Oxford Economics'!$A$6:$AZ$6,0),MATCH(AM$5&amp;"",'Oxford Economics'!$A$6:$AZ$6,0))),'Oxford Economics'!$A$7:$A$1000,$C63,'Oxford Economics'!$B$7:$B$1000,Settings!$B$13),SUMIFS(INDEX('Oxford Economics'!$A$7:$AZ$1000,0,IFERROR(MATCH(AM$5,'Oxford Economics'!$A$6:$AZ$6,0),MATCH(AM$5&amp;"",'Oxford Economics'!$A$6:$AZ$6,0))),'Oxford Economics'!$A$7:$A$1000,$C63,'Oxford Economics'!$B$7:$B$1000,Settings!$B$13)+SUMIFS(INDEX('Oxford Economics'!$A$7:$AZ$1000,0,IFERROR(MATCH(AM$5,'Oxford Economics'!$A$6:$AZ$6,0),MATCH(AM$5&amp;"",'Oxford Economics'!$A$6:$AZ$6,0))),'Oxford Economics'!$A$7:$A$1000,$C63,'Oxford Economics'!$B$7:$B$1000,Settings!$B$15)+IF(Settings!$B$17="",0,SUMIFS(INDEX('Oxford Economics'!$A$7:$AZ$1000,0,IFERROR(MATCH(AM$5,'Oxford Economics'!$A$6:$AZ$6,0),MATCH(AM$5&amp;"",'Oxford Economics'!$A$6:$AZ$6,0))),'Oxford Economics'!$A$7:$A$1000,$C63,'Oxford Economics'!$B$7:$B$1000,Settings!$B$17)))),""))</f>
        <v/>
      </c>
    </row>
    <row r="64" customFormat="false" ht="15" hidden="false" customHeight="false" outlineLevel="0" collapsed="false">
      <c r="A64" s="36" t="str">
        <f aca="false">IF('Raw data'!$A64="","",'Raw data'!$A64)</f>
        <v/>
      </c>
      <c r="B64" s="36" t="str">
        <f aca="false">IF($A64="","",'Raw data'!$C64)</f>
        <v/>
      </c>
      <c r="C64" s="36" t="str">
        <f aca="false">IF($A64="","",IF('Raw data'!$D64="",$A64,'Raw data'!$D64))</f>
        <v/>
      </c>
      <c r="D64" s="37" t="str">
        <f aca="false">IF($A64="","",IF(AND(ISNUMBER(P64),ISNUMBER(AB64)),P64+AB64,""))</f>
        <v/>
      </c>
      <c r="E64" s="37" t="str">
        <f aca="false">IF($A64="","",IF(AND(ISNUMBER(Q64),ISNUMBER(AC64)),Q64+AC64,""))</f>
        <v/>
      </c>
      <c r="F64" s="37" t="str">
        <f aca="false">IF($A64="","",IF(AND(ISNUMBER(R64),ISNUMBER(AD64)),R64+AD64,""))</f>
        <v/>
      </c>
      <c r="G64" s="37" t="str">
        <f aca="false">IF($A64="","",IF(AND(ISNUMBER(S64),ISNUMBER(AE64)),S64+AE64,""))</f>
        <v/>
      </c>
      <c r="H64" s="37" t="str">
        <f aca="false">IF($A64="","",IF(AND(ISNUMBER(T64),ISNUMBER(AF64)),T64+AF64,""))</f>
        <v/>
      </c>
      <c r="I64" s="37" t="str">
        <f aca="false">IF($A64="","",IF(AND(ISNUMBER(U64),ISNUMBER(AG64)),U64+AG64,""))</f>
        <v/>
      </c>
      <c r="J64" s="37" t="str">
        <f aca="false">IF($A64="","",IF(AND(ISNUMBER(V64),ISNUMBER(AH64)),V64+AH64,""))</f>
        <v/>
      </c>
      <c r="K64" s="37" t="str">
        <f aca="false">IF($A64="","",IF(AND(ISNUMBER(W64),ISNUMBER(AI64)),W64+AI64,""))</f>
        <v/>
      </c>
      <c r="L64" s="37" t="str">
        <f aca="false">IF($A64="","",IF(AND(ISNUMBER(X64),ISNUMBER(AJ64)),X64+AJ64,""))</f>
        <v/>
      </c>
      <c r="M64" s="37" t="str">
        <f aca="false">IF($A64="","",IF(AND(ISNUMBER(Y64),ISNUMBER(AK64)),Y64+AK64,""))</f>
        <v/>
      </c>
      <c r="N64" s="37" t="str">
        <f aca="false">IF($A64="","",IF(AND(ISNUMBER(Z64),ISNUMBER(AL64)),Z64+AL64,""))</f>
        <v/>
      </c>
      <c r="O64" s="37" t="str">
        <f aca="false">IF($A64="","",IF(AND(ISNUMBER(AA64),ISNUMBER(AM64)),AA64+AM64,""))</f>
        <v/>
      </c>
      <c r="P64" s="37" t="str">
        <f aca="false">IF($A64="","",IFERROR(1/(1/IF($B64="Residential",SUMIFS(INDEX('Oxford Economics'!$A$7:$AZ$1000,0,IFERROR(MATCH(P$5,'Oxford Economics'!$A$6:$AZ$6,0),MATCH(P$5&amp;"",'Oxford Economics'!$A$6:$AZ$6,0))),'Oxford Economics'!$A$7:$A$1000,$C64,'Oxford Economics'!$B$7:$B$1000,Settings!$B$12)-SUMIFS(INDEX('Oxford Economics'!$A$7:$AZ$1000,0,IFERROR(MATCH(P$5,'Oxford Economics'!$A$6:$AZ$6,0),MATCH(P$5&amp;"",'Oxford Economics'!$A$6:$AZ$6,0))),'Oxford Economics'!$A$7:$A$1000,$C64,'Oxford Economics'!$B$7:$B$1000,Settings!$B$14),SUMIFS(INDEX('Oxford Economics'!$A$7:$AZ$1000,0,IFERROR(MATCH(P$5,'Oxford Economics'!$A$6:$AZ$6,0),MATCH(P$5&amp;"",'Oxford Economics'!$A$6:$AZ$6,0))),'Oxford Economics'!$A$7:$A$1000,$C64,'Oxford Economics'!$B$7:$B$1000,Settings!$B$14)+SUMIFS(INDEX('Oxford Economics'!$A$7:$AZ$1000,0,IFERROR(MATCH(P$5,'Oxford Economics'!$A$6:$AZ$6,0),MATCH(P$5&amp;"",'Oxford Economics'!$A$6:$AZ$6,0))),'Oxford Economics'!$A$7:$A$1000,$C64,'Oxford Economics'!$B$7:$B$1000,Settings!$B$16)+IF(Settings!$B$18="",0,SUMIFS(INDEX('Oxford Economics'!$A$7:$AZ$1000,0,IFERROR(MATCH(P$5,'Oxford Economics'!$A$6:$AZ$6,0),MATCH(P$5&amp;"",'Oxford Economics'!$A$6:$AZ$6,0))),'Oxford Economics'!$A$7:$A$1000,$C64,'Oxford Economics'!$B$7:$B$1000,Settings!$B$18)))),""))</f>
        <v/>
      </c>
      <c r="Q64" s="37" t="str">
        <f aca="false">IF($A64="","",IFERROR(1/(1/IF($B64="Residential",SUMIFS(INDEX('Oxford Economics'!$A$7:$AZ$1000,0,IFERROR(MATCH(Q$5,'Oxford Economics'!$A$6:$AZ$6,0),MATCH(Q$5&amp;"",'Oxford Economics'!$A$6:$AZ$6,0))),'Oxford Economics'!$A$7:$A$1000,$C64,'Oxford Economics'!$B$7:$B$1000,Settings!$B$12)-SUMIFS(INDEX('Oxford Economics'!$A$7:$AZ$1000,0,IFERROR(MATCH(Q$5,'Oxford Economics'!$A$6:$AZ$6,0),MATCH(Q$5&amp;"",'Oxford Economics'!$A$6:$AZ$6,0))),'Oxford Economics'!$A$7:$A$1000,$C64,'Oxford Economics'!$B$7:$B$1000,Settings!$B$14),SUMIFS(INDEX('Oxford Economics'!$A$7:$AZ$1000,0,IFERROR(MATCH(Q$5,'Oxford Economics'!$A$6:$AZ$6,0),MATCH(Q$5&amp;"",'Oxford Economics'!$A$6:$AZ$6,0))),'Oxford Economics'!$A$7:$A$1000,$C64,'Oxford Economics'!$B$7:$B$1000,Settings!$B$14)+SUMIFS(INDEX('Oxford Economics'!$A$7:$AZ$1000,0,IFERROR(MATCH(Q$5,'Oxford Economics'!$A$6:$AZ$6,0),MATCH(Q$5&amp;"",'Oxford Economics'!$A$6:$AZ$6,0))),'Oxford Economics'!$A$7:$A$1000,$C64,'Oxford Economics'!$B$7:$B$1000,Settings!$B$16)+IF(Settings!$B$18="",0,SUMIFS(INDEX('Oxford Economics'!$A$7:$AZ$1000,0,IFERROR(MATCH(Q$5,'Oxford Economics'!$A$6:$AZ$6,0),MATCH(Q$5&amp;"",'Oxford Economics'!$A$6:$AZ$6,0))),'Oxford Economics'!$A$7:$A$1000,$C64,'Oxford Economics'!$B$7:$B$1000,Settings!$B$18)))),""))</f>
        <v/>
      </c>
      <c r="R64" s="37" t="str">
        <f aca="false">IF($A64="","",IFERROR(1/(1/IF($B64="Residential",SUMIFS(INDEX('Oxford Economics'!$A$7:$AZ$1000,0,IFERROR(MATCH(R$5,'Oxford Economics'!$A$6:$AZ$6,0),MATCH(R$5&amp;"",'Oxford Economics'!$A$6:$AZ$6,0))),'Oxford Economics'!$A$7:$A$1000,$C64,'Oxford Economics'!$B$7:$B$1000,Settings!$B$12)-SUMIFS(INDEX('Oxford Economics'!$A$7:$AZ$1000,0,IFERROR(MATCH(R$5,'Oxford Economics'!$A$6:$AZ$6,0),MATCH(R$5&amp;"",'Oxford Economics'!$A$6:$AZ$6,0))),'Oxford Economics'!$A$7:$A$1000,$C64,'Oxford Economics'!$B$7:$B$1000,Settings!$B$14),SUMIFS(INDEX('Oxford Economics'!$A$7:$AZ$1000,0,IFERROR(MATCH(R$5,'Oxford Economics'!$A$6:$AZ$6,0),MATCH(R$5&amp;"",'Oxford Economics'!$A$6:$AZ$6,0))),'Oxford Economics'!$A$7:$A$1000,$C64,'Oxford Economics'!$B$7:$B$1000,Settings!$B$14)+SUMIFS(INDEX('Oxford Economics'!$A$7:$AZ$1000,0,IFERROR(MATCH(R$5,'Oxford Economics'!$A$6:$AZ$6,0),MATCH(R$5&amp;"",'Oxford Economics'!$A$6:$AZ$6,0))),'Oxford Economics'!$A$7:$A$1000,$C64,'Oxford Economics'!$B$7:$B$1000,Settings!$B$16)+IF(Settings!$B$18="",0,SUMIFS(INDEX('Oxford Economics'!$A$7:$AZ$1000,0,IFERROR(MATCH(R$5,'Oxford Economics'!$A$6:$AZ$6,0),MATCH(R$5&amp;"",'Oxford Economics'!$A$6:$AZ$6,0))),'Oxford Economics'!$A$7:$A$1000,$C64,'Oxford Economics'!$B$7:$B$1000,Settings!$B$18)))),""))</f>
        <v/>
      </c>
      <c r="S64" s="37" t="str">
        <f aca="false">IF($A64="","",IFERROR(1/(1/IF($B64="Residential",SUMIFS(INDEX('Oxford Economics'!$A$7:$AZ$1000,0,IFERROR(MATCH(S$5,'Oxford Economics'!$A$6:$AZ$6,0),MATCH(S$5&amp;"",'Oxford Economics'!$A$6:$AZ$6,0))),'Oxford Economics'!$A$7:$A$1000,$C64,'Oxford Economics'!$B$7:$B$1000,Settings!$B$12)-SUMIFS(INDEX('Oxford Economics'!$A$7:$AZ$1000,0,IFERROR(MATCH(S$5,'Oxford Economics'!$A$6:$AZ$6,0),MATCH(S$5&amp;"",'Oxford Economics'!$A$6:$AZ$6,0))),'Oxford Economics'!$A$7:$A$1000,$C64,'Oxford Economics'!$B$7:$B$1000,Settings!$B$14),SUMIFS(INDEX('Oxford Economics'!$A$7:$AZ$1000,0,IFERROR(MATCH(S$5,'Oxford Economics'!$A$6:$AZ$6,0),MATCH(S$5&amp;"",'Oxford Economics'!$A$6:$AZ$6,0))),'Oxford Economics'!$A$7:$A$1000,$C64,'Oxford Economics'!$B$7:$B$1000,Settings!$B$14)+SUMIFS(INDEX('Oxford Economics'!$A$7:$AZ$1000,0,IFERROR(MATCH(S$5,'Oxford Economics'!$A$6:$AZ$6,0),MATCH(S$5&amp;"",'Oxford Economics'!$A$6:$AZ$6,0))),'Oxford Economics'!$A$7:$A$1000,$C64,'Oxford Economics'!$B$7:$B$1000,Settings!$B$16)+IF(Settings!$B$18="",0,SUMIFS(INDEX('Oxford Economics'!$A$7:$AZ$1000,0,IFERROR(MATCH(S$5,'Oxford Economics'!$A$6:$AZ$6,0),MATCH(S$5&amp;"",'Oxford Economics'!$A$6:$AZ$6,0))),'Oxford Economics'!$A$7:$A$1000,$C64,'Oxford Economics'!$B$7:$B$1000,Settings!$B$18)))),""))</f>
        <v/>
      </c>
      <c r="T64" s="37" t="str">
        <f aca="false">IF($A64="","",IFERROR(1/(1/IF($B64="Residential",SUMIFS(INDEX('Oxford Economics'!$A$7:$AZ$1000,0,IFERROR(MATCH(T$5,'Oxford Economics'!$A$6:$AZ$6,0),MATCH(T$5&amp;"",'Oxford Economics'!$A$6:$AZ$6,0))),'Oxford Economics'!$A$7:$A$1000,$C64,'Oxford Economics'!$B$7:$B$1000,Settings!$B$12)-SUMIFS(INDEX('Oxford Economics'!$A$7:$AZ$1000,0,IFERROR(MATCH(T$5,'Oxford Economics'!$A$6:$AZ$6,0),MATCH(T$5&amp;"",'Oxford Economics'!$A$6:$AZ$6,0))),'Oxford Economics'!$A$7:$A$1000,$C64,'Oxford Economics'!$B$7:$B$1000,Settings!$B$14),SUMIFS(INDEX('Oxford Economics'!$A$7:$AZ$1000,0,IFERROR(MATCH(T$5,'Oxford Economics'!$A$6:$AZ$6,0),MATCH(T$5&amp;"",'Oxford Economics'!$A$6:$AZ$6,0))),'Oxford Economics'!$A$7:$A$1000,$C64,'Oxford Economics'!$B$7:$B$1000,Settings!$B$14)+SUMIFS(INDEX('Oxford Economics'!$A$7:$AZ$1000,0,IFERROR(MATCH(T$5,'Oxford Economics'!$A$6:$AZ$6,0),MATCH(T$5&amp;"",'Oxford Economics'!$A$6:$AZ$6,0))),'Oxford Economics'!$A$7:$A$1000,$C64,'Oxford Economics'!$B$7:$B$1000,Settings!$B$16)+IF(Settings!$B$18="",0,SUMIFS(INDEX('Oxford Economics'!$A$7:$AZ$1000,0,IFERROR(MATCH(T$5,'Oxford Economics'!$A$6:$AZ$6,0),MATCH(T$5&amp;"",'Oxford Economics'!$A$6:$AZ$6,0))),'Oxford Economics'!$A$7:$A$1000,$C64,'Oxford Economics'!$B$7:$B$1000,Settings!$B$18)))),""))</f>
        <v/>
      </c>
      <c r="U64" s="37" t="str">
        <f aca="false">IF($A64="","",IFERROR(1/(1/IF($B64="Residential",SUMIFS(INDEX('Oxford Economics'!$A$7:$AZ$1000,0,IFERROR(MATCH(U$5,'Oxford Economics'!$A$6:$AZ$6,0),MATCH(U$5&amp;"",'Oxford Economics'!$A$6:$AZ$6,0))),'Oxford Economics'!$A$7:$A$1000,$C64,'Oxford Economics'!$B$7:$B$1000,Settings!$B$12)-SUMIFS(INDEX('Oxford Economics'!$A$7:$AZ$1000,0,IFERROR(MATCH(U$5,'Oxford Economics'!$A$6:$AZ$6,0),MATCH(U$5&amp;"",'Oxford Economics'!$A$6:$AZ$6,0))),'Oxford Economics'!$A$7:$A$1000,$C64,'Oxford Economics'!$B$7:$B$1000,Settings!$B$14),SUMIFS(INDEX('Oxford Economics'!$A$7:$AZ$1000,0,IFERROR(MATCH(U$5,'Oxford Economics'!$A$6:$AZ$6,0),MATCH(U$5&amp;"",'Oxford Economics'!$A$6:$AZ$6,0))),'Oxford Economics'!$A$7:$A$1000,$C64,'Oxford Economics'!$B$7:$B$1000,Settings!$B$14)+SUMIFS(INDEX('Oxford Economics'!$A$7:$AZ$1000,0,IFERROR(MATCH(U$5,'Oxford Economics'!$A$6:$AZ$6,0),MATCH(U$5&amp;"",'Oxford Economics'!$A$6:$AZ$6,0))),'Oxford Economics'!$A$7:$A$1000,$C64,'Oxford Economics'!$B$7:$B$1000,Settings!$B$16)+IF(Settings!$B$18="",0,SUMIFS(INDEX('Oxford Economics'!$A$7:$AZ$1000,0,IFERROR(MATCH(U$5,'Oxford Economics'!$A$6:$AZ$6,0),MATCH(U$5&amp;"",'Oxford Economics'!$A$6:$AZ$6,0))),'Oxford Economics'!$A$7:$A$1000,$C64,'Oxford Economics'!$B$7:$B$1000,Settings!$B$18)))),""))</f>
        <v/>
      </c>
      <c r="V64" s="37" t="str">
        <f aca="false">IF($A64="","",IFERROR(1/(1/IF($B64="Residential",SUMIFS(INDEX('Oxford Economics'!$A$7:$AZ$1000,0,IFERROR(MATCH(V$5,'Oxford Economics'!$A$6:$AZ$6,0),MATCH(V$5&amp;"",'Oxford Economics'!$A$6:$AZ$6,0))),'Oxford Economics'!$A$7:$A$1000,$C64,'Oxford Economics'!$B$7:$B$1000,Settings!$B$12)-SUMIFS(INDEX('Oxford Economics'!$A$7:$AZ$1000,0,IFERROR(MATCH(V$5,'Oxford Economics'!$A$6:$AZ$6,0),MATCH(V$5&amp;"",'Oxford Economics'!$A$6:$AZ$6,0))),'Oxford Economics'!$A$7:$A$1000,$C64,'Oxford Economics'!$B$7:$B$1000,Settings!$B$14),SUMIFS(INDEX('Oxford Economics'!$A$7:$AZ$1000,0,IFERROR(MATCH(V$5,'Oxford Economics'!$A$6:$AZ$6,0),MATCH(V$5&amp;"",'Oxford Economics'!$A$6:$AZ$6,0))),'Oxford Economics'!$A$7:$A$1000,$C64,'Oxford Economics'!$B$7:$B$1000,Settings!$B$14)+SUMIFS(INDEX('Oxford Economics'!$A$7:$AZ$1000,0,IFERROR(MATCH(V$5,'Oxford Economics'!$A$6:$AZ$6,0),MATCH(V$5&amp;"",'Oxford Economics'!$A$6:$AZ$6,0))),'Oxford Economics'!$A$7:$A$1000,$C64,'Oxford Economics'!$B$7:$B$1000,Settings!$B$16)+IF(Settings!$B$18="",0,SUMIFS(INDEX('Oxford Economics'!$A$7:$AZ$1000,0,IFERROR(MATCH(V$5,'Oxford Economics'!$A$6:$AZ$6,0),MATCH(V$5&amp;"",'Oxford Economics'!$A$6:$AZ$6,0))),'Oxford Economics'!$A$7:$A$1000,$C64,'Oxford Economics'!$B$7:$B$1000,Settings!$B$18)))),""))</f>
        <v/>
      </c>
      <c r="W64" s="37" t="str">
        <f aca="false">IF($A64="","",IFERROR(1/(1/IF($B64="Residential",SUMIFS(INDEX('Oxford Economics'!$A$7:$AZ$1000,0,IFERROR(MATCH(W$5,'Oxford Economics'!$A$6:$AZ$6,0),MATCH(W$5&amp;"",'Oxford Economics'!$A$6:$AZ$6,0))),'Oxford Economics'!$A$7:$A$1000,$C64,'Oxford Economics'!$B$7:$B$1000,Settings!$B$12)-SUMIFS(INDEX('Oxford Economics'!$A$7:$AZ$1000,0,IFERROR(MATCH(W$5,'Oxford Economics'!$A$6:$AZ$6,0),MATCH(W$5&amp;"",'Oxford Economics'!$A$6:$AZ$6,0))),'Oxford Economics'!$A$7:$A$1000,$C64,'Oxford Economics'!$B$7:$B$1000,Settings!$B$14),SUMIFS(INDEX('Oxford Economics'!$A$7:$AZ$1000,0,IFERROR(MATCH(W$5,'Oxford Economics'!$A$6:$AZ$6,0),MATCH(W$5&amp;"",'Oxford Economics'!$A$6:$AZ$6,0))),'Oxford Economics'!$A$7:$A$1000,$C64,'Oxford Economics'!$B$7:$B$1000,Settings!$B$14)+SUMIFS(INDEX('Oxford Economics'!$A$7:$AZ$1000,0,IFERROR(MATCH(W$5,'Oxford Economics'!$A$6:$AZ$6,0),MATCH(W$5&amp;"",'Oxford Economics'!$A$6:$AZ$6,0))),'Oxford Economics'!$A$7:$A$1000,$C64,'Oxford Economics'!$B$7:$B$1000,Settings!$B$16)+IF(Settings!$B$18="",0,SUMIFS(INDEX('Oxford Economics'!$A$7:$AZ$1000,0,IFERROR(MATCH(W$5,'Oxford Economics'!$A$6:$AZ$6,0),MATCH(W$5&amp;"",'Oxford Economics'!$A$6:$AZ$6,0))),'Oxford Economics'!$A$7:$A$1000,$C64,'Oxford Economics'!$B$7:$B$1000,Settings!$B$18)))),""))</f>
        <v/>
      </c>
      <c r="X64" s="37" t="str">
        <f aca="false">IF($A64="","",IFERROR(1/(1/IF($B64="Residential",SUMIFS(INDEX('Oxford Economics'!$A$7:$AZ$1000,0,IFERROR(MATCH(X$5,'Oxford Economics'!$A$6:$AZ$6,0),MATCH(X$5&amp;"",'Oxford Economics'!$A$6:$AZ$6,0))),'Oxford Economics'!$A$7:$A$1000,$C64,'Oxford Economics'!$B$7:$B$1000,Settings!$B$12)-SUMIFS(INDEX('Oxford Economics'!$A$7:$AZ$1000,0,IFERROR(MATCH(X$5,'Oxford Economics'!$A$6:$AZ$6,0),MATCH(X$5&amp;"",'Oxford Economics'!$A$6:$AZ$6,0))),'Oxford Economics'!$A$7:$A$1000,$C64,'Oxford Economics'!$B$7:$B$1000,Settings!$B$14),SUMIFS(INDEX('Oxford Economics'!$A$7:$AZ$1000,0,IFERROR(MATCH(X$5,'Oxford Economics'!$A$6:$AZ$6,0),MATCH(X$5&amp;"",'Oxford Economics'!$A$6:$AZ$6,0))),'Oxford Economics'!$A$7:$A$1000,$C64,'Oxford Economics'!$B$7:$B$1000,Settings!$B$14)+SUMIFS(INDEX('Oxford Economics'!$A$7:$AZ$1000,0,IFERROR(MATCH(X$5,'Oxford Economics'!$A$6:$AZ$6,0),MATCH(X$5&amp;"",'Oxford Economics'!$A$6:$AZ$6,0))),'Oxford Economics'!$A$7:$A$1000,$C64,'Oxford Economics'!$B$7:$B$1000,Settings!$B$16)+IF(Settings!$B$18="",0,SUMIFS(INDEX('Oxford Economics'!$A$7:$AZ$1000,0,IFERROR(MATCH(X$5,'Oxford Economics'!$A$6:$AZ$6,0),MATCH(X$5&amp;"",'Oxford Economics'!$A$6:$AZ$6,0))),'Oxford Economics'!$A$7:$A$1000,$C64,'Oxford Economics'!$B$7:$B$1000,Settings!$B$18)))),""))</f>
        <v/>
      </c>
      <c r="Y64" s="37" t="str">
        <f aca="false">IF($A64="","",IFERROR(1/(1/IF($B64="Residential",SUMIFS(INDEX('Oxford Economics'!$A$7:$AZ$1000,0,IFERROR(MATCH(Y$5,'Oxford Economics'!$A$6:$AZ$6,0),MATCH(Y$5&amp;"",'Oxford Economics'!$A$6:$AZ$6,0))),'Oxford Economics'!$A$7:$A$1000,$C64,'Oxford Economics'!$B$7:$B$1000,Settings!$B$12)-SUMIFS(INDEX('Oxford Economics'!$A$7:$AZ$1000,0,IFERROR(MATCH(Y$5,'Oxford Economics'!$A$6:$AZ$6,0),MATCH(Y$5&amp;"",'Oxford Economics'!$A$6:$AZ$6,0))),'Oxford Economics'!$A$7:$A$1000,$C64,'Oxford Economics'!$B$7:$B$1000,Settings!$B$14),SUMIFS(INDEX('Oxford Economics'!$A$7:$AZ$1000,0,IFERROR(MATCH(Y$5,'Oxford Economics'!$A$6:$AZ$6,0),MATCH(Y$5&amp;"",'Oxford Economics'!$A$6:$AZ$6,0))),'Oxford Economics'!$A$7:$A$1000,$C64,'Oxford Economics'!$B$7:$B$1000,Settings!$B$14)+SUMIFS(INDEX('Oxford Economics'!$A$7:$AZ$1000,0,IFERROR(MATCH(Y$5,'Oxford Economics'!$A$6:$AZ$6,0),MATCH(Y$5&amp;"",'Oxford Economics'!$A$6:$AZ$6,0))),'Oxford Economics'!$A$7:$A$1000,$C64,'Oxford Economics'!$B$7:$B$1000,Settings!$B$16)+IF(Settings!$B$18="",0,SUMIFS(INDEX('Oxford Economics'!$A$7:$AZ$1000,0,IFERROR(MATCH(Y$5,'Oxford Economics'!$A$6:$AZ$6,0),MATCH(Y$5&amp;"",'Oxford Economics'!$A$6:$AZ$6,0))),'Oxford Economics'!$A$7:$A$1000,$C64,'Oxford Economics'!$B$7:$B$1000,Settings!$B$18)))),""))</f>
        <v/>
      </c>
      <c r="Z64" s="37" t="str">
        <f aca="false">IF($A64="","",IFERROR(1/(1/IF($B64="Residential",SUMIFS(INDEX('Oxford Economics'!$A$7:$AZ$1000,0,IFERROR(MATCH(Z$5,'Oxford Economics'!$A$6:$AZ$6,0),MATCH(Z$5&amp;"",'Oxford Economics'!$A$6:$AZ$6,0))),'Oxford Economics'!$A$7:$A$1000,$C64,'Oxford Economics'!$B$7:$B$1000,Settings!$B$12)-SUMIFS(INDEX('Oxford Economics'!$A$7:$AZ$1000,0,IFERROR(MATCH(Z$5,'Oxford Economics'!$A$6:$AZ$6,0),MATCH(Z$5&amp;"",'Oxford Economics'!$A$6:$AZ$6,0))),'Oxford Economics'!$A$7:$A$1000,$C64,'Oxford Economics'!$B$7:$B$1000,Settings!$B$14),SUMIFS(INDEX('Oxford Economics'!$A$7:$AZ$1000,0,IFERROR(MATCH(Z$5,'Oxford Economics'!$A$6:$AZ$6,0),MATCH(Z$5&amp;"",'Oxford Economics'!$A$6:$AZ$6,0))),'Oxford Economics'!$A$7:$A$1000,$C64,'Oxford Economics'!$B$7:$B$1000,Settings!$B$14)+SUMIFS(INDEX('Oxford Economics'!$A$7:$AZ$1000,0,IFERROR(MATCH(Z$5,'Oxford Economics'!$A$6:$AZ$6,0),MATCH(Z$5&amp;"",'Oxford Economics'!$A$6:$AZ$6,0))),'Oxford Economics'!$A$7:$A$1000,$C64,'Oxford Economics'!$B$7:$B$1000,Settings!$B$16)+IF(Settings!$B$18="",0,SUMIFS(INDEX('Oxford Economics'!$A$7:$AZ$1000,0,IFERROR(MATCH(Z$5,'Oxford Economics'!$A$6:$AZ$6,0),MATCH(Z$5&amp;"",'Oxford Economics'!$A$6:$AZ$6,0))),'Oxford Economics'!$A$7:$A$1000,$C64,'Oxford Economics'!$B$7:$B$1000,Settings!$B$18)))),""))</f>
        <v/>
      </c>
      <c r="AA64" s="37" t="str">
        <f aca="false">IF($A64="","",IFERROR(1/(1/IF($B64="Residential",SUMIFS(INDEX('Oxford Economics'!$A$7:$AZ$1000,0,IFERROR(MATCH(AA$5,'Oxford Economics'!$A$6:$AZ$6,0),MATCH(AA$5&amp;"",'Oxford Economics'!$A$6:$AZ$6,0))),'Oxford Economics'!$A$7:$A$1000,$C64,'Oxford Economics'!$B$7:$B$1000,Settings!$B$12)-SUMIFS(INDEX('Oxford Economics'!$A$7:$AZ$1000,0,IFERROR(MATCH(AA$5,'Oxford Economics'!$A$6:$AZ$6,0),MATCH(AA$5&amp;"",'Oxford Economics'!$A$6:$AZ$6,0))),'Oxford Economics'!$A$7:$A$1000,$C64,'Oxford Economics'!$B$7:$B$1000,Settings!$B$14),SUMIFS(INDEX('Oxford Economics'!$A$7:$AZ$1000,0,IFERROR(MATCH(AA$5,'Oxford Economics'!$A$6:$AZ$6,0),MATCH(AA$5&amp;"",'Oxford Economics'!$A$6:$AZ$6,0))),'Oxford Economics'!$A$7:$A$1000,$C64,'Oxford Economics'!$B$7:$B$1000,Settings!$B$14)+SUMIFS(INDEX('Oxford Economics'!$A$7:$AZ$1000,0,IFERROR(MATCH(AA$5,'Oxford Economics'!$A$6:$AZ$6,0),MATCH(AA$5&amp;"",'Oxford Economics'!$A$6:$AZ$6,0))),'Oxford Economics'!$A$7:$A$1000,$C64,'Oxford Economics'!$B$7:$B$1000,Settings!$B$16)+IF(Settings!$B$18="",0,SUMIFS(INDEX('Oxford Economics'!$A$7:$AZ$1000,0,IFERROR(MATCH(AA$5,'Oxford Economics'!$A$6:$AZ$6,0),MATCH(AA$5&amp;"",'Oxford Economics'!$A$6:$AZ$6,0))),'Oxford Economics'!$A$7:$A$1000,$C64,'Oxford Economics'!$B$7:$B$1000,Settings!$B$18)))),""))</f>
        <v/>
      </c>
      <c r="AB64" s="37" t="str">
        <f aca="false">IF($A64="","",IFERROR(1/(1/IF($B64="Residential",SUMIFS(INDEX('Oxford Economics'!$A$7:$AZ$1000,0,IFERROR(MATCH(AB$5,'Oxford Economics'!$A$6:$AZ$6,0),MATCH(AB$5&amp;"",'Oxford Economics'!$A$6:$AZ$6,0))),'Oxford Economics'!$A$7:$A$1000,$C64,'Oxford Economics'!$B$7:$B$1000,Settings!$B$11)-SUMIFS(INDEX('Oxford Economics'!$A$7:$AZ$1000,0,IFERROR(MATCH(AB$5,'Oxford Economics'!$A$6:$AZ$6,0),MATCH(AB$5&amp;"",'Oxford Economics'!$A$6:$AZ$6,0))),'Oxford Economics'!$A$7:$A$1000,$C64,'Oxford Economics'!$B$7:$B$1000,Settings!$B$13),SUMIFS(INDEX('Oxford Economics'!$A$7:$AZ$1000,0,IFERROR(MATCH(AB$5,'Oxford Economics'!$A$6:$AZ$6,0),MATCH(AB$5&amp;"",'Oxford Economics'!$A$6:$AZ$6,0))),'Oxford Economics'!$A$7:$A$1000,$C64,'Oxford Economics'!$B$7:$B$1000,Settings!$B$13)+SUMIFS(INDEX('Oxford Economics'!$A$7:$AZ$1000,0,IFERROR(MATCH(AB$5,'Oxford Economics'!$A$6:$AZ$6,0),MATCH(AB$5&amp;"",'Oxford Economics'!$A$6:$AZ$6,0))),'Oxford Economics'!$A$7:$A$1000,$C64,'Oxford Economics'!$B$7:$B$1000,Settings!$B$15)+IF(Settings!$B$17="",0,SUMIFS(INDEX('Oxford Economics'!$A$7:$AZ$1000,0,IFERROR(MATCH(AB$5,'Oxford Economics'!$A$6:$AZ$6,0),MATCH(AB$5&amp;"",'Oxford Economics'!$A$6:$AZ$6,0))),'Oxford Economics'!$A$7:$A$1000,$C64,'Oxford Economics'!$B$7:$B$1000,Settings!$B$17)))),""))</f>
        <v/>
      </c>
      <c r="AC64" s="37" t="str">
        <f aca="false">IF($A64="","",IFERROR(1/(1/IF($B64="Residential",SUMIFS(INDEX('Oxford Economics'!$A$7:$AZ$1000,0,IFERROR(MATCH(AC$5,'Oxford Economics'!$A$6:$AZ$6,0),MATCH(AC$5&amp;"",'Oxford Economics'!$A$6:$AZ$6,0))),'Oxford Economics'!$A$7:$A$1000,$C64,'Oxford Economics'!$B$7:$B$1000,Settings!$B$11)-SUMIFS(INDEX('Oxford Economics'!$A$7:$AZ$1000,0,IFERROR(MATCH(AC$5,'Oxford Economics'!$A$6:$AZ$6,0),MATCH(AC$5&amp;"",'Oxford Economics'!$A$6:$AZ$6,0))),'Oxford Economics'!$A$7:$A$1000,$C64,'Oxford Economics'!$B$7:$B$1000,Settings!$B$13),SUMIFS(INDEX('Oxford Economics'!$A$7:$AZ$1000,0,IFERROR(MATCH(AC$5,'Oxford Economics'!$A$6:$AZ$6,0),MATCH(AC$5&amp;"",'Oxford Economics'!$A$6:$AZ$6,0))),'Oxford Economics'!$A$7:$A$1000,$C64,'Oxford Economics'!$B$7:$B$1000,Settings!$B$13)+SUMIFS(INDEX('Oxford Economics'!$A$7:$AZ$1000,0,IFERROR(MATCH(AC$5,'Oxford Economics'!$A$6:$AZ$6,0),MATCH(AC$5&amp;"",'Oxford Economics'!$A$6:$AZ$6,0))),'Oxford Economics'!$A$7:$A$1000,$C64,'Oxford Economics'!$B$7:$B$1000,Settings!$B$15)+IF(Settings!$B$17="",0,SUMIFS(INDEX('Oxford Economics'!$A$7:$AZ$1000,0,IFERROR(MATCH(AC$5,'Oxford Economics'!$A$6:$AZ$6,0),MATCH(AC$5&amp;"",'Oxford Economics'!$A$6:$AZ$6,0))),'Oxford Economics'!$A$7:$A$1000,$C64,'Oxford Economics'!$B$7:$B$1000,Settings!$B$17)))),""))</f>
        <v/>
      </c>
      <c r="AD64" s="37" t="str">
        <f aca="false">IF($A64="","",IFERROR(1/(1/IF($B64="Residential",SUMIFS(INDEX('Oxford Economics'!$A$7:$AZ$1000,0,IFERROR(MATCH(AD$5,'Oxford Economics'!$A$6:$AZ$6,0),MATCH(AD$5&amp;"",'Oxford Economics'!$A$6:$AZ$6,0))),'Oxford Economics'!$A$7:$A$1000,$C64,'Oxford Economics'!$B$7:$B$1000,Settings!$B$11)-SUMIFS(INDEX('Oxford Economics'!$A$7:$AZ$1000,0,IFERROR(MATCH(AD$5,'Oxford Economics'!$A$6:$AZ$6,0),MATCH(AD$5&amp;"",'Oxford Economics'!$A$6:$AZ$6,0))),'Oxford Economics'!$A$7:$A$1000,$C64,'Oxford Economics'!$B$7:$B$1000,Settings!$B$13),SUMIFS(INDEX('Oxford Economics'!$A$7:$AZ$1000,0,IFERROR(MATCH(AD$5,'Oxford Economics'!$A$6:$AZ$6,0),MATCH(AD$5&amp;"",'Oxford Economics'!$A$6:$AZ$6,0))),'Oxford Economics'!$A$7:$A$1000,$C64,'Oxford Economics'!$B$7:$B$1000,Settings!$B$13)+SUMIFS(INDEX('Oxford Economics'!$A$7:$AZ$1000,0,IFERROR(MATCH(AD$5,'Oxford Economics'!$A$6:$AZ$6,0),MATCH(AD$5&amp;"",'Oxford Economics'!$A$6:$AZ$6,0))),'Oxford Economics'!$A$7:$A$1000,$C64,'Oxford Economics'!$B$7:$B$1000,Settings!$B$15)+IF(Settings!$B$17="",0,SUMIFS(INDEX('Oxford Economics'!$A$7:$AZ$1000,0,IFERROR(MATCH(AD$5,'Oxford Economics'!$A$6:$AZ$6,0),MATCH(AD$5&amp;"",'Oxford Economics'!$A$6:$AZ$6,0))),'Oxford Economics'!$A$7:$A$1000,$C64,'Oxford Economics'!$B$7:$B$1000,Settings!$B$17)))),""))</f>
        <v/>
      </c>
      <c r="AE64" s="37" t="str">
        <f aca="false">IF($A64="","",IFERROR(1/(1/IF($B64="Residential",SUMIFS(INDEX('Oxford Economics'!$A$7:$AZ$1000,0,IFERROR(MATCH(AE$5,'Oxford Economics'!$A$6:$AZ$6,0),MATCH(AE$5&amp;"",'Oxford Economics'!$A$6:$AZ$6,0))),'Oxford Economics'!$A$7:$A$1000,$C64,'Oxford Economics'!$B$7:$B$1000,Settings!$B$11)-SUMIFS(INDEX('Oxford Economics'!$A$7:$AZ$1000,0,IFERROR(MATCH(AE$5,'Oxford Economics'!$A$6:$AZ$6,0),MATCH(AE$5&amp;"",'Oxford Economics'!$A$6:$AZ$6,0))),'Oxford Economics'!$A$7:$A$1000,$C64,'Oxford Economics'!$B$7:$B$1000,Settings!$B$13),SUMIFS(INDEX('Oxford Economics'!$A$7:$AZ$1000,0,IFERROR(MATCH(AE$5,'Oxford Economics'!$A$6:$AZ$6,0),MATCH(AE$5&amp;"",'Oxford Economics'!$A$6:$AZ$6,0))),'Oxford Economics'!$A$7:$A$1000,$C64,'Oxford Economics'!$B$7:$B$1000,Settings!$B$13)+SUMIFS(INDEX('Oxford Economics'!$A$7:$AZ$1000,0,IFERROR(MATCH(AE$5,'Oxford Economics'!$A$6:$AZ$6,0),MATCH(AE$5&amp;"",'Oxford Economics'!$A$6:$AZ$6,0))),'Oxford Economics'!$A$7:$A$1000,$C64,'Oxford Economics'!$B$7:$B$1000,Settings!$B$15)+IF(Settings!$B$17="",0,SUMIFS(INDEX('Oxford Economics'!$A$7:$AZ$1000,0,IFERROR(MATCH(AE$5,'Oxford Economics'!$A$6:$AZ$6,0),MATCH(AE$5&amp;"",'Oxford Economics'!$A$6:$AZ$6,0))),'Oxford Economics'!$A$7:$A$1000,$C64,'Oxford Economics'!$B$7:$B$1000,Settings!$B$17)))),""))</f>
        <v/>
      </c>
      <c r="AF64" s="37" t="str">
        <f aca="false">IF($A64="","",IFERROR(1/(1/IF($B64="Residential",SUMIFS(INDEX('Oxford Economics'!$A$7:$AZ$1000,0,IFERROR(MATCH(AF$5,'Oxford Economics'!$A$6:$AZ$6,0),MATCH(AF$5&amp;"",'Oxford Economics'!$A$6:$AZ$6,0))),'Oxford Economics'!$A$7:$A$1000,$C64,'Oxford Economics'!$B$7:$B$1000,Settings!$B$11)-SUMIFS(INDEX('Oxford Economics'!$A$7:$AZ$1000,0,IFERROR(MATCH(AF$5,'Oxford Economics'!$A$6:$AZ$6,0),MATCH(AF$5&amp;"",'Oxford Economics'!$A$6:$AZ$6,0))),'Oxford Economics'!$A$7:$A$1000,$C64,'Oxford Economics'!$B$7:$B$1000,Settings!$B$13),SUMIFS(INDEX('Oxford Economics'!$A$7:$AZ$1000,0,IFERROR(MATCH(AF$5,'Oxford Economics'!$A$6:$AZ$6,0),MATCH(AF$5&amp;"",'Oxford Economics'!$A$6:$AZ$6,0))),'Oxford Economics'!$A$7:$A$1000,$C64,'Oxford Economics'!$B$7:$B$1000,Settings!$B$13)+SUMIFS(INDEX('Oxford Economics'!$A$7:$AZ$1000,0,IFERROR(MATCH(AF$5,'Oxford Economics'!$A$6:$AZ$6,0),MATCH(AF$5&amp;"",'Oxford Economics'!$A$6:$AZ$6,0))),'Oxford Economics'!$A$7:$A$1000,$C64,'Oxford Economics'!$B$7:$B$1000,Settings!$B$15)+IF(Settings!$B$17="",0,SUMIFS(INDEX('Oxford Economics'!$A$7:$AZ$1000,0,IFERROR(MATCH(AF$5,'Oxford Economics'!$A$6:$AZ$6,0),MATCH(AF$5&amp;"",'Oxford Economics'!$A$6:$AZ$6,0))),'Oxford Economics'!$A$7:$A$1000,$C64,'Oxford Economics'!$B$7:$B$1000,Settings!$B$17)))),""))</f>
        <v/>
      </c>
      <c r="AG64" s="37" t="str">
        <f aca="false">IF($A64="","",IFERROR(1/(1/IF($B64="Residential",SUMIFS(INDEX('Oxford Economics'!$A$7:$AZ$1000,0,IFERROR(MATCH(AG$5,'Oxford Economics'!$A$6:$AZ$6,0),MATCH(AG$5&amp;"",'Oxford Economics'!$A$6:$AZ$6,0))),'Oxford Economics'!$A$7:$A$1000,$C64,'Oxford Economics'!$B$7:$B$1000,Settings!$B$11)-SUMIFS(INDEX('Oxford Economics'!$A$7:$AZ$1000,0,IFERROR(MATCH(AG$5,'Oxford Economics'!$A$6:$AZ$6,0),MATCH(AG$5&amp;"",'Oxford Economics'!$A$6:$AZ$6,0))),'Oxford Economics'!$A$7:$A$1000,$C64,'Oxford Economics'!$B$7:$B$1000,Settings!$B$13),SUMIFS(INDEX('Oxford Economics'!$A$7:$AZ$1000,0,IFERROR(MATCH(AG$5,'Oxford Economics'!$A$6:$AZ$6,0),MATCH(AG$5&amp;"",'Oxford Economics'!$A$6:$AZ$6,0))),'Oxford Economics'!$A$7:$A$1000,$C64,'Oxford Economics'!$B$7:$B$1000,Settings!$B$13)+SUMIFS(INDEX('Oxford Economics'!$A$7:$AZ$1000,0,IFERROR(MATCH(AG$5,'Oxford Economics'!$A$6:$AZ$6,0),MATCH(AG$5&amp;"",'Oxford Economics'!$A$6:$AZ$6,0))),'Oxford Economics'!$A$7:$A$1000,$C64,'Oxford Economics'!$B$7:$B$1000,Settings!$B$15)+IF(Settings!$B$17="",0,SUMIFS(INDEX('Oxford Economics'!$A$7:$AZ$1000,0,IFERROR(MATCH(AG$5,'Oxford Economics'!$A$6:$AZ$6,0),MATCH(AG$5&amp;"",'Oxford Economics'!$A$6:$AZ$6,0))),'Oxford Economics'!$A$7:$A$1000,$C64,'Oxford Economics'!$B$7:$B$1000,Settings!$B$17)))),""))</f>
        <v/>
      </c>
      <c r="AH64" s="37" t="str">
        <f aca="false">IF($A64="","",IFERROR(1/(1/IF($B64="Residential",SUMIFS(INDEX('Oxford Economics'!$A$7:$AZ$1000,0,IFERROR(MATCH(AH$5,'Oxford Economics'!$A$6:$AZ$6,0),MATCH(AH$5&amp;"",'Oxford Economics'!$A$6:$AZ$6,0))),'Oxford Economics'!$A$7:$A$1000,$C64,'Oxford Economics'!$B$7:$B$1000,Settings!$B$11)-SUMIFS(INDEX('Oxford Economics'!$A$7:$AZ$1000,0,IFERROR(MATCH(AH$5,'Oxford Economics'!$A$6:$AZ$6,0),MATCH(AH$5&amp;"",'Oxford Economics'!$A$6:$AZ$6,0))),'Oxford Economics'!$A$7:$A$1000,$C64,'Oxford Economics'!$B$7:$B$1000,Settings!$B$13),SUMIFS(INDEX('Oxford Economics'!$A$7:$AZ$1000,0,IFERROR(MATCH(AH$5,'Oxford Economics'!$A$6:$AZ$6,0),MATCH(AH$5&amp;"",'Oxford Economics'!$A$6:$AZ$6,0))),'Oxford Economics'!$A$7:$A$1000,$C64,'Oxford Economics'!$B$7:$B$1000,Settings!$B$13)+SUMIFS(INDEX('Oxford Economics'!$A$7:$AZ$1000,0,IFERROR(MATCH(AH$5,'Oxford Economics'!$A$6:$AZ$6,0),MATCH(AH$5&amp;"",'Oxford Economics'!$A$6:$AZ$6,0))),'Oxford Economics'!$A$7:$A$1000,$C64,'Oxford Economics'!$B$7:$B$1000,Settings!$B$15)+IF(Settings!$B$17="",0,SUMIFS(INDEX('Oxford Economics'!$A$7:$AZ$1000,0,IFERROR(MATCH(AH$5,'Oxford Economics'!$A$6:$AZ$6,0),MATCH(AH$5&amp;"",'Oxford Economics'!$A$6:$AZ$6,0))),'Oxford Economics'!$A$7:$A$1000,$C64,'Oxford Economics'!$B$7:$B$1000,Settings!$B$17)))),""))</f>
        <v/>
      </c>
      <c r="AI64" s="37" t="str">
        <f aca="false">IF($A64="","",IFERROR(1/(1/IF($B64="Residential",SUMIFS(INDEX('Oxford Economics'!$A$7:$AZ$1000,0,IFERROR(MATCH(AI$5,'Oxford Economics'!$A$6:$AZ$6,0),MATCH(AI$5&amp;"",'Oxford Economics'!$A$6:$AZ$6,0))),'Oxford Economics'!$A$7:$A$1000,$C64,'Oxford Economics'!$B$7:$B$1000,Settings!$B$11)-SUMIFS(INDEX('Oxford Economics'!$A$7:$AZ$1000,0,IFERROR(MATCH(AI$5,'Oxford Economics'!$A$6:$AZ$6,0),MATCH(AI$5&amp;"",'Oxford Economics'!$A$6:$AZ$6,0))),'Oxford Economics'!$A$7:$A$1000,$C64,'Oxford Economics'!$B$7:$B$1000,Settings!$B$13),SUMIFS(INDEX('Oxford Economics'!$A$7:$AZ$1000,0,IFERROR(MATCH(AI$5,'Oxford Economics'!$A$6:$AZ$6,0),MATCH(AI$5&amp;"",'Oxford Economics'!$A$6:$AZ$6,0))),'Oxford Economics'!$A$7:$A$1000,$C64,'Oxford Economics'!$B$7:$B$1000,Settings!$B$13)+SUMIFS(INDEX('Oxford Economics'!$A$7:$AZ$1000,0,IFERROR(MATCH(AI$5,'Oxford Economics'!$A$6:$AZ$6,0),MATCH(AI$5&amp;"",'Oxford Economics'!$A$6:$AZ$6,0))),'Oxford Economics'!$A$7:$A$1000,$C64,'Oxford Economics'!$B$7:$B$1000,Settings!$B$15)+IF(Settings!$B$17="",0,SUMIFS(INDEX('Oxford Economics'!$A$7:$AZ$1000,0,IFERROR(MATCH(AI$5,'Oxford Economics'!$A$6:$AZ$6,0),MATCH(AI$5&amp;"",'Oxford Economics'!$A$6:$AZ$6,0))),'Oxford Economics'!$A$7:$A$1000,$C64,'Oxford Economics'!$B$7:$B$1000,Settings!$B$17)))),""))</f>
        <v/>
      </c>
      <c r="AJ64" s="37" t="str">
        <f aca="false">IF($A64="","",IFERROR(1/(1/IF($B64="Residential",SUMIFS(INDEX('Oxford Economics'!$A$7:$AZ$1000,0,IFERROR(MATCH(AJ$5,'Oxford Economics'!$A$6:$AZ$6,0),MATCH(AJ$5&amp;"",'Oxford Economics'!$A$6:$AZ$6,0))),'Oxford Economics'!$A$7:$A$1000,$C64,'Oxford Economics'!$B$7:$B$1000,Settings!$B$11)-SUMIFS(INDEX('Oxford Economics'!$A$7:$AZ$1000,0,IFERROR(MATCH(AJ$5,'Oxford Economics'!$A$6:$AZ$6,0),MATCH(AJ$5&amp;"",'Oxford Economics'!$A$6:$AZ$6,0))),'Oxford Economics'!$A$7:$A$1000,$C64,'Oxford Economics'!$B$7:$B$1000,Settings!$B$13),SUMIFS(INDEX('Oxford Economics'!$A$7:$AZ$1000,0,IFERROR(MATCH(AJ$5,'Oxford Economics'!$A$6:$AZ$6,0),MATCH(AJ$5&amp;"",'Oxford Economics'!$A$6:$AZ$6,0))),'Oxford Economics'!$A$7:$A$1000,$C64,'Oxford Economics'!$B$7:$B$1000,Settings!$B$13)+SUMIFS(INDEX('Oxford Economics'!$A$7:$AZ$1000,0,IFERROR(MATCH(AJ$5,'Oxford Economics'!$A$6:$AZ$6,0),MATCH(AJ$5&amp;"",'Oxford Economics'!$A$6:$AZ$6,0))),'Oxford Economics'!$A$7:$A$1000,$C64,'Oxford Economics'!$B$7:$B$1000,Settings!$B$15)+IF(Settings!$B$17="",0,SUMIFS(INDEX('Oxford Economics'!$A$7:$AZ$1000,0,IFERROR(MATCH(AJ$5,'Oxford Economics'!$A$6:$AZ$6,0),MATCH(AJ$5&amp;"",'Oxford Economics'!$A$6:$AZ$6,0))),'Oxford Economics'!$A$7:$A$1000,$C64,'Oxford Economics'!$B$7:$B$1000,Settings!$B$17)))),""))</f>
        <v/>
      </c>
      <c r="AK64" s="37" t="str">
        <f aca="false">IF($A64="","",IFERROR(1/(1/IF($B64="Residential",SUMIFS(INDEX('Oxford Economics'!$A$7:$AZ$1000,0,IFERROR(MATCH(AK$5,'Oxford Economics'!$A$6:$AZ$6,0),MATCH(AK$5&amp;"",'Oxford Economics'!$A$6:$AZ$6,0))),'Oxford Economics'!$A$7:$A$1000,$C64,'Oxford Economics'!$B$7:$B$1000,Settings!$B$11)-SUMIFS(INDEX('Oxford Economics'!$A$7:$AZ$1000,0,IFERROR(MATCH(AK$5,'Oxford Economics'!$A$6:$AZ$6,0),MATCH(AK$5&amp;"",'Oxford Economics'!$A$6:$AZ$6,0))),'Oxford Economics'!$A$7:$A$1000,$C64,'Oxford Economics'!$B$7:$B$1000,Settings!$B$13),SUMIFS(INDEX('Oxford Economics'!$A$7:$AZ$1000,0,IFERROR(MATCH(AK$5,'Oxford Economics'!$A$6:$AZ$6,0),MATCH(AK$5&amp;"",'Oxford Economics'!$A$6:$AZ$6,0))),'Oxford Economics'!$A$7:$A$1000,$C64,'Oxford Economics'!$B$7:$B$1000,Settings!$B$13)+SUMIFS(INDEX('Oxford Economics'!$A$7:$AZ$1000,0,IFERROR(MATCH(AK$5,'Oxford Economics'!$A$6:$AZ$6,0),MATCH(AK$5&amp;"",'Oxford Economics'!$A$6:$AZ$6,0))),'Oxford Economics'!$A$7:$A$1000,$C64,'Oxford Economics'!$B$7:$B$1000,Settings!$B$15)+IF(Settings!$B$17="",0,SUMIFS(INDEX('Oxford Economics'!$A$7:$AZ$1000,0,IFERROR(MATCH(AK$5,'Oxford Economics'!$A$6:$AZ$6,0),MATCH(AK$5&amp;"",'Oxford Economics'!$A$6:$AZ$6,0))),'Oxford Economics'!$A$7:$A$1000,$C64,'Oxford Economics'!$B$7:$B$1000,Settings!$B$17)))),""))</f>
        <v/>
      </c>
      <c r="AL64" s="37" t="str">
        <f aca="false">IF($A64="","",IFERROR(1/(1/IF($B64="Residential",SUMIFS(INDEX('Oxford Economics'!$A$7:$AZ$1000,0,IFERROR(MATCH(AL$5,'Oxford Economics'!$A$6:$AZ$6,0),MATCH(AL$5&amp;"",'Oxford Economics'!$A$6:$AZ$6,0))),'Oxford Economics'!$A$7:$A$1000,$C64,'Oxford Economics'!$B$7:$B$1000,Settings!$B$11)-SUMIFS(INDEX('Oxford Economics'!$A$7:$AZ$1000,0,IFERROR(MATCH(AL$5,'Oxford Economics'!$A$6:$AZ$6,0),MATCH(AL$5&amp;"",'Oxford Economics'!$A$6:$AZ$6,0))),'Oxford Economics'!$A$7:$A$1000,$C64,'Oxford Economics'!$B$7:$B$1000,Settings!$B$13),SUMIFS(INDEX('Oxford Economics'!$A$7:$AZ$1000,0,IFERROR(MATCH(AL$5,'Oxford Economics'!$A$6:$AZ$6,0),MATCH(AL$5&amp;"",'Oxford Economics'!$A$6:$AZ$6,0))),'Oxford Economics'!$A$7:$A$1000,$C64,'Oxford Economics'!$B$7:$B$1000,Settings!$B$13)+SUMIFS(INDEX('Oxford Economics'!$A$7:$AZ$1000,0,IFERROR(MATCH(AL$5,'Oxford Economics'!$A$6:$AZ$6,0),MATCH(AL$5&amp;"",'Oxford Economics'!$A$6:$AZ$6,0))),'Oxford Economics'!$A$7:$A$1000,$C64,'Oxford Economics'!$B$7:$B$1000,Settings!$B$15)+IF(Settings!$B$17="",0,SUMIFS(INDEX('Oxford Economics'!$A$7:$AZ$1000,0,IFERROR(MATCH(AL$5,'Oxford Economics'!$A$6:$AZ$6,0),MATCH(AL$5&amp;"",'Oxford Economics'!$A$6:$AZ$6,0))),'Oxford Economics'!$A$7:$A$1000,$C64,'Oxford Economics'!$B$7:$B$1000,Settings!$B$17)))),""))</f>
        <v/>
      </c>
      <c r="AM64" s="37" t="str">
        <f aca="false">IF($A64="","",IFERROR(1/(1/IF($B64="Residential",SUMIFS(INDEX('Oxford Economics'!$A$7:$AZ$1000,0,IFERROR(MATCH(AM$5,'Oxford Economics'!$A$6:$AZ$6,0),MATCH(AM$5&amp;"",'Oxford Economics'!$A$6:$AZ$6,0))),'Oxford Economics'!$A$7:$A$1000,$C64,'Oxford Economics'!$B$7:$B$1000,Settings!$B$11)-SUMIFS(INDEX('Oxford Economics'!$A$7:$AZ$1000,0,IFERROR(MATCH(AM$5,'Oxford Economics'!$A$6:$AZ$6,0),MATCH(AM$5&amp;"",'Oxford Economics'!$A$6:$AZ$6,0))),'Oxford Economics'!$A$7:$A$1000,$C64,'Oxford Economics'!$B$7:$B$1000,Settings!$B$13),SUMIFS(INDEX('Oxford Economics'!$A$7:$AZ$1000,0,IFERROR(MATCH(AM$5,'Oxford Economics'!$A$6:$AZ$6,0),MATCH(AM$5&amp;"",'Oxford Economics'!$A$6:$AZ$6,0))),'Oxford Economics'!$A$7:$A$1000,$C64,'Oxford Economics'!$B$7:$B$1000,Settings!$B$13)+SUMIFS(INDEX('Oxford Economics'!$A$7:$AZ$1000,0,IFERROR(MATCH(AM$5,'Oxford Economics'!$A$6:$AZ$6,0),MATCH(AM$5&amp;"",'Oxford Economics'!$A$6:$AZ$6,0))),'Oxford Economics'!$A$7:$A$1000,$C64,'Oxford Economics'!$B$7:$B$1000,Settings!$B$15)+IF(Settings!$B$17="",0,SUMIFS(INDEX('Oxford Economics'!$A$7:$AZ$1000,0,IFERROR(MATCH(AM$5,'Oxford Economics'!$A$6:$AZ$6,0),MATCH(AM$5&amp;"",'Oxford Economics'!$A$6:$AZ$6,0))),'Oxford Economics'!$A$7:$A$1000,$C64,'Oxford Economics'!$B$7:$B$1000,Settings!$B$17)))),""))</f>
        <v/>
      </c>
    </row>
    <row r="65" customFormat="false" ht="15" hidden="false" customHeight="false" outlineLevel="0" collapsed="false">
      <c r="A65" s="36" t="str">
        <f aca="false">IF('Raw data'!$A65="","",'Raw data'!$A65)</f>
        <v/>
      </c>
      <c r="B65" s="36" t="str">
        <f aca="false">IF($A65="","",'Raw data'!$C65)</f>
        <v/>
      </c>
      <c r="C65" s="36" t="str">
        <f aca="false">IF($A65="","",IF('Raw data'!$D65="",$A65,'Raw data'!$D65))</f>
        <v/>
      </c>
      <c r="D65" s="37" t="str">
        <f aca="false">IF($A65="","",IF(AND(ISNUMBER(P65),ISNUMBER(AB65)),P65+AB65,""))</f>
        <v/>
      </c>
      <c r="E65" s="37" t="str">
        <f aca="false">IF($A65="","",IF(AND(ISNUMBER(Q65),ISNUMBER(AC65)),Q65+AC65,""))</f>
        <v/>
      </c>
      <c r="F65" s="37" t="str">
        <f aca="false">IF($A65="","",IF(AND(ISNUMBER(R65),ISNUMBER(AD65)),R65+AD65,""))</f>
        <v/>
      </c>
      <c r="G65" s="37" t="str">
        <f aca="false">IF($A65="","",IF(AND(ISNUMBER(S65),ISNUMBER(AE65)),S65+AE65,""))</f>
        <v/>
      </c>
      <c r="H65" s="37" t="str">
        <f aca="false">IF($A65="","",IF(AND(ISNUMBER(T65),ISNUMBER(AF65)),T65+AF65,""))</f>
        <v/>
      </c>
      <c r="I65" s="37" t="str">
        <f aca="false">IF($A65="","",IF(AND(ISNUMBER(U65),ISNUMBER(AG65)),U65+AG65,""))</f>
        <v/>
      </c>
      <c r="J65" s="37" t="str">
        <f aca="false">IF($A65="","",IF(AND(ISNUMBER(V65),ISNUMBER(AH65)),V65+AH65,""))</f>
        <v/>
      </c>
      <c r="K65" s="37" t="str">
        <f aca="false">IF($A65="","",IF(AND(ISNUMBER(W65),ISNUMBER(AI65)),W65+AI65,""))</f>
        <v/>
      </c>
      <c r="L65" s="37" t="str">
        <f aca="false">IF($A65="","",IF(AND(ISNUMBER(X65),ISNUMBER(AJ65)),X65+AJ65,""))</f>
        <v/>
      </c>
      <c r="M65" s="37" t="str">
        <f aca="false">IF($A65="","",IF(AND(ISNUMBER(Y65),ISNUMBER(AK65)),Y65+AK65,""))</f>
        <v/>
      </c>
      <c r="N65" s="37" t="str">
        <f aca="false">IF($A65="","",IF(AND(ISNUMBER(Z65),ISNUMBER(AL65)),Z65+AL65,""))</f>
        <v/>
      </c>
      <c r="O65" s="37" t="str">
        <f aca="false">IF($A65="","",IF(AND(ISNUMBER(AA65),ISNUMBER(AM65)),AA65+AM65,""))</f>
        <v/>
      </c>
      <c r="P65" s="37" t="str">
        <f aca="false">IF($A65="","",IFERROR(1/(1/IF($B65="Residential",SUMIFS(INDEX('Oxford Economics'!$A$7:$AZ$1000,0,IFERROR(MATCH(P$5,'Oxford Economics'!$A$6:$AZ$6,0),MATCH(P$5&amp;"",'Oxford Economics'!$A$6:$AZ$6,0))),'Oxford Economics'!$A$7:$A$1000,$C65,'Oxford Economics'!$B$7:$B$1000,Settings!$B$12)-SUMIFS(INDEX('Oxford Economics'!$A$7:$AZ$1000,0,IFERROR(MATCH(P$5,'Oxford Economics'!$A$6:$AZ$6,0),MATCH(P$5&amp;"",'Oxford Economics'!$A$6:$AZ$6,0))),'Oxford Economics'!$A$7:$A$1000,$C65,'Oxford Economics'!$B$7:$B$1000,Settings!$B$14),SUMIFS(INDEX('Oxford Economics'!$A$7:$AZ$1000,0,IFERROR(MATCH(P$5,'Oxford Economics'!$A$6:$AZ$6,0),MATCH(P$5&amp;"",'Oxford Economics'!$A$6:$AZ$6,0))),'Oxford Economics'!$A$7:$A$1000,$C65,'Oxford Economics'!$B$7:$B$1000,Settings!$B$14)+SUMIFS(INDEX('Oxford Economics'!$A$7:$AZ$1000,0,IFERROR(MATCH(P$5,'Oxford Economics'!$A$6:$AZ$6,0),MATCH(P$5&amp;"",'Oxford Economics'!$A$6:$AZ$6,0))),'Oxford Economics'!$A$7:$A$1000,$C65,'Oxford Economics'!$B$7:$B$1000,Settings!$B$16)+IF(Settings!$B$18="",0,SUMIFS(INDEX('Oxford Economics'!$A$7:$AZ$1000,0,IFERROR(MATCH(P$5,'Oxford Economics'!$A$6:$AZ$6,0),MATCH(P$5&amp;"",'Oxford Economics'!$A$6:$AZ$6,0))),'Oxford Economics'!$A$7:$A$1000,$C65,'Oxford Economics'!$B$7:$B$1000,Settings!$B$18)))),""))</f>
        <v/>
      </c>
      <c r="Q65" s="37" t="str">
        <f aca="false">IF($A65="","",IFERROR(1/(1/IF($B65="Residential",SUMIFS(INDEX('Oxford Economics'!$A$7:$AZ$1000,0,IFERROR(MATCH(Q$5,'Oxford Economics'!$A$6:$AZ$6,0),MATCH(Q$5&amp;"",'Oxford Economics'!$A$6:$AZ$6,0))),'Oxford Economics'!$A$7:$A$1000,$C65,'Oxford Economics'!$B$7:$B$1000,Settings!$B$12)-SUMIFS(INDEX('Oxford Economics'!$A$7:$AZ$1000,0,IFERROR(MATCH(Q$5,'Oxford Economics'!$A$6:$AZ$6,0),MATCH(Q$5&amp;"",'Oxford Economics'!$A$6:$AZ$6,0))),'Oxford Economics'!$A$7:$A$1000,$C65,'Oxford Economics'!$B$7:$B$1000,Settings!$B$14),SUMIFS(INDEX('Oxford Economics'!$A$7:$AZ$1000,0,IFERROR(MATCH(Q$5,'Oxford Economics'!$A$6:$AZ$6,0),MATCH(Q$5&amp;"",'Oxford Economics'!$A$6:$AZ$6,0))),'Oxford Economics'!$A$7:$A$1000,$C65,'Oxford Economics'!$B$7:$B$1000,Settings!$B$14)+SUMIFS(INDEX('Oxford Economics'!$A$7:$AZ$1000,0,IFERROR(MATCH(Q$5,'Oxford Economics'!$A$6:$AZ$6,0),MATCH(Q$5&amp;"",'Oxford Economics'!$A$6:$AZ$6,0))),'Oxford Economics'!$A$7:$A$1000,$C65,'Oxford Economics'!$B$7:$B$1000,Settings!$B$16)+IF(Settings!$B$18="",0,SUMIFS(INDEX('Oxford Economics'!$A$7:$AZ$1000,0,IFERROR(MATCH(Q$5,'Oxford Economics'!$A$6:$AZ$6,0),MATCH(Q$5&amp;"",'Oxford Economics'!$A$6:$AZ$6,0))),'Oxford Economics'!$A$7:$A$1000,$C65,'Oxford Economics'!$B$7:$B$1000,Settings!$B$18)))),""))</f>
        <v/>
      </c>
      <c r="R65" s="37" t="str">
        <f aca="false">IF($A65="","",IFERROR(1/(1/IF($B65="Residential",SUMIFS(INDEX('Oxford Economics'!$A$7:$AZ$1000,0,IFERROR(MATCH(R$5,'Oxford Economics'!$A$6:$AZ$6,0),MATCH(R$5&amp;"",'Oxford Economics'!$A$6:$AZ$6,0))),'Oxford Economics'!$A$7:$A$1000,$C65,'Oxford Economics'!$B$7:$B$1000,Settings!$B$12)-SUMIFS(INDEX('Oxford Economics'!$A$7:$AZ$1000,0,IFERROR(MATCH(R$5,'Oxford Economics'!$A$6:$AZ$6,0),MATCH(R$5&amp;"",'Oxford Economics'!$A$6:$AZ$6,0))),'Oxford Economics'!$A$7:$A$1000,$C65,'Oxford Economics'!$B$7:$B$1000,Settings!$B$14),SUMIFS(INDEX('Oxford Economics'!$A$7:$AZ$1000,0,IFERROR(MATCH(R$5,'Oxford Economics'!$A$6:$AZ$6,0),MATCH(R$5&amp;"",'Oxford Economics'!$A$6:$AZ$6,0))),'Oxford Economics'!$A$7:$A$1000,$C65,'Oxford Economics'!$B$7:$B$1000,Settings!$B$14)+SUMIFS(INDEX('Oxford Economics'!$A$7:$AZ$1000,0,IFERROR(MATCH(R$5,'Oxford Economics'!$A$6:$AZ$6,0),MATCH(R$5&amp;"",'Oxford Economics'!$A$6:$AZ$6,0))),'Oxford Economics'!$A$7:$A$1000,$C65,'Oxford Economics'!$B$7:$B$1000,Settings!$B$16)+IF(Settings!$B$18="",0,SUMIFS(INDEX('Oxford Economics'!$A$7:$AZ$1000,0,IFERROR(MATCH(R$5,'Oxford Economics'!$A$6:$AZ$6,0),MATCH(R$5&amp;"",'Oxford Economics'!$A$6:$AZ$6,0))),'Oxford Economics'!$A$7:$A$1000,$C65,'Oxford Economics'!$B$7:$B$1000,Settings!$B$18)))),""))</f>
        <v/>
      </c>
      <c r="S65" s="37" t="str">
        <f aca="false">IF($A65="","",IFERROR(1/(1/IF($B65="Residential",SUMIFS(INDEX('Oxford Economics'!$A$7:$AZ$1000,0,IFERROR(MATCH(S$5,'Oxford Economics'!$A$6:$AZ$6,0),MATCH(S$5&amp;"",'Oxford Economics'!$A$6:$AZ$6,0))),'Oxford Economics'!$A$7:$A$1000,$C65,'Oxford Economics'!$B$7:$B$1000,Settings!$B$12)-SUMIFS(INDEX('Oxford Economics'!$A$7:$AZ$1000,0,IFERROR(MATCH(S$5,'Oxford Economics'!$A$6:$AZ$6,0),MATCH(S$5&amp;"",'Oxford Economics'!$A$6:$AZ$6,0))),'Oxford Economics'!$A$7:$A$1000,$C65,'Oxford Economics'!$B$7:$B$1000,Settings!$B$14),SUMIFS(INDEX('Oxford Economics'!$A$7:$AZ$1000,0,IFERROR(MATCH(S$5,'Oxford Economics'!$A$6:$AZ$6,0),MATCH(S$5&amp;"",'Oxford Economics'!$A$6:$AZ$6,0))),'Oxford Economics'!$A$7:$A$1000,$C65,'Oxford Economics'!$B$7:$B$1000,Settings!$B$14)+SUMIFS(INDEX('Oxford Economics'!$A$7:$AZ$1000,0,IFERROR(MATCH(S$5,'Oxford Economics'!$A$6:$AZ$6,0),MATCH(S$5&amp;"",'Oxford Economics'!$A$6:$AZ$6,0))),'Oxford Economics'!$A$7:$A$1000,$C65,'Oxford Economics'!$B$7:$B$1000,Settings!$B$16)+IF(Settings!$B$18="",0,SUMIFS(INDEX('Oxford Economics'!$A$7:$AZ$1000,0,IFERROR(MATCH(S$5,'Oxford Economics'!$A$6:$AZ$6,0),MATCH(S$5&amp;"",'Oxford Economics'!$A$6:$AZ$6,0))),'Oxford Economics'!$A$7:$A$1000,$C65,'Oxford Economics'!$B$7:$B$1000,Settings!$B$18)))),""))</f>
        <v/>
      </c>
      <c r="T65" s="37" t="str">
        <f aca="false">IF($A65="","",IFERROR(1/(1/IF($B65="Residential",SUMIFS(INDEX('Oxford Economics'!$A$7:$AZ$1000,0,IFERROR(MATCH(T$5,'Oxford Economics'!$A$6:$AZ$6,0),MATCH(T$5&amp;"",'Oxford Economics'!$A$6:$AZ$6,0))),'Oxford Economics'!$A$7:$A$1000,$C65,'Oxford Economics'!$B$7:$B$1000,Settings!$B$12)-SUMIFS(INDEX('Oxford Economics'!$A$7:$AZ$1000,0,IFERROR(MATCH(T$5,'Oxford Economics'!$A$6:$AZ$6,0),MATCH(T$5&amp;"",'Oxford Economics'!$A$6:$AZ$6,0))),'Oxford Economics'!$A$7:$A$1000,$C65,'Oxford Economics'!$B$7:$B$1000,Settings!$B$14),SUMIFS(INDEX('Oxford Economics'!$A$7:$AZ$1000,0,IFERROR(MATCH(T$5,'Oxford Economics'!$A$6:$AZ$6,0),MATCH(T$5&amp;"",'Oxford Economics'!$A$6:$AZ$6,0))),'Oxford Economics'!$A$7:$A$1000,$C65,'Oxford Economics'!$B$7:$B$1000,Settings!$B$14)+SUMIFS(INDEX('Oxford Economics'!$A$7:$AZ$1000,0,IFERROR(MATCH(T$5,'Oxford Economics'!$A$6:$AZ$6,0),MATCH(T$5&amp;"",'Oxford Economics'!$A$6:$AZ$6,0))),'Oxford Economics'!$A$7:$A$1000,$C65,'Oxford Economics'!$B$7:$B$1000,Settings!$B$16)+IF(Settings!$B$18="",0,SUMIFS(INDEX('Oxford Economics'!$A$7:$AZ$1000,0,IFERROR(MATCH(T$5,'Oxford Economics'!$A$6:$AZ$6,0),MATCH(T$5&amp;"",'Oxford Economics'!$A$6:$AZ$6,0))),'Oxford Economics'!$A$7:$A$1000,$C65,'Oxford Economics'!$B$7:$B$1000,Settings!$B$18)))),""))</f>
        <v/>
      </c>
      <c r="U65" s="37" t="str">
        <f aca="false">IF($A65="","",IFERROR(1/(1/IF($B65="Residential",SUMIFS(INDEX('Oxford Economics'!$A$7:$AZ$1000,0,IFERROR(MATCH(U$5,'Oxford Economics'!$A$6:$AZ$6,0),MATCH(U$5&amp;"",'Oxford Economics'!$A$6:$AZ$6,0))),'Oxford Economics'!$A$7:$A$1000,$C65,'Oxford Economics'!$B$7:$B$1000,Settings!$B$12)-SUMIFS(INDEX('Oxford Economics'!$A$7:$AZ$1000,0,IFERROR(MATCH(U$5,'Oxford Economics'!$A$6:$AZ$6,0),MATCH(U$5&amp;"",'Oxford Economics'!$A$6:$AZ$6,0))),'Oxford Economics'!$A$7:$A$1000,$C65,'Oxford Economics'!$B$7:$B$1000,Settings!$B$14),SUMIFS(INDEX('Oxford Economics'!$A$7:$AZ$1000,0,IFERROR(MATCH(U$5,'Oxford Economics'!$A$6:$AZ$6,0),MATCH(U$5&amp;"",'Oxford Economics'!$A$6:$AZ$6,0))),'Oxford Economics'!$A$7:$A$1000,$C65,'Oxford Economics'!$B$7:$B$1000,Settings!$B$14)+SUMIFS(INDEX('Oxford Economics'!$A$7:$AZ$1000,0,IFERROR(MATCH(U$5,'Oxford Economics'!$A$6:$AZ$6,0),MATCH(U$5&amp;"",'Oxford Economics'!$A$6:$AZ$6,0))),'Oxford Economics'!$A$7:$A$1000,$C65,'Oxford Economics'!$B$7:$B$1000,Settings!$B$16)+IF(Settings!$B$18="",0,SUMIFS(INDEX('Oxford Economics'!$A$7:$AZ$1000,0,IFERROR(MATCH(U$5,'Oxford Economics'!$A$6:$AZ$6,0),MATCH(U$5&amp;"",'Oxford Economics'!$A$6:$AZ$6,0))),'Oxford Economics'!$A$7:$A$1000,$C65,'Oxford Economics'!$B$7:$B$1000,Settings!$B$18)))),""))</f>
        <v/>
      </c>
      <c r="V65" s="37" t="str">
        <f aca="false">IF($A65="","",IFERROR(1/(1/IF($B65="Residential",SUMIFS(INDEX('Oxford Economics'!$A$7:$AZ$1000,0,IFERROR(MATCH(V$5,'Oxford Economics'!$A$6:$AZ$6,0),MATCH(V$5&amp;"",'Oxford Economics'!$A$6:$AZ$6,0))),'Oxford Economics'!$A$7:$A$1000,$C65,'Oxford Economics'!$B$7:$B$1000,Settings!$B$12)-SUMIFS(INDEX('Oxford Economics'!$A$7:$AZ$1000,0,IFERROR(MATCH(V$5,'Oxford Economics'!$A$6:$AZ$6,0),MATCH(V$5&amp;"",'Oxford Economics'!$A$6:$AZ$6,0))),'Oxford Economics'!$A$7:$A$1000,$C65,'Oxford Economics'!$B$7:$B$1000,Settings!$B$14),SUMIFS(INDEX('Oxford Economics'!$A$7:$AZ$1000,0,IFERROR(MATCH(V$5,'Oxford Economics'!$A$6:$AZ$6,0),MATCH(V$5&amp;"",'Oxford Economics'!$A$6:$AZ$6,0))),'Oxford Economics'!$A$7:$A$1000,$C65,'Oxford Economics'!$B$7:$B$1000,Settings!$B$14)+SUMIFS(INDEX('Oxford Economics'!$A$7:$AZ$1000,0,IFERROR(MATCH(V$5,'Oxford Economics'!$A$6:$AZ$6,0),MATCH(V$5&amp;"",'Oxford Economics'!$A$6:$AZ$6,0))),'Oxford Economics'!$A$7:$A$1000,$C65,'Oxford Economics'!$B$7:$B$1000,Settings!$B$16)+IF(Settings!$B$18="",0,SUMIFS(INDEX('Oxford Economics'!$A$7:$AZ$1000,0,IFERROR(MATCH(V$5,'Oxford Economics'!$A$6:$AZ$6,0),MATCH(V$5&amp;"",'Oxford Economics'!$A$6:$AZ$6,0))),'Oxford Economics'!$A$7:$A$1000,$C65,'Oxford Economics'!$B$7:$B$1000,Settings!$B$18)))),""))</f>
        <v/>
      </c>
      <c r="W65" s="37" t="str">
        <f aca="false">IF($A65="","",IFERROR(1/(1/IF($B65="Residential",SUMIFS(INDEX('Oxford Economics'!$A$7:$AZ$1000,0,IFERROR(MATCH(W$5,'Oxford Economics'!$A$6:$AZ$6,0),MATCH(W$5&amp;"",'Oxford Economics'!$A$6:$AZ$6,0))),'Oxford Economics'!$A$7:$A$1000,$C65,'Oxford Economics'!$B$7:$B$1000,Settings!$B$12)-SUMIFS(INDEX('Oxford Economics'!$A$7:$AZ$1000,0,IFERROR(MATCH(W$5,'Oxford Economics'!$A$6:$AZ$6,0),MATCH(W$5&amp;"",'Oxford Economics'!$A$6:$AZ$6,0))),'Oxford Economics'!$A$7:$A$1000,$C65,'Oxford Economics'!$B$7:$B$1000,Settings!$B$14),SUMIFS(INDEX('Oxford Economics'!$A$7:$AZ$1000,0,IFERROR(MATCH(W$5,'Oxford Economics'!$A$6:$AZ$6,0),MATCH(W$5&amp;"",'Oxford Economics'!$A$6:$AZ$6,0))),'Oxford Economics'!$A$7:$A$1000,$C65,'Oxford Economics'!$B$7:$B$1000,Settings!$B$14)+SUMIFS(INDEX('Oxford Economics'!$A$7:$AZ$1000,0,IFERROR(MATCH(W$5,'Oxford Economics'!$A$6:$AZ$6,0),MATCH(W$5&amp;"",'Oxford Economics'!$A$6:$AZ$6,0))),'Oxford Economics'!$A$7:$A$1000,$C65,'Oxford Economics'!$B$7:$B$1000,Settings!$B$16)+IF(Settings!$B$18="",0,SUMIFS(INDEX('Oxford Economics'!$A$7:$AZ$1000,0,IFERROR(MATCH(W$5,'Oxford Economics'!$A$6:$AZ$6,0),MATCH(W$5&amp;"",'Oxford Economics'!$A$6:$AZ$6,0))),'Oxford Economics'!$A$7:$A$1000,$C65,'Oxford Economics'!$B$7:$B$1000,Settings!$B$18)))),""))</f>
        <v/>
      </c>
      <c r="X65" s="37" t="str">
        <f aca="false">IF($A65="","",IFERROR(1/(1/IF($B65="Residential",SUMIFS(INDEX('Oxford Economics'!$A$7:$AZ$1000,0,IFERROR(MATCH(X$5,'Oxford Economics'!$A$6:$AZ$6,0),MATCH(X$5&amp;"",'Oxford Economics'!$A$6:$AZ$6,0))),'Oxford Economics'!$A$7:$A$1000,$C65,'Oxford Economics'!$B$7:$B$1000,Settings!$B$12)-SUMIFS(INDEX('Oxford Economics'!$A$7:$AZ$1000,0,IFERROR(MATCH(X$5,'Oxford Economics'!$A$6:$AZ$6,0),MATCH(X$5&amp;"",'Oxford Economics'!$A$6:$AZ$6,0))),'Oxford Economics'!$A$7:$A$1000,$C65,'Oxford Economics'!$B$7:$B$1000,Settings!$B$14),SUMIFS(INDEX('Oxford Economics'!$A$7:$AZ$1000,0,IFERROR(MATCH(X$5,'Oxford Economics'!$A$6:$AZ$6,0),MATCH(X$5&amp;"",'Oxford Economics'!$A$6:$AZ$6,0))),'Oxford Economics'!$A$7:$A$1000,$C65,'Oxford Economics'!$B$7:$B$1000,Settings!$B$14)+SUMIFS(INDEX('Oxford Economics'!$A$7:$AZ$1000,0,IFERROR(MATCH(X$5,'Oxford Economics'!$A$6:$AZ$6,0),MATCH(X$5&amp;"",'Oxford Economics'!$A$6:$AZ$6,0))),'Oxford Economics'!$A$7:$A$1000,$C65,'Oxford Economics'!$B$7:$B$1000,Settings!$B$16)+IF(Settings!$B$18="",0,SUMIFS(INDEX('Oxford Economics'!$A$7:$AZ$1000,0,IFERROR(MATCH(X$5,'Oxford Economics'!$A$6:$AZ$6,0),MATCH(X$5&amp;"",'Oxford Economics'!$A$6:$AZ$6,0))),'Oxford Economics'!$A$7:$A$1000,$C65,'Oxford Economics'!$B$7:$B$1000,Settings!$B$18)))),""))</f>
        <v/>
      </c>
      <c r="Y65" s="37" t="str">
        <f aca="false">IF($A65="","",IFERROR(1/(1/IF($B65="Residential",SUMIFS(INDEX('Oxford Economics'!$A$7:$AZ$1000,0,IFERROR(MATCH(Y$5,'Oxford Economics'!$A$6:$AZ$6,0),MATCH(Y$5&amp;"",'Oxford Economics'!$A$6:$AZ$6,0))),'Oxford Economics'!$A$7:$A$1000,$C65,'Oxford Economics'!$B$7:$B$1000,Settings!$B$12)-SUMIFS(INDEX('Oxford Economics'!$A$7:$AZ$1000,0,IFERROR(MATCH(Y$5,'Oxford Economics'!$A$6:$AZ$6,0),MATCH(Y$5&amp;"",'Oxford Economics'!$A$6:$AZ$6,0))),'Oxford Economics'!$A$7:$A$1000,$C65,'Oxford Economics'!$B$7:$B$1000,Settings!$B$14),SUMIFS(INDEX('Oxford Economics'!$A$7:$AZ$1000,0,IFERROR(MATCH(Y$5,'Oxford Economics'!$A$6:$AZ$6,0),MATCH(Y$5&amp;"",'Oxford Economics'!$A$6:$AZ$6,0))),'Oxford Economics'!$A$7:$A$1000,$C65,'Oxford Economics'!$B$7:$B$1000,Settings!$B$14)+SUMIFS(INDEX('Oxford Economics'!$A$7:$AZ$1000,0,IFERROR(MATCH(Y$5,'Oxford Economics'!$A$6:$AZ$6,0),MATCH(Y$5&amp;"",'Oxford Economics'!$A$6:$AZ$6,0))),'Oxford Economics'!$A$7:$A$1000,$C65,'Oxford Economics'!$B$7:$B$1000,Settings!$B$16)+IF(Settings!$B$18="",0,SUMIFS(INDEX('Oxford Economics'!$A$7:$AZ$1000,0,IFERROR(MATCH(Y$5,'Oxford Economics'!$A$6:$AZ$6,0),MATCH(Y$5&amp;"",'Oxford Economics'!$A$6:$AZ$6,0))),'Oxford Economics'!$A$7:$A$1000,$C65,'Oxford Economics'!$B$7:$B$1000,Settings!$B$18)))),""))</f>
        <v/>
      </c>
      <c r="Z65" s="37" t="str">
        <f aca="false">IF($A65="","",IFERROR(1/(1/IF($B65="Residential",SUMIFS(INDEX('Oxford Economics'!$A$7:$AZ$1000,0,IFERROR(MATCH(Z$5,'Oxford Economics'!$A$6:$AZ$6,0),MATCH(Z$5&amp;"",'Oxford Economics'!$A$6:$AZ$6,0))),'Oxford Economics'!$A$7:$A$1000,$C65,'Oxford Economics'!$B$7:$B$1000,Settings!$B$12)-SUMIFS(INDEX('Oxford Economics'!$A$7:$AZ$1000,0,IFERROR(MATCH(Z$5,'Oxford Economics'!$A$6:$AZ$6,0),MATCH(Z$5&amp;"",'Oxford Economics'!$A$6:$AZ$6,0))),'Oxford Economics'!$A$7:$A$1000,$C65,'Oxford Economics'!$B$7:$B$1000,Settings!$B$14),SUMIFS(INDEX('Oxford Economics'!$A$7:$AZ$1000,0,IFERROR(MATCH(Z$5,'Oxford Economics'!$A$6:$AZ$6,0),MATCH(Z$5&amp;"",'Oxford Economics'!$A$6:$AZ$6,0))),'Oxford Economics'!$A$7:$A$1000,$C65,'Oxford Economics'!$B$7:$B$1000,Settings!$B$14)+SUMIFS(INDEX('Oxford Economics'!$A$7:$AZ$1000,0,IFERROR(MATCH(Z$5,'Oxford Economics'!$A$6:$AZ$6,0),MATCH(Z$5&amp;"",'Oxford Economics'!$A$6:$AZ$6,0))),'Oxford Economics'!$A$7:$A$1000,$C65,'Oxford Economics'!$B$7:$B$1000,Settings!$B$16)+IF(Settings!$B$18="",0,SUMIFS(INDEX('Oxford Economics'!$A$7:$AZ$1000,0,IFERROR(MATCH(Z$5,'Oxford Economics'!$A$6:$AZ$6,0),MATCH(Z$5&amp;"",'Oxford Economics'!$A$6:$AZ$6,0))),'Oxford Economics'!$A$7:$A$1000,$C65,'Oxford Economics'!$B$7:$B$1000,Settings!$B$18)))),""))</f>
        <v/>
      </c>
      <c r="AA65" s="37" t="str">
        <f aca="false">IF($A65="","",IFERROR(1/(1/IF($B65="Residential",SUMIFS(INDEX('Oxford Economics'!$A$7:$AZ$1000,0,IFERROR(MATCH(AA$5,'Oxford Economics'!$A$6:$AZ$6,0),MATCH(AA$5&amp;"",'Oxford Economics'!$A$6:$AZ$6,0))),'Oxford Economics'!$A$7:$A$1000,$C65,'Oxford Economics'!$B$7:$B$1000,Settings!$B$12)-SUMIFS(INDEX('Oxford Economics'!$A$7:$AZ$1000,0,IFERROR(MATCH(AA$5,'Oxford Economics'!$A$6:$AZ$6,0),MATCH(AA$5&amp;"",'Oxford Economics'!$A$6:$AZ$6,0))),'Oxford Economics'!$A$7:$A$1000,$C65,'Oxford Economics'!$B$7:$B$1000,Settings!$B$14),SUMIFS(INDEX('Oxford Economics'!$A$7:$AZ$1000,0,IFERROR(MATCH(AA$5,'Oxford Economics'!$A$6:$AZ$6,0),MATCH(AA$5&amp;"",'Oxford Economics'!$A$6:$AZ$6,0))),'Oxford Economics'!$A$7:$A$1000,$C65,'Oxford Economics'!$B$7:$B$1000,Settings!$B$14)+SUMIFS(INDEX('Oxford Economics'!$A$7:$AZ$1000,0,IFERROR(MATCH(AA$5,'Oxford Economics'!$A$6:$AZ$6,0),MATCH(AA$5&amp;"",'Oxford Economics'!$A$6:$AZ$6,0))),'Oxford Economics'!$A$7:$A$1000,$C65,'Oxford Economics'!$B$7:$B$1000,Settings!$B$16)+IF(Settings!$B$18="",0,SUMIFS(INDEX('Oxford Economics'!$A$7:$AZ$1000,0,IFERROR(MATCH(AA$5,'Oxford Economics'!$A$6:$AZ$6,0),MATCH(AA$5&amp;"",'Oxford Economics'!$A$6:$AZ$6,0))),'Oxford Economics'!$A$7:$A$1000,$C65,'Oxford Economics'!$B$7:$B$1000,Settings!$B$18)))),""))</f>
        <v/>
      </c>
      <c r="AB65" s="37" t="str">
        <f aca="false">IF($A65="","",IFERROR(1/(1/IF($B65="Residential",SUMIFS(INDEX('Oxford Economics'!$A$7:$AZ$1000,0,IFERROR(MATCH(AB$5,'Oxford Economics'!$A$6:$AZ$6,0),MATCH(AB$5&amp;"",'Oxford Economics'!$A$6:$AZ$6,0))),'Oxford Economics'!$A$7:$A$1000,$C65,'Oxford Economics'!$B$7:$B$1000,Settings!$B$11)-SUMIFS(INDEX('Oxford Economics'!$A$7:$AZ$1000,0,IFERROR(MATCH(AB$5,'Oxford Economics'!$A$6:$AZ$6,0),MATCH(AB$5&amp;"",'Oxford Economics'!$A$6:$AZ$6,0))),'Oxford Economics'!$A$7:$A$1000,$C65,'Oxford Economics'!$B$7:$B$1000,Settings!$B$13),SUMIFS(INDEX('Oxford Economics'!$A$7:$AZ$1000,0,IFERROR(MATCH(AB$5,'Oxford Economics'!$A$6:$AZ$6,0),MATCH(AB$5&amp;"",'Oxford Economics'!$A$6:$AZ$6,0))),'Oxford Economics'!$A$7:$A$1000,$C65,'Oxford Economics'!$B$7:$B$1000,Settings!$B$13)+SUMIFS(INDEX('Oxford Economics'!$A$7:$AZ$1000,0,IFERROR(MATCH(AB$5,'Oxford Economics'!$A$6:$AZ$6,0),MATCH(AB$5&amp;"",'Oxford Economics'!$A$6:$AZ$6,0))),'Oxford Economics'!$A$7:$A$1000,$C65,'Oxford Economics'!$B$7:$B$1000,Settings!$B$15)+IF(Settings!$B$17="",0,SUMIFS(INDEX('Oxford Economics'!$A$7:$AZ$1000,0,IFERROR(MATCH(AB$5,'Oxford Economics'!$A$6:$AZ$6,0),MATCH(AB$5&amp;"",'Oxford Economics'!$A$6:$AZ$6,0))),'Oxford Economics'!$A$7:$A$1000,$C65,'Oxford Economics'!$B$7:$B$1000,Settings!$B$17)))),""))</f>
        <v/>
      </c>
      <c r="AC65" s="37" t="str">
        <f aca="false">IF($A65="","",IFERROR(1/(1/IF($B65="Residential",SUMIFS(INDEX('Oxford Economics'!$A$7:$AZ$1000,0,IFERROR(MATCH(AC$5,'Oxford Economics'!$A$6:$AZ$6,0),MATCH(AC$5&amp;"",'Oxford Economics'!$A$6:$AZ$6,0))),'Oxford Economics'!$A$7:$A$1000,$C65,'Oxford Economics'!$B$7:$B$1000,Settings!$B$11)-SUMIFS(INDEX('Oxford Economics'!$A$7:$AZ$1000,0,IFERROR(MATCH(AC$5,'Oxford Economics'!$A$6:$AZ$6,0),MATCH(AC$5&amp;"",'Oxford Economics'!$A$6:$AZ$6,0))),'Oxford Economics'!$A$7:$A$1000,$C65,'Oxford Economics'!$B$7:$B$1000,Settings!$B$13),SUMIFS(INDEX('Oxford Economics'!$A$7:$AZ$1000,0,IFERROR(MATCH(AC$5,'Oxford Economics'!$A$6:$AZ$6,0),MATCH(AC$5&amp;"",'Oxford Economics'!$A$6:$AZ$6,0))),'Oxford Economics'!$A$7:$A$1000,$C65,'Oxford Economics'!$B$7:$B$1000,Settings!$B$13)+SUMIFS(INDEX('Oxford Economics'!$A$7:$AZ$1000,0,IFERROR(MATCH(AC$5,'Oxford Economics'!$A$6:$AZ$6,0),MATCH(AC$5&amp;"",'Oxford Economics'!$A$6:$AZ$6,0))),'Oxford Economics'!$A$7:$A$1000,$C65,'Oxford Economics'!$B$7:$B$1000,Settings!$B$15)+IF(Settings!$B$17="",0,SUMIFS(INDEX('Oxford Economics'!$A$7:$AZ$1000,0,IFERROR(MATCH(AC$5,'Oxford Economics'!$A$6:$AZ$6,0),MATCH(AC$5&amp;"",'Oxford Economics'!$A$6:$AZ$6,0))),'Oxford Economics'!$A$7:$A$1000,$C65,'Oxford Economics'!$B$7:$B$1000,Settings!$B$17)))),""))</f>
        <v/>
      </c>
      <c r="AD65" s="37" t="str">
        <f aca="false">IF($A65="","",IFERROR(1/(1/IF($B65="Residential",SUMIFS(INDEX('Oxford Economics'!$A$7:$AZ$1000,0,IFERROR(MATCH(AD$5,'Oxford Economics'!$A$6:$AZ$6,0),MATCH(AD$5&amp;"",'Oxford Economics'!$A$6:$AZ$6,0))),'Oxford Economics'!$A$7:$A$1000,$C65,'Oxford Economics'!$B$7:$B$1000,Settings!$B$11)-SUMIFS(INDEX('Oxford Economics'!$A$7:$AZ$1000,0,IFERROR(MATCH(AD$5,'Oxford Economics'!$A$6:$AZ$6,0),MATCH(AD$5&amp;"",'Oxford Economics'!$A$6:$AZ$6,0))),'Oxford Economics'!$A$7:$A$1000,$C65,'Oxford Economics'!$B$7:$B$1000,Settings!$B$13),SUMIFS(INDEX('Oxford Economics'!$A$7:$AZ$1000,0,IFERROR(MATCH(AD$5,'Oxford Economics'!$A$6:$AZ$6,0),MATCH(AD$5&amp;"",'Oxford Economics'!$A$6:$AZ$6,0))),'Oxford Economics'!$A$7:$A$1000,$C65,'Oxford Economics'!$B$7:$B$1000,Settings!$B$13)+SUMIFS(INDEX('Oxford Economics'!$A$7:$AZ$1000,0,IFERROR(MATCH(AD$5,'Oxford Economics'!$A$6:$AZ$6,0),MATCH(AD$5&amp;"",'Oxford Economics'!$A$6:$AZ$6,0))),'Oxford Economics'!$A$7:$A$1000,$C65,'Oxford Economics'!$B$7:$B$1000,Settings!$B$15)+IF(Settings!$B$17="",0,SUMIFS(INDEX('Oxford Economics'!$A$7:$AZ$1000,0,IFERROR(MATCH(AD$5,'Oxford Economics'!$A$6:$AZ$6,0),MATCH(AD$5&amp;"",'Oxford Economics'!$A$6:$AZ$6,0))),'Oxford Economics'!$A$7:$A$1000,$C65,'Oxford Economics'!$B$7:$B$1000,Settings!$B$17)))),""))</f>
        <v/>
      </c>
      <c r="AE65" s="37" t="str">
        <f aca="false">IF($A65="","",IFERROR(1/(1/IF($B65="Residential",SUMIFS(INDEX('Oxford Economics'!$A$7:$AZ$1000,0,IFERROR(MATCH(AE$5,'Oxford Economics'!$A$6:$AZ$6,0),MATCH(AE$5&amp;"",'Oxford Economics'!$A$6:$AZ$6,0))),'Oxford Economics'!$A$7:$A$1000,$C65,'Oxford Economics'!$B$7:$B$1000,Settings!$B$11)-SUMIFS(INDEX('Oxford Economics'!$A$7:$AZ$1000,0,IFERROR(MATCH(AE$5,'Oxford Economics'!$A$6:$AZ$6,0),MATCH(AE$5&amp;"",'Oxford Economics'!$A$6:$AZ$6,0))),'Oxford Economics'!$A$7:$A$1000,$C65,'Oxford Economics'!$B$7:$B$1000,Settings!$B$13),SUMIFS(INDEX('Oxford Economics'!$A$7:$AZ$1000,0,IFERROR(MATCH(AE$5,'Oxford Economics'!$A$6:$AZ$6,0),MATCH(AE$5&amp;"",'Oxford Economics'!$A$6:$AZ$6,0))),'Oxford Economics'!$A$7:$A$1000,$C65,'Oxford Economics'!$B$7:$B$1000,Settings!$B$13)+SUMIFS(INDEX('Oxford Economics'!$A$7:$AZ$1000,0,IFERROR(MATCH(AE$5,'Oxford Economics'!$A$6:$AZ$6,0),MATCH(AE$5&amp;"",'Oxford Economics'!$A$6:$AZ$6,0))),'Oxford Economics'!$A$7:$A$1000,$C65,'Oxford Economics'!$B$7:$B$1000,Settings!$B$15)+IF(Settings!$B$17="",0,SUMIFS(INDEX('Oxford Economics'!$A$7:$AZ$1000,0,IFERROR(MATCH(AE$5,'Oxford Economics'!$A$6:$AZ$6,0),MATCH(AE$5&amp;"",'Oxford Economics'!$A$6:$AZ$6,0))),'Oxford Economics'!$A$7:$A$1000,$C65,'Oxford Economics'!$B$7:$B$1000,Settings!$B$17)))),""))</f>
        <v/>
      </c>
      <c r="AF65" s="37" t="str">
        <f aca="false">IF($A65="","",IFERROR(1/(1/IF($B65="Residential",SUMIFS(INDEX('Oxford Economics'!$A$7:$AZ$1000,0,IFERROR(MATCH(AF$5,'Oxford Economics'!$A$6:$AZ$6,0),MATCH(AF$5&amp;"",'Oxford Economics'!$A$6:$AZ$6,0))),'Oxford Economics'!$A$7:$A$1000,$C65,'Oxford Economics'!$B$7:$B$1000,Settings!$B$11)-SUMIFS(INDEX('Oxford Economics'!$A$7:$AZ$1000,0,IFERROR(MATCH(AF$5,'Oxford Economics'!$A$6:$AZ$6,0),MATCH(AF$5&amp;"",'Oxford Economics'!$A$6:$AZ$6,0))),'Oxford Economics'!$A$7:$A$1000,$C65,'Oxford Economics'!$B$7:$B$1000,Settings!$B$13),SUMIFS(INDEX('Oxford Economics'!$A$7:$AZ$1000,0,IFERROR(MATCH(AF$5,'Oxford Economics'!$A$6:$AZ$6,0),MATCH(AF$5&amp;"",'Oxford Economics'!$A$6:$AZ$6,0))),'Oxford Economics'!$A$7:$A$1000,$C65,'Oxford Economics'!$B$7:$B$1000,Settings!$B$13)+SUMIFS(INDEX('Oxford Economics'!$A$7:$AZ$1000,0,IFERROR(MATCH(AF$5,'Oxford Economics'!$A$6:$AZ$6,0),MATCH(AF$5&amp;"",'Oxford Economics'!$A$6:$AZ$6,0))),'Oxford Economics'!$A$7:$A$1000,$C65,'Oxford Economics'!$B$7:$B$1000,Settings!$B$15)+IF(Settings!$B$17="",0,SUMIFS(INDEX('Oxford Economics'!$A$7:$AZ$1000,0,IFERROR(MATCH(AF$5,'Oxford Economics'!$A$6:$AZ$6,0),MATCH(AF$5&amp;"",'Oxford Economics'!$A$6:$AZ$6,0))),'Oxford Economics'!$A$7:$A$1000,$C65,'Oxford Economics'!$B$7:$B$1000,Settings!$B$17)))),""))</f>
        <v/>
      </c>
      <c r="AG65" s="37" t="str">
        <f aca="false">IF($A65="","",IFERROR(1/(1/IF($B65="Residential",SUMIFS(INDEX('Oxford Economics'!$A$7:$AZ$1000,0,IFERROR(MATCH(AG$5,'Oxford Economics'!$A$6:$AZ$6,0),MATCH(AG$5&amp;"",'Oxford Economics'!$A$6:$AZ$6,0))),'Oxford Economics'!$A$7:$A$1000,$C65,'Oxford Economics'!$B$7:$B$1000,Settings!$B$11)-SUMIFS(INDEX('Oxford Economics'!$A$7:$AZ$1000,0,IFERROR(MATCH(AG$5,'Oxford Economics'!$A$6:$AZ$6,0),MATCH(AG$5&amp;"",'Oxford Economics'!$A$6:$AZ$6,0))),'Oxford Economics'!$A$7:$A$1000,$C65,'Oxford Economics'!$B$7:$B$1000,Settings!$B$13),SUMIFS(INDEX('Oxford Economics'!$A$7:$AZ$1000,0,IFERROR(MATCH(AG$5,'Oxford Economics'!$A$6:$AZ$6,0),MATCH(AG$5&amp;"",'Oxford Economics'!$A$6:$AZ$6,0))),'Oxford Economics'!$A$7:$A$1000,$C65,'Oxford Economics'!$B$7:$B$1000,Settings!$B$13)+SUMIFS(INDEX('Oxford Economics'!$A$7:$AZ$1000,0,IFERROR(MATCH(AG$5,'Oxford Economics'!$A$6:$AZ$6,0),MATCH(AG$5&amp;"",'Oxford Economics'!$A$6:$AZ$6,0))),'Oxford Economics'!$A$7:$A$1000,$C65,'Oxford Economics'!$B$7:$B$1000,Settings!$B$15)+IF(Settings!$B$17="",0,SUMIFS(INDEX('Oxford Economics'!$A$7:$AZ$1000,0,IFERROR(MATCH(AG$5,'Oxford Economics'!$A$6:$AZ$6,0),MATCH(AG$5&amp;"",'Oxford Economics'!$A$6:$AZ$6,0))),'Oxford Economics'!$A$7:$A$1000,$C65,'Oxford Economics'!$B$7:$B$1000,Settings!$B$17)))),""))</f>
        <v/>
      </c>
      <c r="AH65" s="37" t="str">
        <f aca="false">IF($A65="","",IFERROR(1/(1/IF($B65="Residential",SUMIFS(INDEX('Oxford Economics'!$A$7:$AZ$1000,0,IFERROR(MATCH(AH$5,'Oxford Economics'!$A$6:$AZ$6,0),MATCH(AH$5&amp;"",'Oxford Economics'!$A$6:$AZ$6,0))),'Oxford Economics'!$A$7:$A$1000,$C65,'Oxford Economics'!$B$7:$B$1000,Settings!$B$11)-SUMIFS(INDEX('Oxford Economics'!$A$7:$AZ$1000,0,IFERROR(MATCH(AH$5,'Oxford Economics'!$A$6:$AZ$6,0),MATCH(AH$5&amp;"",'Oxford Economics'!$A$6:$AZ$6,0))),'Oxford Economics'!$A$7:$A$1000,$C65,'Oxford Economics'!$B$7:$B$1000,Settings!$B$13),SUMIFS(INDEX('Oxford Economics'!$A$7:$AZ$1000,0,IFERROR(MATCH(AH$5,'Oxford Economics'!$A$6:$AZ$6,0),MATCH(AH$5&amp;"",'Oxford Economics'!$A$6:$AZ$6,0))),'Oxford Economics'!$A$7:$A$1000,$C65,'Oxford Economics'!$B$7:$B$1000,Settings!$B$13)+SUMIFS(INDEX('Oxford Economics'!$A$7:$AZ$1000,0,IFERROR(MATCH(AH$5,'Oxford Economics'!$A$6:$AZ$6,0),MATCH(AH$5&amp;"",'Oxford Economics'!$A$6:$AZ$6,0))),'Oxford Economics'!$A$7:$A$1000,$C65,'Oxford Economics'!$B$7:$B$1000,Settings!$B$15)+IF(Settings!$B$17="",0,SUMIFS(INDEX('Oxford Economics'!$A$7:$AZ$1000,0,IFERROR(MATCH(AH$5,'Oxford Economics'!$A$6:$AZ$6,0),MATCH(AH$5&amp;"",'Oxford Economics'!$A$6:$AZ$6,0))),'Oxford Economics'!$A$7:$A$1000,$C65,'Oxford Economics'!$B$7:$B$1000,Settings!$B$17)))),""))</f>
        <v/>
      </c>
      <c r="AI65" s="37" t="str">
        <f aca="false">IF($A65="","",IFERROR(1/(1/IF($B65="Residential",SUMIFS(INDEX('Oxford Economics'!$A$7:$AZ$1000,0,IFERROR(MATCH(AI$5,'Oxford Economics'!$A$6:$AZ$6,0),MATCH(AI$5&amp;"",'Oxford Economics'!$A$6:$AZ$6,0))),'Oxford Economics'!$A$7:$A$1000,$C65,'Oxford Economics'!$B$7:$B$1000,Settings!$B$11)-SUMIFS(INDEX('Oxford Economics'!$A$7:$AZ$1000,0,IFERROR(MATCH(AI$5,'Oxford Economics'!$A$6:$AZ$6,0),MATCH(AI$5&amp;"",'Oxford Economics'!$A$6:$AZ$6,0))),'Oxford Economics'!$A$7:$A$1000,$C65,'Oxford Economics'!$B$7:$B$1000,Settings!$B$13),SUMIFS(INDEX('Oxford Economics'!$A$7:$AZ$1000,0,IFERROR(MATCH(AI$5,'Oxford Economics'!$A$6:$AZ$6,0),MATCH(AI$5&amp;"",'Oxford Economics'!$A$6:$AZ$6,0))),'Oxford Economics'!$A$7:$A$1000,$C65,'Oxford Economics'!$B$7:$B$1000,Settings!$B$13)+SUMIFS(INDEX('Oxford Economics'!$A$7:$AZ$1000,0,IFERROR(MATCH(AI$5,'Oxford Economics'!$A$6:$AZ$6,0),MATCH(AI$5&amp;"",'Oxford Economics'!$A$6:$AZ$6,0))),'Oxford Economics'!$A$7:$A$1000,$C65,'Oxford Economics'!$B$7:$B$1000,Settings!$B$15)+IF(Settings!$B$17="",0,SUMIFS(INDEX('Oxford Economics'!$A$7:$AZ$1000,0,IFERROR(MATCH(AI$5,'Oxford Economics'!$A$6:$AZ$6,0),MATCH(AI$5&amp;"",'Oxford Economics'!$A$6:$AZ$6,0))),'Oxford Economics'!$A$7:$A$1000,$C65,'Oxford Economics'!$B$7:$B$1000,Settings!$B$17)))),""))</f>
        <v/>
      </c>
      <c r="AJ65" s="37" t="str">
        <f aca="false">IF($A65="","",IFERROR(1/(1/IF($B65="Residential",SUMIFS(INDEX('Oxford Economics'!$A$7:$AZ$1000,0,IFERROR(MATCH(AJ$5,'Oxford Economics'!$A$6:$AZ$6,0),MATCH(AJ$5&amp;"",'Oxford Economics'!$A$6:$AZ$6,0))),'Oxford Economics'!$A$7:$A$1000,$C65,'Oxford Economics'!$B$7:$B$1000,Settings!$B$11)-SUMIFS(INDEX('Oxford Economics'!$A$7:$AZ$1000,0,IFERROR(MATCH(AJ$5,'Oxford Economics'!$A$6:$AZ$6,0),MATCH(AJ$5&amp;"",'Oxford Economics'!$A$6:$AZ$6,0))),'Oxford Economics'!$A$7:$A$1000,$C65,'Oxford Economics'!$B$7:$B$1000,Settings!$B$13),SUMIFS(INDEX('Oxford Economics'!$A$7:$AZ$1000,0,IFERROR(MATCH(AJ$5,'Oxford Economics'!$A$6:$AZ$6,0),MATCH(AJ$5&amp;"",'Oxford Economics'!$A$6:$AZ$6,0))),'Oxford Economics'!$A$7:$A$1000,$C65,'Oxford Economics'!$B$7:$B$1000,Settings!$B$13)+SUMIFS(INDEX('Oxford Economics'!$A$7:$AZ$1000,0,IFERROR(MATCH(AJ$5,'Oxford Economics'!$A$6:$AZ$6,0),MATCH(AJ$5&amp;"",'Oxford Economics'!$A$6:$AZ$6,0))),'Oxford Economics'!$A$7:$A$1000,$C65,'Oxford Economics'!$B$7:$B$1000,Settings!$B$15)+IF(Settings!$B$17="",0,SUMIFS(INDEX('Oxford Economics'!$A$7:$AZ$1000,0,IFERROR(MATCH(AJ$5,'Oxford Economics'!$A$6:$AZ$6,0),MATCH(AJ$5&amp;"",'Oxford Economics'!$A$6:$AZ$6,0))),'Oxford Economics'!$A$7:$A$1000,$C65,'Oxford Economics'!$B$7:$B$1000,Settings!$B$17)))),""))</f>
        <v/>
      </c>
      <c r="AK65" s="37" t="str">
        <f aca="false">IF($A65="","",IFERROR(1/(1/IF($B65="Residential",SUMIFS(INDEX('Oxford Economics'!$A$7:$AZ$1000,0,IFERROR(MATCH(AK$5,'Oxford Economics'!$A$6:$AZ$6,0),MATCH(AK$5&amp;"",'Oxford Economics'!$A$6:$AZ$6,0))),'Oxford Economics'!$A$7:$A$1000,$C65,'Oxford Economics'!$B$7:$B$1000,Settings!$B$11)-SUMIFS(INDEX('Oxford Economics'!$A$7:$AZ$1000,0,IFERROR(MATCH(AK$5,'Oxford Economics'!$A$6:$AZ$6,0),MATCH(AK$5&amp;"",'Oxford Economics'!$A$6:$AZ$6,0))),'Oxford Economics'!$A$7:$A$1000,$C65,'Oxford Economics'!$B$7:$B$1000,Settings!$B$13),SUMIFS(INDEX('Oxford Economics'!$A$7:$AZ$1000,0,IFERROR(MATCH(AK$5,'Oxford Economics'!$A$6:$AZ$6,0),MATCH(AK$5&amp;"",'Oxford Economics'!$A$6:$AZ$6,0))),'Oxford Economics'!$A$7:$A$1000,$C65,'Oxford Economics'!$B$7:$B$1000,Settings!$B$13)+SUMIFS(INDEX('Oxford Economics'!$A$7:$AZ$1000,0,IFERROR(MATCH(AK$5,'Oxford Economics'!$A$6:$AZ$6,0),MATCH(AK$5&amp;"",'Oxford Economics'!$A$6:$AZ$6,0))),'Oxford Economics'!$A$7:$A$1000,$C65,'Oxford Economics'!$B$7:$B$1000,Settings!$B$15)+IF(Settings!$B$17="",0,SUMIFS(INDEX('Oxford Economics'!$A$7:$AZ$1000,0,IFERROR(MATCH(AK$5,'Oxford Economics'!$A$6:$AZ$6,0),MATCH(AK$5&amp;"",'Oxford Economics'!$A$6:$AZ$6,0))),'Oxford Economics'!$A$7:$A$1000,$C65,'Oxford Economics'!$B$7:$B$1000,Settings!$B$17)))),""))</f>
        <v/>
      </c>
      <c r="AL65" s="37" t="str">
        <f aca="false">IF($A65="","",IFERROR(1/(1/IF($B65="Residential",SUMIFS(INDEX('Oxford Economics'!$A$7:$AZ$1000,0,IFERROR(MATCH(AL$5,'Oxford Economics'!$A$6:$AZ$6,0),MATCH(AL$5&amp;"",'Oxford Economics'!$A$6:$AZ$6,0))),'Oxford Economics'!$A$7:$A$1000,$C65,'Oxford Economics'!$B$7:$B$1000,Settings!$B$11)-SUMIFS(INDEX('Oxford Economics'!$A$7:$AZ$1000,0,IFERROR(MATCH(AL$5,'Oxford Economics'!$A$6:$AZ$6,0),MATCH(AL$5&amp;"",'Oxford Economics'!$A$6:$AZ$6,0))),'Oxford Economics'!$A$7:$A$1000,$C65,'Oxford Economics'!$B$7:$B$1000,Settings!$B$13),SUMIFS(INDEX('Oxford Economics'!$A$7:$AZ$1000,0,IFERROR(MATCH(AL$5,'Oxford Economics'!$A$6:$AZ$6,0),MATCH(AL$5&amp;"",'Oxford Economics'!$A$6:$AZ$6,0))),'Oxford Economics'!$A$7:$A$1000,$C65,'Oxford Economics'!$B$7:$B$1000,Settings!$B$13)+SUMIFS(INDEX('Oxford Economics'!$A$7:$AZ$1000,0,IFERROR(MATCH(AL$5,'Oxford Economics'!$A$6:$AZ$6,0),MATCH(AL$5&amp;"",'Oxford Economics'!$A$6:$AZ$6,0))),'Oxford Economics'!$A$7:$A$1000,$C65,'Oxford Economics'!$B$7:$B$1000,Settings!$B$15)+IF(Settings!$B$17="",0,SUMIFS(INDEX('Oxford Economics'!$A$7:$AZ$1000,0,IFERROR(MATCH(AL$5,'Oxford Economics'!$A$6:$AZ$6,0),MATCH(AL$5&amp;"",'Oxford Economics'!$A$6:$AZ$6,0))),'Oxford Economics'!$A$7:$A$1000,$C65,'Oxford Economics'!$B$7:$B$1000,Settings!$B$17)))),""))</f>
        <v/>
      </c>
      <c r="AM65" s="37" t="str">
        <f aca="false">IF($A65="","",IFERROR(1/(1/IF($B65="Residential",SUMIFS(INDEX('Oxford Economics'!$A$7:$AZ$1000,0,IFERROR(MATCH(AM$5,'Oxford Economics'!$A$6:$AZ$6,0),MATCH(AM$5&amp;"",'Oxford Economics'!$A$6:$AZ$6,0))),'Oxford Economics'!$A$7:$A$1000,$C65,'Oxford Economics'!$B$7:$B$1000,Settings!$B$11)-SUMIFS(INDEX('Oxford Economics'!$A$7:$AZ$1000,0,IFERROR(MATCH(AM$5,'Oxford Economics'!$A$6:$AZ$6,0),MATCH(AM$5&amp;"",'Oxford Economics'!$A$6:$AZ$6,0))),'Oxford Economics'!$A$7:$A$1000,$C65,'Oxford Economics'!$B$7:$B$1000,Settings!$B$13),SUMIFS(INDEX('Oxford Economics'!$A$7:$AZ$1000,0,IFERROR(MATCH(AM$5,'Oxford Economics'!$A$6:$AZ$6,0),MATCH(AM$5&amp;"",'Oxford Economics'!$A$6:$AZ$6,0))),'Oxford Economics'!$A$7:$A$1000,$C65,'Oxford Economics'!$B$7:$B$1000,Settings!$B$13)+SUMIFS(INDEX('Oxford Economics'!$A$7:$AZ$1000,0,IFERROR(MATCH(AM$5,'Oxford Economics'!$A$6:$AZ$6,0),MATCH(AM$5&amp;"",'Oxford Economics'!$A$6:$AZ$6,0))),'Oxford Economics'!$A$7:$A$1000,$C65,'Oxford Economics'!$B$7:$B$1000,Settings!$B$15)+IF(Settings!$B$17="",0,SUMIFS(INDEX('Oxford Economics'!$A$7:$AZ$1000,0,IFERROR(MATCH(AM$5,'Oxford Economics'!$A$6:$AZ$6,0),MATCH(AM$5&amp;"",'Oxford Economics'!$A$6:$AZ$6,0))),'Oxford Economics'!$A$7:$A$1000,$C65,'Oxford Economics'!$B$7:$B$1000,Settings!$B$17)))),""))</f>
        <v/>
      </c>
    </row>
  </sheetData>
  <mergeCells count="3">
    <mergeCell ref="D4:O4"/>
    <mergeCell ref="P4:AA4"/>
    <mergeCell ref="AB4:AM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7A7A"/>
    <pageSetUpPr fitToPage="false"/>
  </sheetPr>
  <dimension ref="A1:Y6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24" min="4" style="0" width="13"/>
    <col collapsed="false" customWidth="true" hidden="false" outlineLevel="0" max="25" min="25" style="0" width="34"/>
  </cols>
  <sheetData>
    <row r="1" customFormat="false" ht="27.75" hidden="false" customHeight="true" outlineLevel="0" collapsed="false">
      <c r="A1" s="1" t="s">
        <v>225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18" hidden="false" customHeight="true" outlineLevel="0" collapsed="false">
      <c r="A2" s="3" t="s">
        <v>226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customFormat="false" ht="15" hidden="false" customHeight="false" outlineLevel="0" collapsed="false">
      <c r="A3" s="18" t="s">
        <v>227</v>
      </c>
    </row>
    <row r="4" customFormat="false" ht="36" hidden="false" customHeight="true" outlineLevel="0" collapsed="false">
      <c r="A4" s="19" t="s">
        <v>191</v>
      </c>
      <c r="B4" s="19" t="s">
        <v>192</v>
      </c>
      <c r="C4" s="19" t="s">
        <v>193</v>
      </c>
      <c r="D4" s="19" t="str">
        <f aca="false">"Market size "&amp;(Settings!$B$7-1)</f>
        <v>Market size 2025</v>
      </c>
      <c r="E4" s="38" t="str">
        <f aca="false">"HFC sales "&amp;(Settings!$B$7-1)</f>
        <v>HFC sales 2025</v>
      </c>
      <c r="F4" s="19" t="str">
        <f aca="false">"Market CAGR "&amp;(Settings!$B$7-6)&amp;"-"&amp;(Settings!$B$7-1)&amp;" (%)"</f>
        <v>Market CAGR 2020-2025 (%)</v>
      </c>
      <c r="G4" s="19" t="str">
        <f aca="false">"Market growth "&amp;Settings!$B$7&amp;"E (%)"</f>
        <v>Market growth 2026E (%)</v>
      </c>
      <c r="H4" s="19" t="str">
        <f aca="false">"Market CAGR "&amp;Settings!$B$7&amp;"-"&amp;(Settings!$B$7+5)&amp;" (%)"</f>
        <v>Market CAGR 2026-2031 (%)</v>
      </c>
      <c r="I4" s="38" t="str">
        <f aca="false">"HFC CAGR "&amp;(Settings!$B$7-6)&amp;"-"&amp;(Settings!$B$7-1)&amp;" (%)"</f>
        <v>HFC CAGR 2020-2025 (%)</v>
      </c>
      <c r="J4" s="38" t="str">
        <f aca="false">"HFC growth "&amp;Settings!$B$7&amp;"F (%)"</f>
        <v>HFC growth 2026F (%)</v>
      </c>
      <c r="K4" s="38" t="str">
        <f aca="false">"HFC BP CAGR "&amp;Settings!$B$7&amp;"-"&amp;(Settings!$B$7+5)&amp;" (%)"</f>
        <v>HFC BP CAGR 2026-2031 (%)</v>
      </c>
      <c r="L4" s="38" t="str">
        <f aca="false">"HFC share "&amp;Settings!$B$7&amp;" (%)"</f>
        <v>HFC share 2026 (%)</v>
      </c>
      <c r="M4" s="38" t="str">
        <f aca="false">"HFC share "&amp;(Settings!$B$7-1)&amp;" (%)"</f>
        <v>HFC share 2025 (%)</v>
      </c>
      <c r="N4" s="19" t="s">
        <v>228</v>
      </c>
      <c r="O4" s="19" t="s">
        <v>229</v>
      </c>
      <c r="P4" s="19" t="s">
        <v>230</v>
      </c>
      <c r="Q4" s="19" t="s">
        <v>231</v>
      </c>
      <c r="R4" s="19" t="s">
        <v>232</v>
      </c>
      <c r="S4" s="19" t="str">
        <f aca="false">"Reno CAGR "&amp;(Settings!$B$7-6)&amp;"-"&amp;(Settings!$B$7-1)&amp;" (%)"</f>
        <v>Reno CAGR 2020-2025 (%)</v>
      </c>
      <c r="T4" s="19" t="str">
        <f aca="false">"Reno growth "&amp;Settings!$B$7&amp;"E (%)"</f>
        <v>Reno growth 2026E (%)</v>
      </c>
      <c r="U4" s="19" t="str">
        <f aca="false">"Reno CAGR "&amp;Settings!$B$7&amp;"-"&amp;(Settings!$B$7+5)&amp;" (%)"</f>
        <v>Reno CAGR 2026-2031 (%)</v>
      </c>
      <c r="V4" s="19" t="str">
        <f aca="false">"NB CAGR "&amp;(Settings!$B$7-6)&amp;"-"&amp;(Settings!$B$7-1)&amp;" (%)"</f>
        <v>NB CAGR 2020-2025 (%)</v>
      </c>
      <c r="W4" s="19" t="str">
        <f aca="false">"NB growth "&amp;Settings!$B$7&amp;"E (%)"</f>
        <v>NB growth 2026E (%)</v>
      </c>
      <c r="X4" s="19" t="str">
        <f aca="false">"NB CAGR "&amp;Settings!$B$7&amp;"-"&amp;(Settings!$B$7+5)&amp;" (%)"</f>
        <v>NB CAGR 2026-2031 (%)</v>
      </c>
      <c r="Y4" s="39" t="s">
        <v>233</v>
      </c>
    </row>
    <row r="5" customFormat="false" ht="15" hidden="false" customHeight="false" outlineLevel="0" collapsed="false">
      <c r="A5" s="40" t="s">
        <v>234</v>
      </c>
      <c r="B5" s="40" t="s">
        <v>235</v>
      </c>
      <c r="C5" s="40" t="s">
        <v>236</v>
      </c>
      <c r="D5" s="40" t="s">
        <v>237</v>
      </c>
      <c r="E5" s="40" t="s">
        <v>238</v>
      </c>
      <c r="F5" s="40" t="s">
        <v>239</v>
      </c>
      <c r="G5" s="40" t="s">
        <v>240</v>
      </c>
      <c r="H5" s="40" t="s">
        <v>241</v>
      </c>
      <c r="I5" s="40" t="s">
        <v>242</v>
      </c>
      <c r="J5" s="40" t="s">
        <v>243</v>
      </c>
      <c r="K5" s="40" t="s">
        <v>244</v>
      </c>
      <c r="L5" s="40" t="s">
        <v>245</v>
      </c>
      <c r="M5" s="40" t="s">
        <v>246</v>
      </c>
      <c r="N5" s="40" t="s">
        <v>247</v>
      </c>
      <c r="O5" s="40" t="s">
        <v>248</v>
      </c>
      <c r="P5" s="40" t="s">
        <v>249</v>
      </c>
      <c r="Q5" s="40" t="s">
        <v>250</v>
      </c>
      <c r="R5" s="40" t="s">
        <v>251</v>
      </c>
      <c r="S5" s="40" t="s">
        <v>252</v>
      </c>
      <c r="T5" s="40" t="s">
        <v>253</v>
      </c>
      <c r="U5" s="40" t="s">
        <v>254</v>
      </c>
      <c r="V5" s="40" t="s">
        <v>255</v>
      </c>
      <c r="W5" s="40" t="s">
        <v>256</v>
      </c>
      <c r="X5" s="40" t="s">
        <v>257</v>
      </c>
      <c r="Y5" s="15" t="s">
        <v>258</v>
      </c>
    </row>
    <row r="6" customFormat="false" ht="15" hidden="false" customHeight="false" outlineLevel="0" collapsed="false">
      <c r="A6" s="36" t="str">
        <f aca="false">IF(TRIM('Raw data'!A6)="","",TRIM('Raw data'!A6))</f>
        <v>Poland</v>
      </c>
      <c r="B6" s="36" t="str">
        <f aca="false">IF($A6="","",IF('Raw data'!B6="",UPPER(LEFT($A6,3)),'Raw data'!B6))</f>
        <v>PL</v>
      </c>
      <c r="C6" s="36" t="str">
        <f aca="false">IF($A6="","",'Raw data'!C6)</f>
        <v>Residential</v>
      </c>
      <c r="D6" s="37" t="n">
        <f aca="false">IF(OR($A6="",'Raw data'!E6=""),"",'Raw data'!E6)</f>
        <v>115</v>
      </c>
      <c r="E6" s="37" t="n">
        <f aca="false">IF(OR($A6="",'Raw data'!Q6=""),"",'Raw data'!Q6)</f>
        <v>5.8</v>
      </c>
      <c r="F6" s="41" t="n">
        <f aca="false">IF($A6="","",IF(ISNUMBER('Raw data'!G6),'Raw data'!G6*100,""))</f>
        <v>-1.95992504134664</v>
      </c>
      <c r="G6" s="41" t="n">
        <f aca="false">IF($A6="","",IF(ISNUMBER('Raw data'!H6),'Raw data'!H6*100,""))</f>
        <v>6.54305043526753</v>
      </c>
      <c r="H6" s="41" t="n">
        <f aca="false">IF($A6="","",IF(ISNUMBER('Raw data'!I6),'Raw data'!I6*100,""))</f>
        <v>2.25015243342797</v>
      </c>
      <c r="I6" s="41" t="n">
        <f aca="false">IF($A6="","",IF(ISNUMBER('Raw data'!R6),'Raw data'!R6*100,""))</f>
        <v>9</v>
      </c>
      <c r="J6" s="41" t="n">
        <f aca="false">IF($A6="","",IF(ISNUMBER('Raw data'!S6),'Raw data'!S6*100,""))</f>
        <v>8.5</v>
      </c>
      <c r="K6" s="41" t="n">
        <f aca="false">IF($A6="","",IF(ISNUMBER('Raw data'!T6),'Raw data'!T6*100,""))</f>
        <v>10</v>
      </c>
      <c r="L6" s="41" t="n">
        <f aca="false">IF($A6="","",IF('Raw data'!V6&lt;&gt;"",'Raw data'!V6*100,IF(AND(N('Raw data'!E6)&gt;0,'Raw data'!Q6&lt;&gt;""),'Raw data'!Q6*(1+N('Raw data'!S6))/('Raw data'!E6*(1+N('Raw data'!H6)))*100,"")))</f>
        <v>5.13611529863997</v>
      </c>
      <c r="M6" s="41" t="n">
        <f aca="false">IF($A6="","",IF('Raw data'!U6&lt;&gt;"",'Raw data'!U6*100,IF(AND(N('Raw data'!E6)&gt;0,'Raw data'!Q6&lt;&gt;""),'Raw data'!Q6/'Raw data'!E6*100,"")))</f>
        <v>5.04347826086957</v>
      </c>
      <c r="N6" s="42" t="n">
        <f aca="false">IF($A6="","",IF(ISNUMBER('Raw data'!W6),'Raw data'!W6,""))</f>
        <v>3</v>
      </c>
      <c r="O6" s="42" t="n">
        <f aca="false">IF($A6="","",IF(ISNUMBER('Raw data'!X6),'Raw data'!X6,""))</f>
        <v>3</v>
      </c>
      <c r="P6" s="42" t="n">
        <f aca="false">IF($A6="","",IF(ISNUMBER('Raw data'!Y6),'Raw data'!Y6,""))</f>
        <v>2</v>
      </c>
      <c r="Q6" s="42" t="n">
        <f aca="false">IF($A6="","",IF(ISNUMBER('Raw data'!Z6),'Raw data'!Z6,""))</f>
        <v>4</v>
      </c>
      <c r="R6" s="42" t="n">
        <f aca="false">IF($A6="","",IF(ISNUMBER('Raw data'!J6),'Raw data'!J6*100,""))</f>
        <v>53.2586976052542</v>
      </c>
      <c r="S6" s="41" t="n">
        <f aca="false">IF($A6="","",IF(ISNUMBER('Raw data'!K6),'Raw data'!K6*100,""))</f>
        <v>2.11153330698004</v>
      </c>
      <c r="T6" s="41" t="n">
        <f aca="false">IF($A6="","",IF(ISNUMBER('Raw data'!L6),'Raw data'!L6*100,""))</f>
        <v>18.5850826359149</v>
      </c>
      <c r="U6" s="41" t="n">
        <f aca="false">IF($A6="","",IF(ISNUMBER('Raw data'!M6),'Raw data'!M6*100,""))</f>
        <v>1.41805398769062</v>
      </c>
      <c r="V6" s="41" t="n">
        <f aca="false">IF($A6="","",IF(ISNUMBER('Raw data'!N6),'Raw data'!N6*100,""))</f>
        <v>-5.62343157624903</v>
      </c>
      <c r="W6" s="41" t="n">
        <f aca="false">IF($A6="","",IF(ISNUMBER('Raw data'!O6),'Raw data'!O6*100,""))</f>
        <v>-7.17806811873972</v>
      </c>
      <c r="X6" s="41" t="n">
        <f aca="false">IF($A6="","",IF(ISNUMBER('Raw data'!P6),'Raw data'!P6*100,""))</f>
        <v>3.41503028428385</v>
      </c>
      <c r="Y6" s="43" t="n">
        <f aca="false">IF($A6="","",IF(AND(ISNUMBER('Raw data'!J6),ISNUMBER('Raw data'!H6),ISNUMBER('Raw data'!L6),ISNUMBER('Raw data'!O6)),ROUND(('Raw data'!J6*'Raw data'!L6+(1-'Raw data'!J6)*'Raw data'!O6-'Raw data'!H6)*100,1),""))</f>
        <v>0</v>
      </c>
    </row>
    <row r="7" customFormat="false" ht="15" hidden="false" customHeight="false" outlineLevel="0" collapsed="false">
      <c r="A7" s="36" t="str">
        <f aca="false">IF(TRIM('Raw data'!A7)="","",TRIM('Raw data'!A7))</f>
        <v>Poland</v>
      </c>
      <c r="B7" s="36" t="str">
        <f aca="false">IF($A7="","",IF('Raw data'!B7="",UPPER(LEFT($A7,3)),'Raw data'!B7))</f>
        <v>PL</v>
      </c>
      <c r="C7" s="36" t="str">
        <f aca="false">IF($A7="","",'Raw data'!C7)</f>
        <v>Commercial</v>
      </c>
      <c r="D7" s="37" t="n">
        <f aca="false">IF(OR($A7="",'Raw data'!E7=""),"",'Raw data'!E7)</f>
        <v>260</v>
      </c>
      <c r="E7" s="37" t="n">
        <f aca="false">IF(OR($A7="",'Raw data'!Q7=""),"",'Raw data'!Q7)</f>
        <v>9.9</v>
      </c>
      <c r="F7" s="41" t="n">
        <f aca="false">IF($A7="","",IF(ISNUMBER('Raw data'!G7),'Raw data'!G7*100,""))</f>
        <v>0.341472045997371</v>
      </c>
      <c r="G7" s="41" t="n">
        <f aca="false">IF($A7="","",IF(ISNUMBER('Raw data'!H7),'Raw data'!H7*100,""))</f>
        <v>5.96590775647863</v>
      </c>
      <c r="H7" s="41" t="n">
        <f aca="false">IF($A7="","",IF(ISNUMBER('Raw data'!I7),'Raw data'!I7*100,""))</f>
        <v>2.34508339237622</v>
      </c>
      <c r="I7" s="41" t="n">
        <f aca="false">IF($A7="","",IF(ISNUMBER('Raw data'!R7),'Raw data'!R7*100,""))</f>
        <v>9.5</v>
      </c>
      <c r="J7" s="41" t="n">
        <f aca="false">IF($A7="","",IF(ISNUMBER('Raw data'!S7),'Raw data'!S7*100,""))</f>
        <v>9</v>
      </c>
      <c r="K7" s="41" t="n">
        <f aca="false">IF($A7="","",IF(ISNUMBER('Raw data'!T7),'Raw data'!T7*100,""))</f>
        <v>10.5</v>
      </c>
      <c r="L7" s="41" t="n">
        <f aca="false">IF($A7="","",IF('Raw data'!V7&lt;&gt;"",'Raw data'!V7*100,IF(AND(N('Raw data'!E7)&gt;0,'Raw data'!Q7&lt;&gt;""),'Raw data'!Q7*(1+N('Raw data'!S7))/('Raw data'!E7*(1+N('Raw data'!H7)))*100,"")))</f>
        <v>3.91671689815809</v>
      </c>
      <c r="M7" s="41" t="n">
        <f aca="false">IF($A7="","",IF('Raw data'!U7&lt;&gt;"",'Raw data'!U7*100,IF(AND(N('Raw data'!E7)&gt;0,'Raw data'!Q7&lt;&gt;""),'Raw data'!Q7/'Raw data'!E7*100,"")))</f>
        <v>3.80769230769231</v>
      </c>
      <c r="N7" s="42" t="n">
        <f aca="false">IF($A7="","",IF(ISNUMBER('Raw data'!W7),'Raw data'!W7,""))</f>
        <v>3</v>
      </c>
      <c r="O7" s="42" t="n">
        <f aca="false">IF($A7="","",IF(ISNUMBER('Raw data'!X7),'Raw data'!X7,""))</f>
        <v>3</v>
      </c>
      <c r="P7" s="42" t="n">
        <f aca="false">IF($A7="","",IF(ISNUMBER('Raw data'!Y7),'Raw data'!Y7,""))</f>
        <v>2</v>
      </c>
      <c r="Q7" s="42" t="n">
        <f aca="false">IF($A7="","",IF(ISNUMBER('Raw data'!Z7),'Raw data'!Z7,""))</f>
        <v>4</v>
      </c>
      <c r="R7" s="42" t="n">
        <f aca="false">IF($A7="","",IF(ISNUMBER('Raw data'!J7),'Raw data'!J7*100,""))</f>
        <v>32.7015747987786</v>
      </c>
      <c r="S7" s="41" t="n">
        <f aca="false">IF($A7="","",IF(ISNUMBER('Raw data'!K7),'Raw data'!K7*100,""))</f>
        <v>0.993674664251398</v>
      </c>
      <c r="T7" s="41" t="n">
        <f aca="false">IF($A7="","",IF(ISNUMBER('Raw data'!L7),'Raw data'!L7*100,""))</f>
        <v>16.5138225650388</v>
      </c>
      <c r="U7" s="41" t="n">
        <f aca="false">IF($A7="","",IF(ISNUMBER('Raw data'!M7),'Raw data'!M7*100,""))</f>
        <v>2.04915356177162</v>
      </c>
      <c r="V7" s="41" t="n">
        <f aca="false">IF($A7="","",IF(ISNUMBER('Raw data'!N7),'Raw data'!N7*100,""))</f>
        <v>0.0334978916365802</v>
      </c>
      <c r="W7" s="41" t="n">
        <f aca="false">IF($A7="","",IF(ISNUMBER('Raw data'!O7),'Raw data'!O7*100,""))</f>
        <v>0.840476900527287</v>
      </c>
      <c r="X7" s="41" t="n">
        <f aca="false">IF($A7="","",IF(ISNUMBER('Raw data'!P7),'Raw data'!P7*100,""))</f>
        <v>2.50974263653638</v>
      </c>
      <c r="Y7" s="43" t="n">
        <f aca="false">IF($A7="","",IF(AND(ISNUMBER('Raw data'!J7),ISNUMBER('Raw data'!H7),ISNUMBER('Raw data'!L7),ISNUMBER('Raw data'!O7)),ROUND(('Raw data'!J7*'Raw data'!L7+(1-'Raw data'!J7)*'Raw data'!O7-'Raw data'!H7)*100,1),""))</f>
        <v>0</v>
      </c>
    </row>
    <row r="8" customFormat="false" ht="15" hidden="false" customHeight="false" outlineLevel="0" collapsed="false">
      <c r="A8" s="36" t="str">
        <f aca="false">IF(TRIM('Raw data'!A8)="","",TRIM('Raw data'!A8))</f>
        <v>Czech Republic</v>
      </c>
      <c r="B8" s="36" t="str">
        <f aca="false">IF($A8="","",IF('Raw data'!B8="",UPPER(LEFT($A8,3)),'Raw data'!B8))</f>
        <v>CZ</v>
      </c>
      <c r="C8" s="36" t="str">
        <f aca="false">IF($A8="","",'Raw data'!C8)</f>
        <v>Residential</v>
      </c>
      <c r="D8" s="37" t="n">
        <f aca="false">IF(OR($A8="",'Raw data'!E8=""),"",'Raw data'!E8)</f>
        <v>65</v>
      </c>
      <c r="E8" s="37" t="n">
        <f aca="false">IF(OR($A8="",'Raw data'!Q8=""),"",'Raw data'!Q8)</f>
        <v>3.9</v>
      </c>
      <c r="F8" s="41" t="n">
        <f aca="false">IF($A8="","",IF(ISNUMBER('Raw data'!G8),'Raw data'!G8*100,""))</f>
        <v>-2.40851177496964</v>
      </c>
      <c r="G8" s="41" t="n">
        <f aca="false">IF($A8="","",IF(ISNUMBER('Raw data'!H8),'Raw data'!H8*100,""))</f>
        <v>-1.68148143071558</v>
      </c>
      <c r="H8" s="41" t="n">
        <f aca="false">IF($A8="","",IF(ISNUMBER('Raw data'!I8),'Raw data'!I8*100,""))</f>
        <v>2.19043525508911</v>
      </c>
      <c r="I8" s="41" t="n">
        <f aca="false">IF($A8="","",IF(ISNUMBER('Raw data'!R8),'Raw data'!R8*100,""))</f>
        <v>6</v>
      </c>
      <c r="J8" s="41" t="n">
        <f aca="false">IF($A8="","",IF(ISNUMBER('Raw data'!S8),'Raw data'!S8*100,""))</f>
        <v>5</v>
      </c>
      <c r="K8" s="41" t="n">
        <f aca="false">IF($A8="","",IF(ISNUMBER('Raw data'!T8),'Raw data'!T8*100,""))</f>
        <v>7</v>
      </c>
      <c r="L8" s="41" t="n">
        <f aca="false">IF($A8="","",IF('Raw data'!V8&lt;&gt;"",'Raw data'!V8*100,IF(AND(N('Raw data'!E8)&gt;0,'Raw data'!Q8&lt;&gt;""),'Raw data'!Q8*(1+N('Raw data'!S8))/('Raw data'!E8*(1+N('Raw data'!H8)))*100,"")))</f>
        <v>6.40774504302608</v>
      </c>
      <c r="M8" s="41" t="n">
        <f aca="false">IF($A8="","",IF('Raw data'!U8&lt;&gt;"",'Raw data'!U8*100,IF(AND(N('Raw data'!E8)&gt;0,'Raw data'!Q8&lt;&gt;""),'Raw data'!Q8/'Raw data'!E8*100,"")))</f>
        <v>6</v>
      </c>
      <c r="N8" s="42" t="n">
        <f aca="false">IF($A8="","",IF(ISNUMBER('Raw data'!W8),'Raw data'!W8,""))</f>
        <v>3</v>
      </c>
      <c r="O8" s="42" t="n">
        <f aca="false">IF($A8="","",IF(ISNUMBER('Raw data'!X8),'Raw data'!X8,""))</f>
        <v>3</v>
      </c>
      <c r="P8" s="42" t="n">
        <f aca="false">IF($A8="","",IF(ISNUMBER('Raw data'!Y8),'Raw data'!Y8,""))</f>
        <v>3</v>
      </c>
      <c r="Q8" s="42" t="n">
        <f aca="false">IF($A8="","",IF(ISNUMBER('Raw data'!Z8),'Raw data'!Z8,""))</f>
        <v>3</v>
      </c>
      <c r="R8" s="42" t="n">
        <f aca="false">IF($A8="","",IF(ISNUMBER('Raw data'!J8),'Raw data'!J8*100,""))</f>
        <v>32.3363922337283</v>
      </c>
      <c r="S8" s="41" t="n">
        <f aca="false">IF($A8="","",IF(ISNUMBER('Raw data'!K8),'Raw data'!K8*100,""))</f>
        <v>3.19288971282656</v>
      </c>
      <c r="T8" s="41" t="n">
        <f aca="false">IF($A8="","",IF(ISNUMBER('Raw data'!L8),'Raw data'!L8*100,""))</f>
        <v>-9.42818387978723</v>
      </c>
      <c r="U8" s="41" t="n">
        <f aca="false">IF($A8="","",IF(ISNUMBER('Raw data'!M8),'Raw data'!M8*100,""))</f>
        <v>3.10685186979185</v>
      </c>
      <c r="V8" s="41" t="n">
        <f aca="false">IF($A8="","",IF(ISNUMBER('Raw data'!N8),'Raw data'!N8*100,""))</f>
        <v>-4.53359898789375</v>
      </c>
      <c r="W8" s="41" t="n">
        <f aca="false">IF($A8="","",IF(ISNUMBER('Raw data'!O8),'Raw data'!O8*100,""))</f>
        <v>2.02066241264052</v>
      </c>
      <c r="X8" s="41" t="n">
        <f aca="false">IF($A8="","",IF(ISNUMBER('Raw data'!P8),'Raw data'!P8*100,""))</f>
        <v>1.79148899833346</v>
      </c>
      <c r="Y8" s="43" t="n">
        <f aca="false">IF($A8="","",IF(AND(ISNUMBER('Raw data'!J8),ISNUMBER('Raw data'!H8),ISNUMBER('Raw data'!L8),ISNUMBER('Raw data'!O8)),ROUND(('Raw data'!J8*'Raw data'!L8+(1-'Raw data'!J8)*'Raw data'!O8-'Raw data'!H8)*100,1),""))</f>
        <v>0</v>
      </c>
    </row>
    <row r="9" customFormat="false" ht="15" hidden="false" customHeight="false" outlineLevel="0" collapsed="false">
      <c r="A9" s="36" t="str">
        <f aca="false">IF(TRIM('Raw data'!A9)="","",TRIM('Raw data'!A9))</f>
        <v>Czech Republic</v>
      </c>
      <c r="B9" s="36" t="str">
        <f aca="false">IF($A9="","",IF('Raw data'!B9="",UPPER(LEFT($A9,3)),'Raw data'!B9))</f>
        <v>CZ</v>
      </c>
      <c r="C9" s="36" t="str">
        <f aca="false">IF($A9="","",'Raw data'!C9)</f>
        <v>Commercial</v>
      </c>
      <c r="D9" s="37" t="n">
        <f aca="false">IF(OR($A9="",'Raw data'!E9=""),"",'Raw data'!E9)</f>
        <v>85</v>
      </c>
      <c r="E9" s="37" t="n">
        <f aca="false">IF(OR($A9="",'Raw data'!Q9=""),"",'Raw data'!Q9)</f>
        <v>3.4</v>
      </c>
      <c r="F9" s="41" t="n">
        <f aca="false">IF($A9="","",IF(ISNUMBER('Raw data'!G9),'Raw data'!G9*100,""))</f>
        <v>-0.337034520083179</v>
      </c>
      <c r="G9" s="41" t="n">
        <f aca="false">IF($A9="","",IF(ISNUMBER('Raw data'!H9),'Raw data'!H9*100,""))</f>
        <v>5.11502462007294</v>
      </c>
      <c r="H9" s="41" t="n">
        <f aca="false">IF($A9="","",IF(ISNUMBER('Raw data'!I9),'Raw data'!I9*100,""))</f>
        <v>4.00035541568586</v>
      </c>
      <c r="I9" s="41" t="n">
        <f aca="false">IF($A9="","",IF(ISNUMBER('Raw data'!R9),'Raw data'!R9*100,""))</f>
        <v>6.5</v>
      </c>
      <c r="J9" s="41" t="n">
        <f aca="false">IF($A9="","",IF(ISNUMBER('Raw data'!S9),'Raw data'!S9*100,""))</f>
        <v>5.5</v>
      </c>
      <c r="K9" s="41" t="n">
        <f aca="false">IF($A9="","",IF(ISNUMBER('Raw data'!T9),'Raw data'!T9*100,""))</f>
        <v>7.5</v>
      </c>
      <c r="L9" s="41" t="n">
        <f aca="false">IF($A9="","",IF('Raw data'!V9&lt;&gt;"",'Raw data'!V9*100,IF(AND(N('Raw data'!E9)&gt;0,'Raw data'!Q9&lt;&gt;""),'Raw data'!Q9*(1+N('Raw data'!S9))/('Raw data'!E9*(1+N('Raw data'!H9)))*100,"")))</f>
        <v>4.01464968043602</v>
      </c>
      <c r="M9" s="41" t="n">
        <f aca="false">IF($A9="","",IF('Raw data'!U9&lt;&gt;"",'Raw data'!U9*100,IF(AND(N('Raw data'!E9)&gt;0,'Raw data'!Q9&lt;&gt;""),'Raw data'!Q9/'Raw data'!E9*100,"")))</f>
        <v>4</v>
      </c>
      <c r="N9" s="42" t="n">
        <f aca="false">IF($A9="","",IF(ISNUMBER('Raw data'!W9),'Raw data'!W9,""))</f>
        <v>3</v>
      </c>
      <c r="O9" s="42" t="n">
        <f aca="false">IF($A9="","",IF(ISNUMBER('Raw data'!X9),'Raw data'!X9,""))</f>
        <v>3</v>
      </c>
      <c r="P9" s="42" t="n">
        <f aca="false">IF($A9="","",IF(ISNUMBER('Raw data'!Y9),'Raw data'!Y9,""))</f>
        <v>3</v>
      </c>
      <c r="Q9" s="42" t="n">
        <f aca="false">IF($A9="","",IF(ISNUMBER('Raw data'!Z9),'Raw data'!Z9,""))</f>
        <v>3</v>
      </c>
      <c r="R9" s="42" t="n">
        <f aca="false">IF($A9="","",IF(ISNUMBER('Raw data'!J9),'Raw data'!J9*100,""))</f>
        <v>31.8157287683266</v>
      </c>
      <c r="S9" s="41" t="n">
        <f aca="false">IF($A9="","",IF(ISNUMBER('Raw data'!K9),'Raw data'!K9*100,""))</f>
        <v>-0.0172368597403549</v>
      </c>
      <c r="T9" s="41" t="n">
        <f aca="false">IF($A9="","",IF(ISNUMBER('Raw data'!L9),'Raw data'!L9*100,""))</f>
        <v>3.57060445232513</v>
      </c>
      <c r="U9" s="41" t="n">
        <f aca="false">IF($A9="","",IF(ISNUMBER('Raw data'!M9),'Raw data'!M9*100,""))</f>
        <v>5.41595511445643</v>
      </c>
      <c r="V9" s="41" t="n">
        <f aca="false">IF($A9="","",IF(ISNUMBER('Raw data'!N9),'Raw data'!N9*100,""))</f>
        <v>-0.48417679935393</v>
      </c>
      <c r="W9" s="41" t="n">
        <f aca="false">IF($A9="","",IF(ISNUMBER('Raw data'!O9),'Raw data'!O9*100,""))</f>
        <v>5.83567253892274</v>
      </c>
      <c r="X9" s="41" t="n">
        <f aca="false">IF($A9="","",IF(ISNUMBER('Raw data'!P9),'Raw data'!P9*100,""))</f>
        <v>3.32746428625212</v>
      </c>
      <c r="Y9" s="43" t="n">
        <f aca="false">IF($A9="","",IF(AND(ISNUMBER('Raw data'!J9),ISNUMBER('Raw data'!H9),ISNUMBER('Raw data'!L9),ISNUMBER('Raw data'!O9)),ROUND(('Raw data'!J9*'Raw data'!L9+(1-'Raw data'!J9)*'Raw data'!O9-'Raw data'!H9)*100,1),""))</f>
        <v>0</v>
      </c>
    </row>
    <row r="10" customFormat="false" ht="15" hidden="false" customHeight="false" outlineLevel="0" collapsed="false">
      <c r="A10" s="36" t="str">
        <f aca="false">IF(TRIM('Raw data'!A10)="","",TRIM('Raw data'!A10))</f>
        <v>Hungary</v>
      </c>
      <c r="B10" s="36" t="str">
        <f aca="false">IF($A10="","",IF('Raw data'!B10="",UPPER(LEFT($A10,3)),'Raw data'!B10))</f>
        <v>HU</v>
      </c>
      <c r="C10" s="36" t="str">
        <f aca="false">IF($A10="","",'Raw data'!C10)</f>
        <v>Residential</v>
      </c>
      <c r="D10" s="37" t="n">
        <f aca="false">IF(OR($A10="",'Raw data'!E10=""),"",'Raw data'!E10)</f>
        <v>20</v>
      </c>
      <c r="E10" s="37" t="n">
        <f aca="false">IF(OR($A10="",'Raw data'!Q10=""),"",'Raw data'!Q10)</f>
        <v>0.8</v>
      </c>
      <c r="F10" s="41" t="n">
        <f aca="false">IF($A10="","",IF(ISNUMBER('Raw data'!G10),'Raw data'!G10*100,""))</f>
        <v>-0.33333537733401</v>
      </c>
      <c r="G10" s="41" t="n">
        <f aca="false">IF($A10="","",IF(ISNUMBER('Raw data'!H10),'Raw data'!H10*100,""))</f>
        <v>8.69175672855187</v>
      </c>
      <c r="H10" s="41" t="n">
        <f aca="false">IF($A10="","",IF(ISNUMBER('Raw data'!I10),'Raw data'!I10*100,""))</f>
        <v>0.646351483566021</v>
      </c>
      <c r="I10" s="41" t="n">
        <f aca="false">IF($A10="","",IF(ISNUMBER('Raw data'!R10),'Raw data'!R10*100,""))</f>
        <v>5</v>
      </c>
      <c r="J10" s="41" t="n">
        <f aca="false">IF($A10="","",IF(ISNUMBER('Raw data'!S10),'Raw data'!S10*100,""))</f>
        <v>3</v>
      </c>
      <c r="K10" s="41" t="n">
        <f aca="false">IF($A10="","",IF(ISNUMBER('Raw data'!T10),'Raw data'!T10*100,""))</f>
        <v>6</v>
      </c>
      <c r="L10" s="41" t="n">
        <f aca="false">IF($A10="","",IF('Raw data'!V10&lt;&gt;"",'Raw data'!V10*100,IF(AND(N('Raw data'!E10)&gt;0,'Raw data'!Q10&lt;&gt;""),'Raw data'!Q10*(1+N('Raw data'!S10))/('Raw data'!E10*(1+N('Raw data'!H10)))*100,"")))</f>
        <v>3.79053584559254</v>
      </c>
      <c r="M10" s="41" t="n">
        <f aca="false">IF($A10="","",IF('Raw data'!U10&lt;&gt;"",'Raw data'!U10*100,IF(AND(N('Raw data'!E10)&gt;0,'Raw data'!Q10&lt;&gt;""),'Raw data'!Q10/'Raw data'!E10*100,"")))</f>
        <v>4</v>
      </c>
      <c r="N10" s="42" t="n">
        <f aca="false">IF($A10="","",IF(ISNUMBER('Raw data'!W10),'Raw data'!W10,""))</f>
        <v>2</v>
      </c>
      <c r="O10" s="42" t="n">
        <f aca="false">IF($A10="","",IF(ISNUMBER('Raw data'!X10),'Raw data'!X10,""))</f>
        <v>3</v>
      </c>
      <c r="P10" s="42" t="n">
        <f aca="false">IF($A10="","",IF(ISNUMBER('Raw data'!Y10),'Raw data'!Y10,""))</f>
        <v>2</v>
      </c>
      <c r="Q10" s="42" t="n">
        <f aca="false">IF($A10="","",IF(ISNUMBER('Raw data'!Z10),'Raw data'!Z10,""))</f>
        <v>3</v>
      </c>
      <c r="R10" s="42" t="n">
        <f aca="false">IF($A10="","",IF(ISNUMBER('Raw data'!J10),'Raw data'!J10*100,""))</f>
        <v>53.0159489714364</v>
      </c>
      <c r="S10" s="41" t="n">
        <f aca="false">IF($A10="","",IF(ISNUMBER('Raw data'!K10),'Raw data'!K10*100,""))</f>
        <v>2.6370963125081</v>
      </c>
      <c r="T10" s="41" t="n">
        <f aca="false">IF($A10="","",IF(ISNUMBER('Raw data'!L10),'Raw data'!L10*100,""))</f>
        <v>-1.69188815486249</v>
      </c>
      <c r="U10" s="41" t="n">
        <f aca="false">IF($A10="","",IF(ISNUMBER('Raw data'!M10),'Raw data'!M10*100,""))</f>
        <v>5.28241378587315</v>
      </c>
      <c r="V10" s="41" t="n">
        <f aca="false">IF($A10="","",IF(ISNUMBER('Raw data'!N10),'Raw data'!N10*100,""))</f>
        <v>-3.14966623547504</v>
      </c>
      <c r="W10" s="41" t="n">
        <f aca="false">IF($A10="","",IF(ISNUMBER('Raw data'!O10),'Raw data'!O10*100,""))</f>
        <v>20.408472831681</v>
      </c>
      <c r="X10" s="41" t="n">
        <f aca="false">IF($A10="","",IF(ISNUMBER('Raw data'!P10),'Raw data'!P10*100,""))</f>
        <v>-4.54546149649131</v>
      </c>
      <c r="Y10" s="43" t="n">
        <f aca="false">IF($A10="","",IF(AND(ISNUMBER('Raw data'!J10),ISNUMBER('Raw data'!H10),ISNUMBER('Raw data'!L10),ISNUMBER('Raw data'!O10)),ROUND(('Raw data'!J10*'Raw data'!L10+(1-'Raw data'!J10)*'Raw data'!O10-'Raw data'!H10)*100,1),""))</f>
        <v>0</v>
      </c>
    </row>
    <row r="11" customFormat="false" ht="15" hidden="false" customHeight="false" outlineLevel="0" collapsed="false">
      <c r="A11" s="36" t="str">
        <f aca="false">IF(TRIM('Raw data'!A11)="","",TRIM('Raw data'!A11))</f>
        <v>Hungary</v>
      </c>
      <c r="B11" s="36" t="str">
        <f aca="false">IF($A11="","",IF('Raw data'!B11="",UPPER(LEFT($A11,3)),'Raw data'!B11))</f>
        <v>HU</v>
      </c>
      <c r="C11" s="36" t="str">
        <f aca="false">IF($A11="","",'Raw data'!C11)</f>
        <v>Commercial</v>
      </c>
      <c r="D11" s="37" t="n">
        <f aca="false">IF(OR($A11="",'Raw data'!E11=""),"",'Raw data'!E11)</f>
        <v>40</v>
      </c>
      <c r="E11" s="37" t="n">
        <f aca="false">IF(OR($A11="",'Raw data'!Q11=""),"",'Raw data'!Q11)</f>
        <v>1.2</v>
      </c>
      <c r="F11" s="41" t="n">
        <f aca="false">IF($A11="","",IF(ISNUMBER('Raw data'!G11),'Raw data'!G11*100,""))</f>
        <v>0.844826606355431</v>
      </c>
      <c r="G11" s="41" t="n">
        <f aca="false">IF($A11="","",IF(ISNUMBER('Raw data'!H11),'Raw data'!H11*100,""))</f>
        <v>11.6684490030625</v>
      </c>
      <c r="H11" s="41" t="n">
        <f aca="false">IF($A11="","",IF(ISNUMBER('Raw data'!I11),'Raw data'!I11*100,""))</f>
        <v>2.68761815236398</v>
      </c>
      <c r="I11" s="41" t="n">
        <f aca="false">IF($A11="","",IF(ISNUMBER('Raw data'!R11),'Raw data'!R11*100,""))</f>
        <v>5.5</v>
      </c>
      <c r="J11" s="41" t="n">
        <f aca="false">IF($A11="","",IF(ISNUMBER('Raw data'!S11),'Raw data'!S11*100,""))</f>
        <v>3.5</v>
      </c>
      <c r="K11" s="41" t="n">
        <f aca="false">IF($A11="","",IF(ISNUMBER('Raw data'!T11),'Raw data'!T11*100,""))</f>
        <v>6.5</v>
      </c>
      <c r="L11" s="41" t="n">
        <f aca="false">IF($A11="","",IF('Raw data'!V11&lt;&gt;"",'Raw data'!V11*100,IF(AND(N('Raw data'!E11)&gt;0,'Raw data'!Q11&lt;&gt;""),'Raw data'!Q11*(1+N('Raw data'!S11))/('Raw data'!E11*(1+N('Raw data'!H11)))*100,"")))</f>
        <v>2.78055263390902</v>
      </c>
      <c r="M11" s="41" t="n">
        <f aca="false">IF($A11="","",IF('Raw data'!U11&lt;&gt;"",'Raw data'!U11*100,IF(AND(N('Raw data'!E11)&gt;0,'Raw data'!Q11&lt;&gt;""),'Raw data'!Q11/'Raw data'!E11*100,"")))</f>
        <v>3</v>
      </c>
      <c r="N11" s="42" t="n">
        <f aca="false">IF($A11="","",IF(ISNUMBER('Raw data'!W11),'Raw data'!W11,""))</f>
        <v>2</v>
      </c>
      <c r="O11" s="42" t="n">
        <f aca="false">IF($A11="","",IF(ISNUMBER('Raw data'!X11),'Raw data'!X11,""))</f>
        <v>3</v>
      </c>
      <c r="P11" s="42" t="n">
        <f aca="false">IF($A11="","",IF(ISNUMBER('Raw data'!Y11),'Raw data'!Y11,""))</f>
        <v>2</v>
      </c>
      <c r="Q11" s="42" t="n">
        <f aca="false">IF($A11="","",IF(ISNUMBER('Raw data'!Z11),'Raw data'!Z11,""))</f>
        <v>3</v>
      </c>
      <c r="R11" s="42" t="n">
        <f aca="false">IF($A11="","",IF(ISNUMBER('Raw data'!J11),'Raw data'!J11*100,""))</f>
        <v>49.522411904446</v>
      </c>
      <c r="S11" s="41" t="n">
        <f aca="false">IF($A11="","",IF(ISNUMBER('Raw data'!K11),'Raw data'!K11*100,""))</f>
        <v>4.31067043011753</v>
      </c>
      <c r="T11" s="41" t="n">
        <f aca="false">IF($A11="","",IF(ISNUMBER('Raw data'!L11),'Raw data'!L11*100,""))</f>
        <v>13.7299819259384</v>
      </c>
      <c r="U11" s="41" t="n">
        <f aca="false">IF($A11="","",IF(ISNUMBER('Raw data'!M11),'Raw data'!M11*100,""))</f>
        <v>0.749737665613659</v>
      </c>
      <c r="V11" s="41" t="n">
        <f aca="false">IF($A11="","",IF(ISNUMBER('Raw data'!N11),'Raw data'!N11*100,""))</f>
        <v>-1.97775033065249</v>
      </c>
      <c r="W11" s="41" t="n">
        <f aca="false">IF($A11="","",IF(ISNUMBER('Raw data'!O11),'Raw data'!O11*100,""))</f>
        <v>9.64592600992789</v>
      </c>
      <c r="X11" s="41" t="n">
        <f aca="false">IF($A11="","",IF(ISNUMBER('Raw data'!P11),'Raw data'!P11*100,""))</f>
        <v>4.52003053264212</v>
      </c>
      <c r="Y11" s="43" t="n">
        <f aca="false">IF($A11="","",IF(AND(ISNUMBER('Raw data'!J11),ISNUMBER('Raw data'!H11),ISNUMBER('Raw data'!L11),ISNUMBER('Raw data'!O11)),ROUND(('Raw data'!J11*'Raw data'!L11+(1-'Raw data'!J11)*'Raw data'!O11-'Raw data'!H11)*100,1),""))</f>
        <v>0</v>
      </c>
    </row>
    <row r="12" customFormat="false" ht="15" hidden="false" customHeight="false" outlineLevel="0" collapsed="false">
      <c r="A12" s="36" t="str">
        <f aca="false">IF(TRIM('Raw data'!A12)="","",TRIM('Raw data'!A12))</f>
        <v>Netherlands</v>
      </c>
      <c r="B12" s="36" t="str">
        <f aca="false">IF($A12="","",IF('Raw data'!B12="",UPPER(LEFT($A12,3)),'Raw data'!B12))</f>
        <v>NL</v>
      </c>
      <c r="C12" s="36" t="str">
        <f aca="false">IF($A12="","",'Raw data'!C12)</f>
        <v>Residential</v>
      </c>
      <c r="D12" s="37" t="n">
        <f aca="false">IF(OR($A12="",'Raw data'!E12=""),"",'Raw data'!E12)</f>
        <v>320</v>
      </c>
      <c r="E12" s="37" t="n">
        <f aca="false">IF(OR($A12="",'Raw data'!Q12=""),"",'Raw data'!Q12)</f>
        <v>51.2</v>
      </c>
      <c r="F12" s="41" t="n">
        <f aca="false">IF($A12="","",IF(ISNUMBER('Raw data'!G12),'Raw data'!G12*100,""))</f>
        <v>1.63457022077107</v>
      </c>
      <c r="G12" s="41" t="n">
        <f aca="false">IF($A12="","",IF(ISNUMBER('Raw data'!H12),'Raw data'!H12*100,""))</f>
        <v>1.31534409044378</v>
      </c>
      <c r="H12" s="41" t="n">
        <f aca="false">IF($A12="","",IF(ISNUMBER('Raw data'!I12),'Raw data'!I12*100,""))</f>
        <v>2.89869339370692</v>
      </c>
      <c r="I12" s="41" t="n">
        <f aca="false">IF($A12="","",IF(ISNUMBER('Raw data'!R12),'Raw data'!R12*100,""))</f>
        <v>3.5</v>
      </c>
      <c r="J12" s="41" t="n">
        <f aca="false">IF($A12="","",IF(ISNUMBER('Raw data'!S12),'Raw data'!S12*100,""))</f>
        <v>2</v>
      </c>
      <c r="K12" s="41" t="n">
        <f aca="false">IF($A12="","",IF(ISNUMBER('Raw data'!T12),'Raw data'!T12*100,""))</f>
        <v>3</v>
      </c>
      <c r="L12" s="41" t="n">
        <f aca="false">IF($A12="","",IF('Raw data'!V12&lt;&gt;"",'Raw data'!V12*100,IF(AND(N('Raw data'!E12)&gt;0,'Raw data'!Q12&lt;&gt;""),'Raw data'!Q12*(1+N('Raw data'!S12))/('Raw data'!E12*(1+N('Raw data'!H12)))*100,"")))</f>
        <v>16.1081227592054</v>
      </c>
      <c r="M12" s="41" t="n">
        <f aca="false">IF($A12="","",IF('Raw data'!U12&lt;&gt;"",'Raw data'!U12*100,IF(AND(N('Raw data'!E12)&gt;0,'Raw data'!Q12&lt;&gt;""),'Raw data'!Q12/'Raw data'!E12*100,"")))</f>
        <v>16</v>
      </c>
      <c r="N12" s="42" t="n">
        <f aca="false">IF($A12="","",IF(ISNUMBER('Raw data'!W12),'Raw data'!W12,""))</f>
        <v>4</v>
      </c>
      <c r="O12" s="42" t="n">
        <f aca="false">IF($A12="","",IF(ISNUMBER('Raw data'!X12),'Raw data'!X12,""))</f>
        <v>3</v>
      </c>
      <c r="P12" s="42" t="n">
        <f aca="false">IF($A12="","",IF(ISNUMBER('Raw data'!Y12),'Raw data'!Y12,""))</f>
        <v>5</v>
      </c>
      <c r="Q12" s="42" t="n">
        <f aca="false">IF($A12="","",IF(ISNUMBER('Raw data'!Z12),'Raw data'!Z12,""))</f>
        <v>4</v>
      </c>
      <c r="R12" s="42" t="n">
        <f aca="false">IF($A12="","",IF(ISNUMBER('Raw data'!J12),'Raw data'!J12*100,""))</f>
        <v>61.3365049438262</v>
      </c>
      <c r="S12" s="41" t="n">
        <f aca="false">IF($A12="","",IF(ISNUMBER('Raw data'!K12),'Raw data'!K12*100,""))</f>
        <v>3.87654221228175</v>
      </c>
      <c r="T12" s="41" t="n">
        <f aca="false">IF($A12="","",IF(ISNUMBER('Raw data'!L12),'Raw data'!L12*100,""))</f>
        <v>0.339175244460854</v>
      </c>
      <c r="U12" s="41" t="n">
        <f aca="false">IF($A12="","",IF(ISNUMBER('Raw data'!M12),'Raw data'!M12*100,""))</f>
        <v>3.49653818762163</v>
      </c>
      <c r="V12" s="41" t="n">
        <f aca="false">IF($A12="","",IF(ISNUMBER('Raw data'!N12),'Raw data'!N12*100,""))</f>
        <v>-1.40534901957474</v>
      </c>
      <c r="W12" s="41" t="n">
        <f aca="false">IF($A12="","",IF(ISNUMBER('Raw data'!O12),'Raw data'!O12*100,""))</f>
        <v>2.86395693986801</v>
      </c>
      <c r="X12" s="41" t="n">
        <f aca="false">IF($A12="","",IF(ISNUMBER('Raw data'!P12),'Raw data'!P12*100,""))</f>
        <v>1.94522013587353</v>
      </c>
      <c r="Y12" s="43" t="n">
        <f aca="false">IF($A12="","",IF(AND(ISNUMBER('Raw data'!J12),ISNUMBER('Raw data'!H12),ISNUMBER('Raw data'!L12),ISNUMBER('Raw data'!O12)),ROUND(('Raw data'!J12*'Raw data'!L12+(1-'Raw data'!J12)*'Raw data'!O12-'Raw data'!H12)*100,1),""))</f>
        <v>0</v>
      </c>
    </row>
    <row r="13" customFormat="false" ht="15" hidden="false" customHeight="false" outlineLevel="0" collapsed="false">
      <c r="A13" s="36" t="str">
        <f aca="false">IF(TRIM('Raw data'!A13)="","",TRIM('Raw data'!A13))</f>
        <v>Netherlands</v>
      </c>
      <c r="B13" s="36" t="str">
        <f aca="false">IF($A13="","",IF('Raw data'!B13="",UPPER(LEFT($A13,3)),'Raw data'!B13))</f>
        <v>NL</v>
      </c>
      <c r="C13" s="36" t="str">
        <f aca="false">IF($A13="","",'Raw data'!C13)</f>
        <v>Commercial</v>
      </c>
      <c r="D13" s="37" t="n">
        <f aca="false">IF(OR($A13="",'Raw data'!E13=""),"",'Raw data'!E13)</f>
        <v>270</v>
      </c>
      <c r="E13" s="37" t="n">
        <f aca="false">IF(OR($A13="",'Raw data'!Q13=""),"",'Raw data'!Q13)</f>
        <v>36.5</v>
      </c>
      <c r="F13" s="41" t="n">
        <f aca="false">IF($A13="","",IF(ISNUMBER('Raw data'!G13),'Raw data'!G13*100,""))</f>
        <v>2.41636167909041</v>
      </c>
      <c r="G13" s="41" t="n">
        <f aca="false">IF($A13="","",IF(ISNUMBER('Raw data'!H13),'Raw data'!H13*100,""))</f>
        <v>2.67648673793428</v>
      </c>
      <c r="H13" s="41" t="n">
        <f aca="false">IF($A13="","",IF(ISNUMBER('Raw data'!I13),'Raw data'!I13*100,""))</f>
        <v>2.89147714067022</v>
      </c>
      <c r="I13" s="41" t="n">
        <f aca="false">IF($A13="","",IF(ISNUMBER('Raw data'!R13),'Raw data'!R13*100,""))</f>
        <v>4</v>
      </c>
      <c r="J13" s="41" t="n">
        <f aca="false">IF($A13="","",IF(ISNUMBER('Raw data'!S13),'Raw data'!S13*100,""))</f>
        <v>2.5</v>
      </c>
      <c r="K13" s="41" t="n">
        <f aca="false">IF($A13="","",IF(ISNUMBER('Raw data'!T13),'Raw data'!T13*100,""))</f>
        <v>3.5</v>
      </c>
      <c r="L13" s="41" t="n">
        <f aca="false">IF($A13="","",IF('Raw data'!V13&lt;&gt;"",'Raw data'!V13*100,IF(AND(N('Raw data'!E13)&gt;0,'Raw data'!Q13&lt;&gt;""),'Raw data'!Q13*(1+N('Raw data'!S13))/('Raw data'!E13*(1+N('Raw data'!H13)))*100,"")))</f>
        <v>13.4952820472403</v>
      </c>
      <c r="M13" s="41" t="n">
        <f aca="false">IF($A13="","",IF('Raw data'!U13&lt;&gt;"",'Raw data'!U13*100,IF(AND(N('Raw data'!E13)&gt;0,'Raw data'!Q13&lt;&gt;""),'Raw data'!Q13/'Raw data'!E13*100,"")))</f>
        <v>13.5185185185185</v>
      </c>
      <c r="N13" s="42" t="n">
        <f aca="false">IF($A13="","",IF(ISNUMBER('Raw data'!W13),'Raw data'!W13,""))</f>
        <v>4</v>
      </c>
      <c r="O13" s="42" t="n">
        <f aca="false">IF($A13="","",IF(ISNUMBER('Raw data'!X13),'Raw data'!X13,""))</f>
        <v>3</v>
      </c>
      <c r="P13" s="42" t="n">
        <f aca="false">IF($A13="","",IF(ISNUMBER('Raw data'!Y13),'Raw data'!Y13,""))</f>
        <v>5</v>
      </c>
      <c r="Q13" s="42" t="n">
        <f aca="false">IF($A13="","",IF(ISNUMBER('Raw data'!Z13),'Raw data'!Z13,""))</f>
        <v>4</v>
      </c>
      <c r="R13" s="42" t="n">
        <f aca="false">IF($A13="","",IF(ISNUMBER('Raw data'!J13),'Raw data'!J13*100,""))</f>
        <v>42.9948284542553</v>
      </c>
      <c r="S13" s="41" t="n">
        <f aca="false">IF($A13="","",IF(ISNUMBER('Raw data'!K13),'Raw data'!K13*100,""))</f>
        <v>0.692442654922432</v>
      </c>
      <c r="T13" s="41" t="n">
        <f aca="false">IF($A13="","",IF(ISNUMBER('Raw data'!L13),'Raw data'!L13*100,""))</f>
        <v>2.52759090146857</v>
      </c>
      <c r="U13" s="41" t="n">
        <f aca="false">IF($A13="","",IF(ISNUMBER('Raw data'!M13),'Raw data'!M13*100,""))</f>
        <v>3.79030127118749</v>
      </c>
      <c r="V13" s="41" t="n">
        <f aca="false">IF($A13="","",IF(ISNUMBER('Raw data'!N13),'Raw data'!N13*100,""))</f>
        <v>3.84261657086995</v>
      </c>
      <c r="W13" s="41" t="n">
        <f aca="false">IF($A13="","",IF(ISNUMBER('Raw data'!O13),'Raw data'!O13*100,""))</f>
        <v>2.78878796908235</v>
      </c>
      <c r="X13" s="41" t="n">
        <f aca="false">IF($A13="","",IF(ISNUMBER('Raw data'!P13),'Raw data'!P13*100,""))</f>
        <v>2.19397195404747</v>
      </c>
      <c r="Y13" s="43" t="n">
        <f aca="false">IF($A13="","",IF(AND(ISNUMBER('Raw data'!J13),ISNUMBER('Raw data'!H13),ISNUMBER('Raw data'!L13),ISNUMBER('Raw data'!O13)),ROUND(('Raw data'!J13*'Raw data'!L13+(1-'Raw data'!J13)*'Raw data'!O13-'Raw data'!H13)*100,1),""))</f>
        <v>-0</v>
      </c>
    </row>
    <row r="14" customFormat="false" ht="15" hidden="false" customHeight="false" outlineLevel="0" collapsed="false">
      <c r="A14" s="36" t="str">
        <f aca="false">IF(TRIM('Raw data'!A14)="","",TRIM('Raw data'!A14))</f>
        <v>Sweden</v>
      </c>
      <c r="B14" s="36" t="str">
        <f aca="false">IF($A14="","",IF('Raw data'!B14="",UPPER(LEFT($A14,3)),'Raw data'!B14))</f>
        <v>SE</v>
      </c>
      <c r="C14" s="36" t="str">
        <f aca="false">IF($A14="","",'Raw data'!C14)</f>
        <v>Residential</v>
      </c>
      <c r="D14" s="37" t="n">
        <f aca="false">IF(OR($A14="",'Raw data'!E14=""),"",'Raw data'!E14)</f>
        <v>90</v>
      </c>
      <c r="E14" s="37" t="n">
        <f aca="false">IF(OR($A14="",'Raw data'!Q14=""),"",'Raw data'!Q14)</f>
        <v>6.3</v>
      </c>
      <c r="F14" s="41" t="n">
        <f aca="false">IF($A14="","",IF(ISNUMBER('Raw data'!G14),'Raw data'!G14*100,""))</f>
        <v>-0.0390270398990311</v>
      </c>
      <c r="G14" s="41" t="n">
        <f aca="false">IF($A14="","",IF(ISNUMBER('Raw data'!H14),'Raw data'!H14*100,""))</f>
        <v>2.05347279014041</v>
      </c>
      <c r="H14" s="41" t="n">
        <f aca="false">IF($A14="","",IF(ISNUMBER('Raw data'!I14),'Raw data'!I14*100,""))</f>
        <v>2.57026876814164</v>
      </c>
      <c r="I14" s="41" t="n">
        <f aca="false">IF($A14="","",IF(ISNUMBER('Raw data'!R14),'Raw data'!R14*100,""))</f>
        <v>1</v>
      </c>
      <c r="J14" s="41" t="n">
        <f aca="false">IF($A14="","",IF(ISNUMBER('Raw data'!S14),'Raw data'!S14*100,""))</f>
        <v>0</v>
      </c>
      <c r="K14" s="41" t="n">
        <f aca="false">IF($A14="","",IF(ISNUMBER('Raw data'!T14),'Raw data'!T14*100,""))</f>
        <v>3.5</v>
      </c>
      <c r="L14" s="41" t="n">
        <f aca="false">IF($A14="","",IF('Raw data'!V14&lt;&gt;"",'Raw data'!V14*100,IF(AND(N('Raw data'!E14)&gt;0,'Raw data'!Q14&lt;&gt;""),'Raw data'!Q14*(1+N('Raw data'!S14))/('Raw data'!E14*(1+N('Raw data'!H14)))*100,"")))</f>
        <v>6.85914923678745</v>
      </c>
      <c r="M14" s="41" t="n">
        <f aca="false">IF($A14="","",IF('Raw data'!U14&lt;&gt;"",'Raw data'!U14*100,IF(AND(N('Raw data'!E14)&gt;0,'Raw data'!Q14&lt;&gt;""),'Raw data'!Q14/'Raw data'!E14*100,"")))</f>
        <v>7</v>
      </c>
      <c r="N14" s="42" t="n">
        <f aca="false">IF($A14="","",IF(ISNUMBER('Raw data'!W14),'Raw data'!W14,""))</f>
        <v>4</v>
      </c>
      <c r="O14" s="42" t="n">
        <f aca="false">IF($A14="","",IF(ISNUMBER('Raw data'!X14),'Raw data'!X14,""))</f>
        <v>3</v>
      </c>
      <c r="P14" s="42" t="n">
        <f aca="false">IF($A14="","",IF(ISNUMBER('Raw data'!Y14),'Raw data'!Y14,""))</f>
        <v>3</v>
      </c>
      <c r="Q14" s="42" t="n">
        <f aca="false">IF($A14="","",IF(ISNUMBER('Raw data'!Z14),'Raw data'!Z14,""))</f>
        <v>3</v>
      </c>
      <c r="R14" s="42" t="n">
        <f aca="false">IF($A14="","",IF(ISNUMBER('Raw data'!J14),'Raw data'!J14*100,""))</f>
        <v>60.6806888668895</v>
      </c>
      <c r="S14" s="41" t="n">
        <f aca="false">IF($A14="","",IF(ISNUMBER('Raw data'!K14),'Raw data'!K14*100,""))</f>
        <v>4.59838541730646</v>
      </c>
      <c r="T14" s="41" t="n">
        <f aca="false">IF($A14="","",IF(ISNUMBER('Raw data'!L14),'Raw data'!L14*100,""))</f>
        <v>-0.483916094939019</v>
      </c>
      <c r="U14" s="41" t="n">
        <f aca="false">IF($A14="","",IF(ISNUMBER('Raw data'!M14),'Raw data'!M14*100,""))</f>
        <v>2.66223472909226</v>
      </c>
      <c r="V14" s="41" t="n">
        <f aca="false">IF($A14="","",IF(ISNUMBER('Raw data'!N14),'Raw data'!N14*100,""))</f>
        <v>-5.33889216975546</v>
      </c>
      <c r="W14" s="41" t="n">
        <f aca="false">IF($A14="","",IF(ISNUMBER('Raw data'!O14),'Raw data'!O14*100,""))</f>
        <v>5.9693731717255</v>
      </c>
      <c r="X14" s="41" t="n">
        <f aca="false">IF($A14="","",IF(ISNUMBER('Raw data'!P14),'Raw data'!P14*100,""))</f>
        <v>2.43639450466462</v>
      </c>
      <c r="Y14" s="43" t="n">
        <f aca="false">IF($A14="","",IF(AND(ISNUMBER('Raw data'!J14),ISNUMBER('Raw data'!H14),ISNUMBER('Raw data'!L14),ISNUMBER('Raw data'!O14)),ROUND(('Raw data'!J14*'Raw data'!L14+(1-'Raw data'!J14)*'Raw data'!O14-'Raw data'!H14)*100,1),""))</f>
        <v>0</v>
      </c>
    </row>
    <row r="15" customFormat="false" ht="15" hidden="false" customHeight="false" outlineLevel="0" collapsed="false">
      <c r="A15" s="36" t="str">
        <f aca="false">IF(TRIM('Raw data'!A15)="","",TRIM('Raw data'!A15))</f>
        <v>Sweden</v>
      </c>
      <c r="B15" s="36" t="str">
        <f aca="false">IF($A15="","",IF('Raw data'!B15="",UPPER(LEFT($A15,3)),'Raw data'!B15))</f>
        <v>SE</v>
      </c>
      <c r="C15" s="36" t="str">
        <f aca="false">IF($A15="","",'Raw data'!C15)</f>
        <v>Commercial</v>
      </c>
      <c r="D15" s="37" t="n">
        <f aca="false">IF(OR($A15="",'Raw data'!E15=""),"",'Raw data'!E15)</f>
        <v>185</v>
      </c>
      <c r="E15" s="37" t="n">
        <f aca="false">IF(OR($A15="",'Raw data'!Q15=""),"",'Raw data'!Q15)</f>
        <v>10.2</v>
      </c>
      <c r="F15" s="41" t="n">
        <f aca="false">IF($A15="","",IF(ISNUMBER('Raw data'!G15),'Raw data'!G15*100,""))</f>
        <v>-0.402900622497826</v>
      </c>
      <c r="G15" s="41" t="n">
        <f aca="false">IF($A15="","",IF(ISNUMBER('Raw data'!H15),'Raw data'!H15*100,""))</f>
        <v>-0.652981438720612</v>
      </c>
      <c r="H15" s="41" t="n">
        <f aca="false">IF($A15="","",IF(ISNUMBER('Raw data'!I15),'Raw data'!I15*100,""))</f>
        <v>2.26991071956315</v>
      </c>
      <c r="I15" s="41" t="n">
        <f aca="false">IF($A15="","",IF(ISNUMBER('Raw data'!R15),'Raw data'!R15*100,""))</f>
        <v>1.5</v>
      </c>
      <c r="J15" s="41" t="n">
        <f aca="false">IF($A15="","",IF(ISNUMBER('Raw data'!S15),'Raw data'!S15*100,""))</f>
        <v>0.5</v>
      </c>
      <c r="K15" s="41" t="n">
        <f aca="false">IF($A15="","",IF(ISNUMBER('Raw data'!T15),'Raw data'!T15*100,""))</f>
        <v>4</v>
      </c>
      <c r="L15" s="41" t="n">
        <f aca="false">IF($A15="","",IF('Raw data'!V15&lt;&gt;"",'Raw data'!V15*100,IF(AND(N('Raw data'!E15)&gt;0,'Raw data'!Q15&lt;&gt;""),'Raw data'!Q15*(1+N('Raw data'!S15))/('Raw data'!E15*(1+N('Raw data'!H15)))*100,"")))</f>
        <v>5.57750112819261</v>
      </c>
      <c r="M15" s="41" t="n">
        <f aca="false">IF($A15="","",IF('Raw data'!U15&lt;&gt;"",'Raw data'!U15*100,IF(AND(N('Raw data'!E15)&gt;0,'Raw data'!Q15&lt;&gt;""),'Raw data'!Q15/'Raw data'!E15*100,"")))</f>
        <v>5.51351351351351</v>
      </c>
      <c r="N15" s="42" t="n">
        <f aca="false">IF($A15="","",IF(ISNUMBER('Raw data'!W15),'Raw data'!W15,""))</f>
        <v>4</v>
      </c>
      <c r="O15" s="42" t="n">
        <f aca="false">IF($A15="","",IF(ISNUMBER('Raw data'!X15),'Raw data'!X15,""))</f>
        <v>3</v>
      </c>
      <c r="P15" s="42" t="n">
        <f aca="false">IF($A15="","",IF(ISNUMBER('Raw data'!Y15),'Raw data'!Y15,""))</f>
        <v>3</v>
      </c>
      <c r="Q15" s="42" t="n">
        <f aca="false">IF($A15="","",IF(ISNUMBER('Raw data'!Z15),'Raw data'!Z15,""))</f>
        <v>3</v>
      </c>
      <c r="R15" s="42" t="n">
        <f aca="false">IF($A15="","",IF(ISNUMBER('Raw data'!J15),'Raw data'!J15*100,""))</f>
        <v>54.1020840838358</v>
      </c>
      <c r="S15" s="41" t="n">
        <f aca="false">IF($A15="","",IF(ISNUMBER('Raw data'!K15),'Raw data'!K15*100,""))</f>
        <v>5.01975479380685</v>
      </c>
      <c r="T15" s="41" t="n">
        <f aca="false">IF($A15="","",IF(ISNUMBER('Raw data'!L15),'Raw data'!L15*100,""))</f>
        <v>-2.39303756292871</v>
      </c>
      <c r="U15" s="41" t="n">
        <f aca="false">IF($A15="","",IF(ISNUMBER('Raw data'!M15),'Raw data'!M15*100,""))</f>
        <v>2.66289617092792</v>
      </c>
      <c r="V15" s="41" t="n">
        <f aca="false">IF($A15="","",IF(ISNUMBER('Raw data'!N15),'Raw data'!N15*100,""))</f>
        <v>-5.1187487299301</v>
      </c>
      <c r="W15" s="41" t="n">
        <f aca="false">IF($A15="","",IF(ISNUMBER('Raw data'!O15),'Raw data'!O15*100,""))</f>
        <v>1.39810652166641</v>
      </c>
      <c r="X15" s="41" t="n">
        <f aca="false">IF($A15="","",IF(ISNUMBER('Raw data'!P15),'Raw data'!P15*100,""))</f>
        <v>1.81655774098575</v>
      </c>
      <c r="Y15" s="43" t="n">
        <f aca="false">IF($A15="","",IF(AND(ISNUMBER('Raw data'!J15),ISNUMBER('Raw data'!H15),ISNUMBER('Raw data'!L15),ISNUMBER('Raw data'!O15)),ROUND(('Raw data'!J15*'Raw data'!L15+(1-'Raw data'!J15)*'Raw data'!O15-'Raw data'!H15)*100,1),""))</f>
        <v>0</v>
      </c>
    </row>
    <row r="16" customFormat="false" ht="15" hidden="false" customHeight="false" outlineLevel="0" collapsed="false">
      <c r="A16" s="36" t="str">
        <f aca="false">IF(TRIM('Raw data'!A16)="","",TRIM('Raw data'!A16))</f>
        <v>Norway</v>
      </c>
      <c r="B16" s="36" t="str">
        <f aca="false">IF($A16="","",IF('Raw data'!B16="",UPPER(LEFT($A16,3)),'Raw data'!B16))</f>
        <v>NO</v>
      </c>
      <c r="C16" s="36" t="str">
        <f aca="false">IF($A16="","",'Raw data'!C16)</f>
        <v>Residential</v>
      </c>
      <c r="D16" s="37" t="n">
        <f aca="false">IF(OR($A16="",'Raw data'!E16=""),"",'Raw data'!E16)</f>
        <v>50</v>
      </c>
      <c r="E16" s="37" t="n">
        <f aca="false">IF(OR($A16="",'Raw data'!Q16=""),"",'Raw data'!Q16)</f>
        <v>3.8</v>
      </c>
      <c r="F16" s="41" t="n">
        <f aca="false">IF($A16="","",IF(ISNUMBER('Raw data'!G16),'Raw data'!G16*100,""))</f>
        <v>-2.44620040690535</v>
      </c>
      <c r="G16" s="41" t="n">
        <f aca="false">IF($A16="","",IF(ISNUMBER('Raw data'!H16),'Raw data'!H16*100,""))</f>
        <v>-5.56125893658148</v>
      </c>
      <c r="H16" s="41" t="n">
        <f aca="false">IF($A16="","",IF(ISNUMBER('Raw data'!I16),'Raw data'!I16*100,""))</f>
        <v>2.86285547308702</v>
      </c>
      <c r="I16" s="41" t="n">
        <f aca="false">IF($A16="","",IF(ISNUMBER('Raw data'!R16),'Raw data'!R16*100,""))</f>
        <v>1.5</v>
      </c>
      <c r="J16" s="41" t="n">
        <f aca="false">IF($A16="","",IF(ISNUMBER('Raw data'!S16),'Raw data'!S16*100,""))</f>
        <v>0.5</v>
      </c>
      <c r="K16" s="41" t="n">
        <f aca="false">IF($A16="","",IF(ISNUMBER('Raw data'!T16),'Raw data'!T16*100,""))</f>
        <v>3</v>
      </c>
      <c r="L16" s="41" t="n">
        <f aca="false">IF($A16="","",IF('Raw data'!V16&lt;&gt;"",'Raw data'!V16*100,IF(AND(N('Raw data'!E16)&gt;0,'Raw data'!Q16&lt;&gt;""),'Raw data'!Q16*(1+N('Raw data'!S16))/('Raw data'!E16*(1+N('Raw data'!H16)))*100,"")))</f>
        <v>8.08778252864558</v>
      </c>
      <c r="M16" s="41" t="n">
        <f aca="false">IF($A16="","",IF('Raw data'!U16&lt;&gt;"",'Raw data'!U16*100,IF(AND(N('Raw data'!E16)&gt;0,'Raw data'!Q16&lt;&gt;""),'Raw data'!Q16/'Raw data'!E16*100,"")))</f>
        <v>7.6</v>
      </c>
      <c r="N16" s="42" t="n">
        <f aca="false">IF($A16="","",IF(ISNUMBER('Raw data'!W16),'Raw data'!W16,""))</f>
        <v>4</v>
      </c>
      <c r="O16" s="42" t="n">
        <f aca="false">IF($A16="","",IF(ISNUMBER('Raw data'!X16),'Raw data'!X16,""))</f>
        <v>3</v>
      </c>
      <c r="P16" s="42" t="n">
        <f aca="false">IF($A16="","",IF(ISNUMBER('Raw data'!Y16),'Raw data'!Y16,""))</f>
        <v>3</v>
      </c>
      <c r="Q16" s="42" t="n">
        <f aca="false">IF($A16="","",IF(ISNUMBER('Raw data'!Z16),'Raw data'!Z16,""))</f>
        <v>3</v>
      </c>
      <c r="R16" s="42" t="n">
        <f aca="false">IF($A16="","",IF(ISNUMBER('Raw data'!J16),'Raw data'!J16*100,""))</f>
        <v>75.231911804149</v>
      </c>
      <c r="S16" s="41" t="n">
        <f aca="false">IF($A16="","",IF(ISNUMBER('Raw data'!K16),'Raw data'!K16*100,""))</f>
        <v>0.918783915111576</v>
      </c>
      <c r="T16" s="41" t="n">
        <f aca="false">IF($A16="","",IF(ISNUMBER('Raw data'!L16),'Raw data'!L16*100,""))</f>
        <v>-5.98883739227715</v>
      </c>
      <c r="U16" s="41" t="n">
        <f aca="false">IF($A16="","",IF(ISNUMBER('Raw data'!M16),'Raw data'!M16*100,""))</f>
        <v>2.1261829806934</v>
      </c>
      <c r="V16" s="41" t="n">
        <f aca="false">IF($A16="","",IF(ISNUMBER('Raw data'!N16),'Raw data'!N16*100,""))</f>
        <v>-9.72647889181081</v>
      </c>
      <c r="W16" s="41" t="n">
        <f aca="false">IF($A16="","",IF(ISNUMBER('Raw data'!O16),'Raw data'!O16*100,""))</f>
        <v>-4.26250933532482</v>
      </c>
      <c r="X16" s="41" t="n">
        <f aca="false">IF($A16="","",IF(ISNUMBER('Raw data'!P16),'Raw data'!P16*100,""))</f>
        <v>4.94301639433219</v>
      </c>
      <c r="Y16" s="43" t="n">
        <f aca="false">IF($A16="","",IF(AND(ISNUMBER('Raw data'!J16),ISNUMBER('Raw data'!H16),ISNUMBER('Raw data'!L16),ISNUMBER('Raw data'!O16)),ROUND(('Raw data'!J16*'Raw data'!L16+(1-'Raw data'!J16)*'Raw data'!O16-'Raw data'!H16)*100,1),""))</f>
        <v>0</v>
      </c>
    </row>
    <row r="17" customFormat="false" ht="15" hidden="false" customHeight="false" outlineLevel="0" collapsed="false">
      <c r="A17" s="36" t="str">
        <f aca="false">IF(TRIM('Raw data'!A17)="","",TRIM('Raw data'!A17))</f>
        <v>Norway</v>
      </c>
      <c r="B17" s="36" t="str">
        <f aca="false">IF($A17="","",IF('Raw data'!B17="",UPPER(LEFT($A17,3)),'Raw data'!B17))</f>
        <v>NO</v>
      </c>
      <c r="C17" s="36" t="str">
        <f aca="false">IF($A17="","",'Raw data'!C17)</f>
        <v>Commercial</v>
      </c>
      <c r="D17" s="37" t="n">
        <f aca="false">IF(OR($A17="",'Raw data'!E17=""),"",'Raw data'!E17)</f>
        <v>130</v>
      </c>
      <c r="E17" s="37" t="n">
        <f aca="false">IF(OR($A17="",'Raw data'!Q17=""),"",'Raw data'!Q17)</f>
        <v>7.2</v>
      </c>
      <c r="F17" s="41" t="n">
        <f aca="false">IF($A17="","",IF(ISNUMBER('Raw data'!G17),'Raw data'!G17*100,""))</f>
        <v>-1.37269352433753</v>
      </c>
      <c r="G17" s="41" t="n">
        <f aca="false">IF($A17="","",IF(ISNUMBER('Raw data'!H17),'Raw data'!H17*100,""))</f>
        <v>2.43441397356168</v>
      </c>
      <c r="H17" s="41" t="n">
        <f aca="false">IF($A17="","",IF(ISNUMBER('Raw data'!I17),'Raw data'!I17*100,""))</f>
        <v>2.23445448537853</v>
      </c>
      <c r="I17" s="41" t="n">
        <f aca="false">IF($A17="","",IF(ISNUMBER('Raw data'!R17),'Raw data'!R17*100,""))</f>
        <v>2</v>
      </c>
      <c r="J17" s="41" t="n">
        <f aca="false">IF($A17="","",IF(ISNUMBER('Raw data'!S17),'Raw data'!S17*100,""))</f>
        <v>1</v>
      </c>
      <c r="K17" s="41" t="n">
        <f aca="false">IF($A17="","",IF(ISNUMBER('Raw data'!T17),'Raw data'!T17*100,""))</f>
        <v>3.5</v>
      </c>
      <c r="L17" s="41" t="n">
        <f aca="false">IF($A17="","",IF('Raw data'!V17&lt;&gt;"",'Raw data'!V17*100,IF(AND(N('Raw data'!E17)&gt;0,'Raw data'!Q17&lt;&gt;""),'Raw data'!Q17*(1+N('Raw data'!S17))/('Raw data'!E17*(1+N('Raw data'!H17)))*100,"")))</f>
        <v>5.46090511660459</v>
      </c>
      <c r="M17" s="41" t="n">
        <f aca="false">IF($A17="","",IF('Raw data'!U17&lt;&gt;"",'Raw data'!U17*100,IF(AND(N('Raw data'!E17)&gt;0,'Raw data'!Q17&lt;&gt;""),'Raw data'!Q17/'Raw data'!E17*100,"")))</f>
        <v>5.53846153846154</v>
      </c>
      <c r="N17" s="42" t="n">
        <f aca="false">IF($A17="","",IF(ISNUMBER('Raw data'!W17),'Raw data'!W17,""))</f>
        <v>4</v>
      </c>
      <c r="O17" s="42" t="n">
        <f aca="false">IF($A17="","",IF(ISNUMBER('Raw data'!X17),'Raw data'!X17,""))</f>
        <v>3</v>
      </c>
      <c r="P17" s="42" t="n">
        <f aca="false">IF($A17="","",IF(ISNUMBER('Raw data'!Y17),'Raw data'!Y17,""))</f>
        <v>3</v>
      </c>
      <c r="Q17" s="42" t="n">
        <f aca="false">IF($A17="","",IF(ISNUMBER('Raw data'!Z17),'Raw data'!Z17,""))</f>
        <v>3</v>
      </c>
      <c r="R17" s="42" t="n">
        <f aca="false">IF($A17="","",IF(ISNUMBER('Raw data'!J17),'Raw data'!J17*100,""))</f>
        <v>59.1599551432358</v>
      </c>
      <c r="S17" s="41" t="n">
        <f aca="false">IF($A17="","",IF(ISNUMBER('Raw data'!K17),'Raw data'!K17*100,""))</f>
        <v>1.53103604232856</v>
      </c>
      <c r="T17" s="41" t="n">
        <f aca="false">IF($A17="","",IF(ISNUMBER('Raw data'!L17),'Raw data'!L17*100,""))</f>
        <v>-0.598253776782132</v>
      </c>
      <c r="U17" s="41" t="n">
        <f aca="false">IF($A17="","",IF(ISNUMBER('Raw data'!M17),'Raw data'!M17*100,""))</f>
        <v>3.13870044129079</v>
      </c>
      <c r="V17" s="41" t="n">
        <f aca="false">IF($A17="","",IF(ISNUMBER('Raw data'!N17),'Raw data'!N17*100,""))</f>
        <v>-4.83484732141297</v>
      </c>
      <c r="W17" s="41" t="n">
        <f aca="false">IF($A17="","",IF(ISNUMBER('Raw data'!O17),'Raw data'!O17*100,""))</f>
        <v>6.82746713263438</v>
      </c>
      <c r="X17" s="41" t="n">
        <f aca="false">IF($A17="","",IF(ISNUMBER('Raw data'!P17),'Raw data'!P17*100,""))</f>
        <v>0.962630833084033</v>
      </c>
      <c r="Y17" s="43" t="n">
        <f aca="false">IF($A17="","",IF(AND(ISNUMBER('Raw data'!J17),ISNUMBER('Raw data'!H17),ISNUMBER('Raw data'!L17),ISNUMBER('Raw data'!O17)),ROUND(('Raw data'!J17*'Raw data'!L17+(1-'Raw data'!J17)*'Raw data'!O17-'Raw data'!H17)*100,1),""))</f>
        <v>0</v>
      </c>
    </row>
    <row r="18" customFormat="false" ht="15" hidden="false" customHeight="false" outlineLevel="0" collapsed="false">
      <c r="A18" s="36" t="str">
        <f aca="false">IF(TRIM('Raw data'!A18)="","",TRIM('Raw data'!A18))</f>
        <v>Finland</v>
      </c>
      <c r="B18" s="36" t="str">
        <f aca="false">IF($A18="","",IF('Raw data'!B18="",UPPER(LEFT($A18,3)),'Raw data'!B18))</f>
        <v>FI</v>
      </c>
      <c r="C18" s="36" t="str">
        <f aca="false">IF($A18="","",'Raw data'!C18)</f>
        <v>Residential</v>
      </c>
      <c r="D18" s="37" t="n">
        <f aca="false">IF(OR($A18="",'Raw data'!E18=""),"",'Raw data'!E18)</f>
        <v>20</v>
      </c>
      <c r="E18" s="37" t="n">
        <f aca="false">IF(OR($A18="",'Raw data'!Q18=""),"",'Raw data'!Q18)</f>
        <v>1.3</v>
      </c>
      <c r="F18" s="41" t="n">
        <f aca="false">IF($A18="","",IF(ISNUMBER('Raw data'!G18),'Raw data'!G18*100,""))</f>
        <v>-6.24297451878662</v>
      </c>
      <c r="G18" s="41" t="n">
        <f aca="false">IF($A18="","",IF(ISNUMBER('Raw data'!H18),'Raw data'!H18*100,""))</f>
        <v>-2.97078842881453</v>
      </c>
      <c r="H18" s="41" t="n">
        <f aca="false">IF($A18="","",IF(ISNUMBER('Raw data'!I18),'Raw data'!I18*100,""))</f>
        <v>4.10537557782591</v>
      </c>
      <c r="I18" s="41" t="n">
        <f aca="false">IF($A18="","",IF(ISNUMBER('Raw data'!R18),'Raw data'!R18*100,""))</f>
        <v>0.5</v>
      </c>
      <c r="J18" s="41" t="n">
        <f aca="false">IF($A18="","",IF(ISNUMBER('Raw data'!S18),'Raw data'!S18*100,""))</f>
        <v>-0.5</v>
      </c>
      <c r="K18" s="41" t="n">
        <f aca="false">IF($A18="","",IF(ISNUMBER('Raw data'!T18),'Raw data'!T18*100,""))</f>
        <v>3</v>
      </c>
      <c r="L18" s="41" t="n">
        <f aca="false">IF($A18="","",IF('Raw data'!V18&lt;&gt;"",'Raw data'!V18*100,IF(AND(N('Raw data'!E18)&gt;0,'Raw data'!Q18&lt;&gt;""),'Raw data'!Q18*(1+N('Raw data'!S18))/('Raw data'!E18*(1+N('Raw data'!H18)))*100,"")))</f>
        <v>6.66551845085861</v>
      </c>
      <c r="M18" s="41" t="n">
        <f aca="false">IF($A18="","",IF('Raw data'!U18&lt;&gt;"",'Raw data'!U18*100,IF(AND(N('Raw data'!E18)&gt;0,'Raw data'!Q18&lt;&gt;""),'Raw data'!Q18/'Raw data'!E18*100,"")))</f>
        <v>6.5</v>
      </c>
      <c r="N18" s="42" t="n">
        <f aca="false">IF($A18="","",IF(ISNUMBER('Raw data'!W18),'Raw data'!W18,""))</f>
        <v>4</v>
      </c>
      <c r="O18" s="42" t="n">
        <f aca="false">IF($A18="","",IF(ISNUMBER('Raw data'!X18),'Raw data'!X18,""))</f>
        <v>3</v>
      </c>
      <c r="P18" s="42" t="n">
        <f aca="false">IF($A18="","",IF(ISNUMBER('Raw data'!Y18),'Raw data'!Y18,""))</f>
        <v>3</v>
      </c>
      <c r="Q18" s="42" t="n">
        <f aca="false">IF($A18="","",IF(ISNUMBER('Raw data'!Z18),'Raw data'!Z18,""))</f>
        <v>3</v>
      </c>
      <c r="R18" s="42" t="n">
        <f aca="false">IF($A18="","",IF(ISNUMBER('Raw data'!J18),'Raw data'!J18*100,""))</f>
        <v>80.0228067687654</v>
      </c>
      <c r="S18" s="41" t="n">
        <f aca="false">IF($A18="","",IF(ISNUMBER('Raw data'!K18),'Raw data'!K18*100,""))</f>
        <v>-4.01624266565354</v>
      </c>
      <c r="T18" s="41" t="n">
        <f aca="false">IF($A18="","",IF(ISNUMBER('Raw data'!L18),'Raw data'!L18*100,""))</f>
        <v>-1.63397003772973</v>
      </c>
      <c r="U18" s="41" t="n">
        <f aca="false">IF($A18="","",IF(ISNUMBER('Raw data'!M18),'Raw data'!M18*100,""))</f>
        <v>3.79303960728621</v>
      </c>
      <c r="V18" s="41" t="n">
        <f aca="false">IF($A18="","",IF(ISNUMBER('Raw data'!N18),'Raw data'!N18*100,""))</f>
        <v>-12.8804316121209</v>
      </c>
      <c r="W18" s="41" t="n">
        <f aca="false">IF($A18="","",IF(ISNUMBER('Raw data'!O18),'Raw data'!O18*100,""))</f>
        <v>-8.32569282186273</v>
      </c>
      <c r="X18" s="41" t="n">
        <f aca="false">IF($A18="","",IF(ISNUMBER('Raw data'!P18),'Raw data'!P18*100,""))</f>
        <v>5.40684666979081</v>
      </c>
      <c r="Y18" s="43" t="n">
        <f aca="false">IF($A18="","",IF(AND(ISNUMBER('Raw data'!J18),ISNUMBER('Raw data'!H18),ISNUMBER('Raw data'!L18),ISNUMBER('Raw data'!O18)),ROUND(('Raw data'!J18*'Raw data'!L18+(1-'Raw data'!J18)*'Raw data'!O18-'Raw data'!H18)*100,1),""))</f>
        <v>0</v>
      </c>
    </row>
    <row r="19" customFormat="false" ht="15" hidden="false" customHeight="false" outlineLevel="0" collapsed="false">
      <c r="A19" s="36" t="str">
        <f aca="false">IF(TRIM('Raw data'!A19)="","",TRIM('Raw data'!A19))</f>
        <v>Finland</v>
      </c>
      <c r="B19" s="36" t="str">
        <f aca="false">IF($A19="","",IF('Raw data'!B19="",UPPER(LEFT($A19,3)),'Raw data'!B19))</f>
        <v>FI</v>
      </c>
      <c r="C19" s="36" t="str">
        <f aca="false">IF($A19="","",'Raw data'!C19)</f>
        <v>Commercial</v>
      </c>
      <c r="D19" s="37" t="n">
        <f aca="false">IF(OR($A19="",'Raw data'!E19=""),"",'Raw data'!E19)</f>
        <v>50</v>
      </c>
      <c r="E19" s="37" t="n">
        <f aca="false">IF(OR($A19="",'Raw data'!Q19=""),"",'Raw data'!Q19)</f>
        <v>2.5</v>
      </c>
      <c r="F19" s="41" t="n">
        <f aca="false">IF($A19="","",IF(ISNUMBER('Raw data'!G19),'Raw data'!G19*100,""))</f>
        <v>-6.2718340864463</v>
      </c>
      <c r="G19" s="41" t="n">
        <f aca="false">IF($A19="","",IF(ISNUMBER('Raw data'!H19),'Raw data'!H19*100,""))</f>
        <v>-0.852818518344989</v>
      </c>
      <c r="H19" s="41" t="n">
        <f aca="false">IF($A19="","",IF(ISNUMBER('Raw data'!I19),'Raw data'!I19*100,""))</f>
        <v>3.30537597407516</v>
      </c>
      <c r="I19" s="41" t="n">
        <f aca="false">IF($A19="","",IF(ISNUMBER('Raw data'!R19),'Raw data'!R19*100,""))</f>
        <v>1</v>
      </c>
      <c r="J19" s="41" t="n">
        <f aca="false">IF($A19="","",IF(ISNUMBER('Raw data'!S19),'Raw data'!S19*100,""))</f>
        <v>0</v>
      </c>
      <c r="K19" s="41" t="n">
        <f aca="false">IF($A19="","",IF(ISNUMBER('Raw data'!T19),'Raw data'!T19*100,""))</f>
        <v>3.5</v>
      </c>
      <c r="L19" s="41" t="n">
        <f aca="false">IF($A19="","",IF('Raw data'!V19&lt;&gt;"",'Raw data'!V19*100,IF(AND(N('Raw data'!E19)&gt;0,'Raw data'!Q19&lt;&gt;""),'Raw data'!Q19*(1+N('Raw data'!S19))/('Raw data'!E19*(1+N('Raw data'!H19)))*100,"")))</f>
        <v>5.04300770357768</v>
      </c>
      <c r="M19" s="41" t="n">
        <f aca="false">IF($A19="","",IF('Raw data'!U19&lt;&gt;"",'Raw data'!U19*100,IF(AND(N('Raw data'!E19)&gt;0,'Raw data'!Q19&lt;&gt;""),'Raw data'!Q19/'Raw data'!E19*100,"")))</f>
        <v>5</v>
      </c>
      <c r="N19" s="42" t="n">
        <f aca="false">IF($A19="","",IF(ISNUMBER('Raw data'!W19),'Raw data'!W19,""))</f>
        <v>4</v>
      </c>
      <c r="O19" s="42" t="n">
        <f aca="false">IF($A19="","",IF(ISNUMBER('Raw data'!X19),'Raw data'!X19,""))</f>
        <v>3</v>
      </c>
      <c r="P19" s="42" t="n">
        <f aca="false">IF($A19="","",IF(ISNUMBER('Raw data'!Y19),'Raw data'!Y19,""))</f>
        <v>3</v>
      </c>
      <c r="Q19" s="42" t="n">
        <f aca="false">IF($A19="","",IF(ISNUMBER('Raw data'!Z19),'Raw data'!Z19,""))</f>
        <v>3</v>
      </c>
      <c r="R19" s="42" t="n">
        <f aca="false">IF($A19="","",IF(ISNUMBER('Raw data'!J19),'Raw data'!J19*100,""))</f>
        <v>62.5839719532611</v>
      </c>
      <c r="S19" s="41" t="n">
        <f aca="false">IF($A19="","",IF(ISNUMBER('Raw data'!K19),'Raw data'!K19*100,""))</f>
        <v>-1.93795965026594</v>
      </c>
      <c r="T19" s="41" t="n">
        <f aca="false">IF($A19="","",IF(ISNUMBER('Raw data'!L19),'Raw data'!L19*100,""))</f>
        <v>2.96631079558796</v>
      </c>
      <c r="U19" s="41" t="n">
        <f aca="false">IF($A19="","",IF(ISNUMBER('Raw data'!M19),'Raw data'!M19*100,""))</f>
        <v>2.9650174076602</v>
      </c>
      <c r="V19" s="41" t="n">
        <f aca="false">IF($A19="","",IF(ISNUMBER('Raw data'!N19),'Raw data'!N19*100,""))</f>
        <v>-11.5789490686626</v>
      </c>
      <c r="W19" s="41" t="n">
        <f aca="false">IF($A19="","",IF(ISNUMBER('Raw data'!O19),'Raw data'!O19*100,""))</f>
        <v>-7.24089053845585</v>
      </c>
      <c r="X19" s="41" t="n">
        <f aca="false">IF($A19="","",IF(ISNUMBER('Raw data'!P19),'Raw data'!P19*100,""))</f>
        <v>3.92567847289851</v>
      </c>
      <c r="Y19" s="43" t="n">
        <f aca="false">IF($A19="","",IF(AND(ISNUMBER('Raw data'!J19),ISNUMBER('Raw data'!H19),ISNUMBER('Raw data'!L19),ISNUMBER('Raw data'!O19)),ROUND(('Raw data'!J19*'Raw data'!L19+(1-'Raw data'!J19)*'Raw data'!O19-'Raw data'!H19)*100,1),""))</f>
        <v>0</v>
      </c>
    </row>
    <row r="20" customFormat="false" ht="15" hidden="false" customHeight="false" outlineLevel="0" collapsed="false">
      <c r="A20" s="36" t="str">
        <f aca="false">IF(TRIM('Raw data'!A20)="","",TRIM('Raw data'!A20))</f>
        <v>Denmark</v>
      </c>
      <c r="B20" s="36" t="str">
        <f aca="false">IF($A20="","",IF('Raw data'!B20="",UPPER(LEFT($A20,3)),'Raw data'!B20))</f>
        <v>DK</v>
      </c>
      <c r="C20" s="36" t="str">
        <f aca="false">IF($A20="","",'Raw data'!C20)</f>
        <v>Residential</v>
      </c>
      <c r="D20" s="37" t="n">
        <f aca="false">IF(OR($A20="",'Raw data'!E20=""),"",'Raw data'!E20)</f>
        <v>135</v>
      </c>
      <c r="E20" s="37" t="n">
        <f aca="false">IF(OR($A20="",'Raw data'!Q20=""),"",'Raw data'!Q20)</f>
        <v>10.8</v>
      </c>
      <c r="F20" s="41" t="n">
        <f aca="false">IF($A20="","",IF(ISNUMBER('Raw data'!G20),'Raw data'!G20*100,""))</f>
        <v>3.26397767255737</v>
      </c>
      <c r="G20" s="41" t="n">
        <f aca="false">IF($A20="","",IF(ISNUMBER('Raw data'!H20),'Raw data'!H20*100,""))</f>
        <v>-5.30170574453849</v>
      </c>
      <c r="H20" s="41" t="n">
        <f aca="false">IF($A20="","",IF(ISNUMBER('Raw data'!I20),'Raw data'!I20*100,""))</f>
        <v>1.81504700923969</v>
      </c>
      <c r="I20" s="41" t="n">
        <f aca="false">IF($A20="","",IF(ISNUMBER('Raw data'!R20),'Raw data'!R20*100,""))</f>
        <v>2</v>
      </c>
      <c r="J20" s="41" t="n">
        <f aca="false">IF($A20="","",IF(ISNUMBER('Raw data'!S20),'Raw data'!S20*100,""))</f>
        <v>1</v>
      </c>
      <c r="K20" s="41" t="n">
        <f aca="false">IF($A20="","",IF(ISNUMBER('Raw data'!T20),'Raw data'!T20*100,""))</f>
        <v>3</v>
      </c>
      <c r="L20" s="41" t="n">
        <f aca="false">IF($A20="","",IF('Raw data'!V20&lt;&gt;"",'Raw data'!V20*100,IF(AND(N('Raw data'!E20)&gt;0,'Raw data'!Q20&lt;&gt;""),'Raw data'!Q20*(1+N('Raw data'!S20))/('Raw data'!E20*(1+N('Raw data'!H20)))*100,"")))</f>
        <v>8.53236065499037</v>
      </c>
      <c r="M20" s="41" t="n">
        <f aca="false">IF($A20="","",IF('Raw data'!U20&lt;&gt;"",'Raw data'!U20*100,IF(AND(N('Raw data'!E20)&gt;0,'Raw data'!Q20&lt;&gt;""),'Raw data'!Q20/'Raw data'!E20*100,"")))</f>
        <v>8</v>
      </c>
      <c r="N20" s="42" t="n">
        <f aca="false">IF($A20="","",IF(ISNUMBER('Raw data'!W20),'Raw data'!W20,""))</f>
        <v>4</v>
      </c>
      <c r="O20" s="42" t="n">
        <f aca="false">IF($A20="","",IF(ISNUMBER('Raw data'!X20),'Raw data'!X20,""))</f>
        <v>3</v>
      </c>
      <c r="P20" s="42" t="n">
        <f aca="false">IF($A20="","",IF(ISNUMBER('Raw data'!Y20),'Raw data'!Y20,""))</f>
        <v>3</v>
      </c>
      <c r="Q20" s="42" t="n">
        <f aca="false">IF($A20="","",IF(ISNUMBER('Raw data'!Z20),'Raw data'!Z20,""))</f>
        <v>3</v>
      </c>
      <c r="R20" s="42" t="n">
        <f aca="false">IF($A20="","",IF(ISNUMBER('Raw data'!J20),'Raw data'!J20*100,""))</f>
        <v>81.6850391608926</v>
      </c>
      <c r="S20" s="41" t="n">
        <f aca="false">IF($A20="","",IF(ISNUMBER('Raw data'!K20),'Raw data'!K20*100,""))</f>
        <v>5.82416845072404</v>
      </c>
      <c r="T20" s="41" t="n">
        <f aca="false">IF($A20="","",IF(ISNUMBER('Raw data'!L20),'Raw data'!L20*100,""))</f>
        <v>-5.06153503721374</v>
      </c>
      <c r="U20" s="41" t="n">
        <f aca="false">IF($A20="","",IF(ISNUMBER('Raw data'!M20),'Raw data'!M20*100,""))</f>
        <v>2.81623776166671</v>
      </c>
      <c r="V20" s="41" t="n">
        <f aca="false">IF($A20="","",IF(ISNUMBER('Raw data'!N20),'Raw data'!N20*100,""))</f>
        <v>-4.95651228964285</v>
      </c>
      <c r="W20" s="41" t="n">
        <f aca="false">IF($A20="","",IF(ISNUMBER('Raw data'!O20),'Raw data'!O20*100,""))</f>
        <v>-6.37287121442204</v>
      </c>
      <c r="X20" s="41" t="n">
        <f aca="false">IF($A20="","",IF(ISNUMBER('Raw data'!P20),'Raw data'!P20*100,""))</f>
        <v>-3.28957912463279</v>
      </c>
      <c r="Y20" s="43" t="n">
        <f aca="false">IF($A20="","",IF(AND(ISNUMBER('Raw data'!J20),ISNUMBER('Raw data'!H20),ISNUMBER('Raw data'!L20),ISNUMBER('Raw data'!O20)),ROUND(('Raw data'!J20*'Raw data'!L20+(1-'Raw data'!J20)*'Raw data'!O20-'Raw data'!H20)*100,1),""))</f>
        <v>0</v>
      </c>
    </row>
    <row r="21" customFormat="false" ht="15" hidden="false" customHeight="false" outlineLevel="0" collapsed="false">
      <c r="A21" s="36" t="str">
        <f aca="false">IF(TRIM('Raw data'!A21)="","",TRIM('Raw data'!A21))</f>
        <v>Denmark</v>
      </c>
      <c r="B21" s="36" t="str">
        <f aca="false">IF($A21="","",IF('Raw data'!B21="",UPPER(LEFT($A21,3)),'Raw data'!B21))</f>
        <v>DK</v>
      </c>
      <c r="C21" s="36" t="str">
        <f aca="false">IF($A21="","",'Raw data'!C21)</f>
        <v>Commercial</v>
      </c>
      <c r="D21" s="37" t="n">
        <f aca="false">IF(OR($A21="",'Raw data'!E21=""),"",'Raw data'!E21)</f>
        <v>90</v>
      </c>
      <c r="E21" s="37" t="n">
        <f aca="false">IF(OR($A21="",'Raw data'!Q21=""),"",'Raw data'!Q21)</f>
        <v>5.4</v>
      </c>
      <c r="F21" s="41" t="n">
        <f aca="false">IF($A21="","",IF(ISNUMBER('Raw data'!G21),'Raw data'!G21*100,""))</f>
        <v>3.54377644926591</v>
      </c>
      <c r="G21" s="41" t="n">
        <f aca="false">IF($A21="","",IF(ISNUMBER('Raw data'!H21),'Raw data'!H21*100,""))</f>
        <v>-4.07821965363917</v>
      </c>
      <c r="H21" s="41" t="n">
        <f aca="false">IF($A21="","",IF(ISNUMBER('Raw data'!I21),'Raw data'!I21*100,""))</f>
        <v>2.15696868689033</v>
      </c>
      <c r="I21" s="41" t="n">
        <f aca="false">IF($A21="","",IF(ISNUMBER('Raw data'!R21),'Raw data'!R21*100,""))</f>
        <v>2.5</v>
      </c>
      <c r="J21" s="41" t="n">
        <f aca="false">IF($A21="","",IF(ISNUMBER('Raw data'!S21),'Raw data'!S21*100,""))</f>
        <v>1.5</v>
      </c>
      <c r="K21" s="41" t="n">
        <f aca="false">IF($A21="","",IF(ISNUMBER('Raw data'!T21),'Raw data'!T21*100,""))</f>
        <v>3.5</v>
      </c>
      <c r="L21" s="41" t="n">
        <f aca="false">IF($A21="","",IF('Raw data'!V21&lt;&gt;"",'Raw data'!V21*100,IF(AND(N('Raw data'!E21)&gt;0,'Raw data'!Q21&lt;&gt;""),'Raw data'!Q21*(1+N('Raw data'!S21))/('Raw data'!E21*(1+N('Raw data'!H21)))*100,"")))</f>
        <v>6.348923026668</v>
      </c>
      <c r="M21" s="41" t="n">
        <f aca="false">IF($A21="","",IF('Raw data'!U21&lt;&gt;"",'Raw data'!U21*100,IF(AND(N('Raw data'!E21)&gt;0,'Raw data'!Q21&lt;&gt;""),'Raw data'!Q21/'Raw data'!E21*100,"")))</f>
        <v>6</v>
      </c>
      <c r="N21" s="42" t="n">
        <f aca="false">IF($A21="","",IF(ISNUMBER('Raw data'!W21),'Raw data'!W21,""))</f>
        <v>4</v>
      </c>
      <c r="O21" s="42" t="n">
        <f aca="false">IF($A21="","",IF(ISNUMBER('Raw data'!X21),'Raw data'!X21,""))</f>
        <v>3</v>
      </c>
      <c r="P21" s="42" t="n">
        <f aca="false">IF($A21="","",IF(ISNUMBER('Raw data'!Y21),'Raw data'!Y21,""))</f>
        <v>3</v>
      </c>
      <c r="Q21" s="42" t="n">
        <f aca="false">IF($A21="","",IF(ISNUMBER('Raw data'!Z21),'Raw data'!Z21,""))</f>
        <v>3</v>
      </c>
      <c r="R21" s="42" t="n">
        <f aca="false">IF($A21="","",IF(ISNUMBER('Raw data'!J21),'Raw data'!J21*100,""))</f>
        <v>45.0710477365191</v>
      </c>
      <c r="S21" s="41" t="n">
        <f aca="false">IF($A21="","",IF(ISNUMBER('Raw data'!K21),'Raw data'!K21*100,""))</f>
        <v>6.82346136542571</v>
      </c>
      <c r="T21" s="41" t="n">
        <f aca="false">IF($A21="","",IF(ISNUMBER('Raw data'!L21),'Raw data'!L21*100,""))</f>
        <v>-3.50664720828288</v>
      </c>
      <c r="U21" s="41" t="n">
        <f aca="false">IF($A21="","",IF(ISNUMBER('Raw data'!M21),'Raw data'!M21*100,""))</f>
        <v>2.87223647508359</v>
      </c>
      <c r="V21" s="41" t="n">
        <f aca="false">IF($A21="","",IF(ISNUMBER('Raw data'!N21),'Raw data'!N21*100,""))</f>
        <v>1.2511518316763</v>
      </c>
      <c r="W21" s="41" t="n">
        <f aca="false">IF($A21="","",IF(ISNUMBER('Raw data'!O21),'Raw data'!O21*100,""))</f>
        <v>-4.54721401650197</v>
      </c>
      <c r="X21" s="41" t="n">
        <f aca="false">IF($A21="","",IF(ISNUMBER('Raw data'!P21),'Raw data'!P21*100,""))</f>
        <v>1.5480878882054</v>
      </c>
      <c r="Y21" s="43" t="n">
        <f aca="false">IF($A21="","",IF(AND(ISNUMBER('Raw data'!J21),ISNUMBER('Raw data'!H21),ISNUMBER('Raw data'!L21),ISNUMBER('Raw data'!O21)),ROUND(('Raw data'!J21*'Raw data'!L21+(1-'Raw data'!J21)*'Raw data'!O21-'Raw data'!H21)*100,1),""))</f>
        <v>0</v>
      </c>
    </row>
    <row r="22" customFormat="false" ht="15" hidden="false" customHeight="false" outlineLevel="0" collapsed="false">
      <c r="A22" s="36" t="str">
        <f aca="false">IF(TRIM('Raw data'!A22)="","",TRIM('Raw data'!A22))</f>
        <v>Germany</v>
      </c>
      <c r="B22" s="36" t="str">
        <f aca="false">IF($A22="","",IF('Raw data'!B22="",UPPER(LEFT($A22,3)),'Raw data'!B22))</f>
        <v>DE</v>
      </c>
      <c r="C22" s="36" t="str">
        <f aca="false">IF($A22="","",'Raw data'!C22)</f>
        <v>Residential</v>
      </c>
      <c r="D22" s="37" t="n">
        <f aca="false">IF(OR($A22="",'Raw data'!E22=""),"",'Raw data'!E22)</f>
        <v>1060</v>
      </c>
      <c r="E22" s="37" t="n">
        <f aca="false">IF(OR($A22="",'Raw data'!Q22=""),"",'Raw data'!Q22)</f>
        <v>63.6</v>
      </c>
      <c r="F22" s="41" t="n">
        <f aca="false">IF($A22="","",IF(ISNUMBER('Raw data'!G22),'Raw data'!G22*100,""))</f>
        <v>-5.34251096435302</v>
      </c>
      <c r="G22" s="41" t="n">
        <f aca="false">IF($A22="","",IF(ISNUMBER('Raw data'!H22),'Raw data'!H22*100,""))</f>
        <v>-0.566275043265374</v>
      </c>
      <c r="H22" s="41" t="n">
        <f aca="false">IF($A22="","",IF(ISNUMBER('Raw data'!I22),'Raw data'!I22*100,""))</f>
        <v>2.87276954117597</v>
      </c>
      <c r="I22" s="41" t="n">
        <f aca="false">IF($A22="","",IF(ISNUMBER('Raw data'!R22),'Raw data'!R22*100,""))</f>
        <v>2</v>
      </c>
      <c r="J22" s="41" t="n">
        <f aca="false">IF($A22="","",IF(ISNUMBER('Raw data'!S22),'Raw data'!S22*100,""))</f>
        <v>-2</v>
      </c>
      <c r="K22" s="41" t="n">
        <f aca="false">IF($A22="","",IF(ISNUMBER('Raw data'!T22),'Raw data'!T22*100,""))</f>
        <v>3</v>
      </c>
      <c r="L22" s="41" t="n">
        <f aca="false">IF($A22="","",IF('Raw data'!V22&lt;&gt;"",'Raw data'!V22*100,IF(AND(N('Raw data'!E22)&gt;0,'Raw data'!Q22&lt;&gt;""),'Raw data'!Q22*(1+N('Raw data'!S22))/('Raw data'!E22*(1+N('Raw data'!H22)))*100,"")))</f>
        <v>5.91348659879582</v>
      </c>
      <c r="M22" s="41" t="n">
        <f aca="false">IF($A22="","",IF('Raw data'!U22&lt;&gt;"",'Raw data'!U22*100,IF(AND(N('Raw data'!E22)&gt;0,'Raw data'!Q22&lt;&gt;""),'Raw data'!Q22/'Raw data'!E22*100,"")))</f>
        <v>6</v>
      </c>
      <c r="N22" s="42" t="n">
        <f aca="false">IF($A22="","",IF(ISNUMBER('Raw data'!W22),'Raw data'!W22,""))</f>
        <v>3</v>
      </c>
      <c r="O22" s="42" t="n">
        <f aca="false">IF($A22="","",IF(ISNUMBER('Raw data'!X22),'Raw data'!X22,""))</f>
        <v>2</v>
      </c>
      <c r="P22" s="42" t="n">
        <f aca="false">IF($A22="","",IF(ISNUMBER('Raw data'!Y22),'Raw data'!Y22,""))</f>
        <v>3</v>
      </c>
      <c r="Q22" s="42" t="n">
        <f aca="false">IF($A22="","",IF(ISNUMBER('Raw data'!Z22),'Raw data'!Z22,""))</f>
        <v>3</v>
      </c>
      <c r="R22" s="42" t="n">
        <f aca="false">IF($A22="","",IF(ISNUMBER('Raw data'!J22),'Raw data'!J22*100,""))</f>
        <v>82.4697116388656</v>
      </c>
      <c r="S22" s="41" t="n">
        <f aca="false">IF($A22="","",IF(ISNUMBER('Raw data'!K22),'Raw data'!K22*100,""))</f>
        <v>-3.0846031919548</v>
      </c>
      <c r="T22" s="41" t="n">
        <f aca="false">IF($A22="","",IF(ISNUMBER('Raw data'!L22),'Raw data'!L22*100,""))</f>
        <v>-2.29630989934343</v>
      </c>
      <c r="U22" s="41" t="n">
        <f aca="false">IF($A22="","",IF(ISNUMBER('Raw data'!M22),'Raw data'!M22*100,""))</f>
        <v>2.97289891885875</v>
      </c>
      <c r="V22" s="41" t="n">
        <f aca="false">IF($A22="","",IF(ISNUMBER('Raw data'!N22),'Raw data'!N22*100,""))</f>
        <v>-12.9815449999589</v>
      </c>
      <c r="W22" s="41" t="n">
        <f aca="false">IF($A22="","",IF(ISNUMBER('Raw data'!O22),'Raw data'!O22*100,""))</f>
        <v>7.57252294834458</v>
      </c>
      <c r="X22" s="41" t="n">
        <f aca="false">IF($A22="","",IF(ISNUMBER('Raw data'!P22),'Raw data'!P22*100,""))</f>
        <v>2.4404828150171</v>
      </c>
      <c r="Y22" s="43" t="n">
        <f aca="false">IF($A22="","",IF(AND(ISNUMBER('Raw data'!J22),ISNUMBER('Raw data'!H22),ISNUMBER('Raw data'!L22),ISNUMBER('Raw data'!O22)),ROUND(('Raw data'!J22*'Raw data'!L22+(1-'Raw data'!J22)*'Raw data'!O22-'Raw data'!H22)*100,1),""))</f>
        <v>0</v>
      </c>
    </row>
    <row r="23" customFormat="false" ht="15" hidden="false" customHeight="false" outlineLevel="0" collapsed="false">
      <c r="A23" s="36" t="str">
        <f aca="false">IF(TRIM('Raw data'!A23)="","",TRIM('Raw data'!A23))</f>
        <v>Germany</v>
      </c>
      <c r="B23" s="36" t="str">
        <f aca="false">IF($A23="","",IF('Raw data'!B23="",UPPER(LEFT($A23,3)),'Raw data'!B23))</f>
        <v>DE</v>
      </c>
      <c r="C23" s="36" t="str">
        <f aca="false">IF($A23="","",'Raw data'!C23)</f>
        <v>Commercial</v>
      </c>
      <c r="D23" s="37" t="n">
        <f aca="false">IF(OR($A23="",'Raw data'!E23=""),"",'Raw data'!E23)</f>
        <v>1195</v>
      </c>
      <c r="E23" s="37" t="n">
        <f aca="false">IF(OR($A23="",'Raw data'!Q23=""),"",'Raw data'!Q23)</f>
        <v>53.8</v>
      </c>
      <c r="F23" s="41" t="n">
        <f aca="false">IF($A23="","",IF(ISNUMBER('Raw data'!G23),'Raw data'!G23*100,""))</f>
        <v>-5.19121631727134</v>
      </c>
      <c r="G23" s="41" t="n">
        <f aca="false">IF($A23="","",IF(ISNUMBER('Raw data'!H23),'Raw data'!H23*100,""))</f>
        <v>2.36626255536028</v>
      </c>
      <c r="H23" s="41" t="n">
        <f aca="false">IF($A23="","",IF(ISNUMBER('Raw data'!I23),'Raw data'!I23*100,""))</f>
        <v>3.72633789674854</v>
      </c>
      <c r="I23" s="41" t="n">
        <f aca="false">IF($A23="","",IF(ISNUMBER('Raw data'!R23),'Raw data'!R23*100,""))</f>
        <v>2.5</v>
      </c>
      <c r="J23" s="41" t="n">
        <f aca="false">IF($A23="","",IF(ISNUMBER('Raw data'!S23),'Raw data'!S23*100,""))</f>
        <v>-1.5</v>
      </c>
      <c r="K23" s="41" t="n">
        <f aca="false">IF($A23="","",IF(ISNUMBER('Raw data'!T23),'Raw data'!T23*100,""))</f>
        <v>3.5</v>
      </c>
      <c r="L23" s="41" t="n">
        <f aca="false">IF($A23="","",IF('Raw data'!V23&lt;&gt;"",'Raw data'!V23*100,IF(AND(N('Raw data'!E23)&gt;0,'Raw data'!Q23&lt;&gt;""),'Raw data'!Q23*(1+N('Raw data'!S23))/('Raw data'!E23*(1+N('Raw data'!H23)))*100,"")))</f>
        <v>4.3320529232547</v>
      </c>
      <c r="M23" s="41" t="n">
        <f aca="false">IF($A23="","",IF('Raw data'!U23&lt;&gt;"",'Raw data'!U23*100,IF(AND(N('Raw data'!E23)&gt;0,'Raw data'!Q23&lt;&gt;""),'Raw data'!Q23/'Raw data'!E23*100,"")))</f>
        <v>4.50209205020921</v>
      </c>
      <c r="N23" s="42" t="n">
        <f aca="false">IF($A23="","",IF(ISNUMBER('Raw data'!W23),'Raw data'!W23,""))</f>
        <v>3</v>
      </c>
      <c r="O23" s="42" t="n">
        <f aca="false">IF($A23="","",IF(ISNUMBER('Raw data'!X23),'Raw data'!X23,""))</f>
        <v>2</v>
      </c>
      <c r="P23" s="42" t="n">
        <f aca="false">IF($A23="","",IF(ISNUMBER('Raw data'!Y23),'Raw data'!Y23,""))</f>
        <v>3</v>
      </c>
      <c r="Q23" s="42" t="n">
        <f aca="false">IF($A23="","",IF(ISNUMBER('Raw data'!Z23),'Raw data'!Z23,""))</f>
        <v>3</v>
      </c>
      <c r="R23" s="42" t="n">
        <f aca="false">IF($A23="","",IF(ISNUMBER('Raw data'!J23),'Raw data'!J23*100,""))</f>
        <v>63.452931032972</v>
      </c>
      <c r="S23" s="41" t="n">
        <f aca="false">IF($A23="","",IF(ISNUMBER('Raw data'!K23),'Raw data'!K23*100,""))</f>
        <v>-4.40679867822753</v>
      </c>
      <c r="T23" s="41" t="n">
        <f aca="false">IF($A23="","",IF(ISNUMBER('Raw data'!L23),'Raw data'!L23*100,""))</f>
        <v>1.99575825236509</v>
      </c>
      <c r="U23" s="41" t="n">
        <f aca="false">IF($A23="","",IF(ISNUMBER('Raw data'!M23),'Raw data'!M23*100,""))</f>
        <v>4.1331877077611</v>
      </c>
      <c r="V23" s="41" t="n">
        <f aca="false">IF($A23="","",IF(ISNUMBER('Raw data'!N23),'Raw data'!N23*100,""))</f>
        <v>-6.46681041890747</v>
      </c>
      <c r="W23" s="41" t="n">
        <f aca="false">IF($A23="","",IF(ISNUMBER('Raw data'!O23),'Raw data'!O23*100,""))</f>
        <v>3.0095312127342</v>
      </c>
      <c r="X23" s="41" t="n">
        <f aca="false">IF($A23="","",IF(ISNUMBER('Raw data'!P23),'Raw data'!P23*100,""))</f>
        <v>3.01162820635343</v>
      </c>
      <c r="Y23" s="43" t="n">
        <f aca="false">IF($A23="","",IF(AND(ISNUMBER('Raw data'!J23),ISNUMBER('Raw data'!H23),ISNUMBER('Raw data'!L23),ISNUMBER('Raw data'!O23)),ROUND(('Raw data'!J23*'Raw data'!L23+(1-'Raw data'!J23)*'Raw data'!O23-'Raw data'!H23)*100,1),""))</f>
        <v>-0</v>
      </c>
    </row>
    <row r="24" customFormat="false" ht="15" hidden="false" customHeight="false" outlineLevel="0" collapsed="false">
      <c r="A24" s="36" t="str">
        <f aca="false">IF(TRIM('Raw data'!A24)="","",TRIM('Raw data'!A24))</f>
        <v>Austria</v>
      </c>
      <c r="B24" s="36" t="str">
        <f aca="false">IF($A24="","",IF('Raw data'!B24="",UPPER(LEFT($A24,3)),'Raw data'!B24))</f>
        <v>AT</v>
      </c>
      <c r="C24" s="36" t="str">
        <f aca="false">IF($A24="","",'Raw data'!C24)</f>
        <v>Residential</v>
      </c>
      <c r="D24" s="37" t="n">
        <f aca="false">IF(OR($A24="",'Raw data'!E24=""),"",'Raw data'!E24)</f>
        <v>85</v>
      </c>
      <c r="E24" s="37" t="n">
        <f aca="false">IF(OR($A24="",'Raw data'!Q24=""),"",'Raw data'!Q24)</f>
        <v>6</v>
      </c>
      <c r="F24" s="41" t="n">
        <f aca="false">IF($A24="","",IF(ISNUMBER('Raw data'!G24),'Raw data'!G24*100,""))</f>
        <v>-4.0347959574352</v>
      </c>
      <c r="G24" s="41" t="n">
        <f aca="false">IF($A24="","",IF(ISNUMBER('Raw data'!H24),'Raw data'!H24*100,""))</f>
        <v>2.49825557084584</v>
      </c>
      <c r="H24" s="41" t="n">
        <f aca="false">IF($A24="","",IF(ISNUMBER('Raw data'!I24),'Raw data'!I24*100,""))</f>
        <v>3.73754977616738</v>
      </c>
      <c r="I24" s="41" t="n">
        <f aca="false">IF($A24="","",IF(ISNUMBER('Raw data'!R24),'Raw data'!R24*100,""))</f>
        <v>2</v>
      </c>
      <c r="J24" s="41" t="n">
        <f aca="false">IF($A24="","",IF(ISNUMBER('Raw data'!S24),'Raw data'!S24*100,""))</f>
        <v>-1</v>
      </c>
      <c r="K24" s="41" t="n">
        <f aca="false">IF($A24="","",IF(ISNUMBER('Raw data'!T24),'Raw data'!T24*100,""))</f>
        <v>2.5</v>
      </c>
      <c r="L24" s="41" t="n">
        <f aca="false">IF($A24="","",IF('Raw data'!V24&lt;&gt;"",'Raw data'!V24*100,IF(AND(N('Raw data'!E24)&gt;0,'Raw data'!Q24&lt;&gt;""),'Raw data'!Q24*(1+N('Raw data'!S24))/('Raw data'!E24*(1+N('Raw data'!H24)))*100,"")))</f>
        <v>6.81790656357799</v>
      </c>
      <c r="M24" s="41" t="n">
        <f aca="false">IF($A24="","",IF('Raw data'!U24&lt;&gt;"",'Raw data'!U24*100,IF(AND(N('Raw data'!E24)&gt;0,'Raw data'!Q24&lt;&gt;""),'Raw data'!Q24/'Raw data'!E24*100,"")))</f>
        <v>7.05882352941176</v>
      </c>
      <c r="N24" s="42" t="n">
        <f aca="false">IF($A24="","",IF(ISNUMBER('Raw data'!W24),'Raw data'!W24,""))</f>
        <v>4</v>
      </c>
      <c r="O24" s="42" t="n">
        <f aca="false">IF($A24="","",IF(ISNUMBER('Raw data'!X24),'Raw data'!X24,""))</f>
        <v>3</v>
      </c>
      <c r="P24" s="42" t="n">
        <f aca="false">IF($A24="","",IF(ISNUMBER('Raw data'!Y24),'Raw data'!Y24,""))</f>
        <v>3</v>
      </c>
      <c r="Q24" s="42" t="n">
        <f aca="false">IF($A24="","",IF(ISNUMBER('Raw data'!Z24),'Raw data'!Z24,""))</f>
        <v>4</v>
      </c>
      <c r="R24" s="42" t="n">
        <f aca="false">IF($A24="","",IF(ISNUMBER('Raw data'!J24),'Raw data'!J24*100,""))</f>
        <v>42.2373226281265</v>
      </c>
      <c r="S24" s="41" t="n">
        <f aca="false">IF($A24="","",IF(ISNUMBER('Raw data'!K24),'Raw data'!K24*100,""))</f>
        <v>-1.20433774159285</v>
      </c>
      <c r="T24" s="41" t="n">
        <f aca="false">IF($A24="","",IF(ISNUMBER('Raw data'!L24),'Raw data'!L24*100,""))</f>
        <v>0.751227526006448</v>
      </c>
      <c r="U24" s="41" t="n">
        <f aca="false">IF($A24="","",IF(ISNUMBER('Raw data'!M24),'Raw data'!M24*100,""))</f>
        <v>3.63238899541662</v>
      </c>
      <c r="V24" s="41" t="n">
        <f aca="false">IF($A24="","",IF(ISNUMBER('Raw data'!N24),'Raw data'!N24*100,""))</f>
        <v>-5.82815705090648</v>
      </c>
      <c r="W24" s="41" t="n">
        <f aca="false">IF($A24="","",IF(ISNUMBER('Raw data'!O24),'Raw data'!O24*100,""))</f>
        <v>3.77572037212595</v>
      </c>
      <c r="X24" s="41" t="n">
        <f aca="false">IF($A24="","",IF(ISNUMBER('Raw data'!P24),'Raw data'!P24*100,""))</f>
        <v>3.81194653775636</v>
      </c>
      <c r="Y24" s="43" t="n">
        <f aca="false">IF($A24="","",IF(AND(ISNUMBER('Raw data'!J24),ISNUMBER('Raw data'!H24),ISNUMBER('Raw data'!L24),ISNUMBER('Raw data'!O24)),ROUND(('Raw data'!J24*'Raw data'!L24+(1-'Raw data'!J24)*'Raw data'!O24-'Raw data'!H24)*100,1),""))</f>
        <v>0</v>
      </c>
    </row>
    <row r="25" customFormat="false" ht="15" hidden="false" customHeight="false" outlineLevel="0" collapsed="false">
      <c r="A25" s="36" t="str">
        <f aca="false">IF(TRIM('Raw data'!A25)="","",TRIM('Raw data'!A25))</f>
        <v>Austria</v>
      </c>
      <c r="B25" s="36" t="str">
        <f aca="false">IF($A25="","",IF('Raw data'!B25="",UPPER(LEFT($A25,3)),'Raw data'!B25))</f>
        <v>AT</v>
      </c>
      <c r="C25" s="36" t="str">
        <f aca="false">IF($A25="","",'Raw data'!C25)</f>
        <v>Commercial</v>
      </c>
      <c r="D25" s="37" t="n">
        <f aca="false">IF(OR($A25="",'Raw data'!E25=""),"",'Raw data'!E25)</f>
        <v>240</v>
      </c>
      <c r="E25" s="37" t="n">
        <f aca="false">IF(OR($A25="",'Raw data'!Q25=""),"",'Raw data'!Q25)</f>
        <v>12</v>
      </c>
      <c r="F25" s="41" t="n">
        <f aca="false">IF($A25="","",IF(ISNUMBER('Raw data'!G25),'Raw data'!G25*100,""))</f>
        <v>-4.99056314974363</v>
      </c>
      <c r="G25" s="41" t="n">
        <f aca="false">IF($A25="","",IF(ISNUMBER('Raw data'!H25),'Raw data'!H25*100,""))</f>
        <v>3.19045114339906</v>
      </c>
      <c r="H25" s="41" t="n">
        <f aca="false">IF($A25="","",IF(ISNUMBER('Raw data'!I25),'Raw data'!I25*100,""))</f>
        <v>2.57312661499052</v>
      </c>
      <c r="I25" s="41" t="n">
        <f aca="false">IF($A25="","",IF(ISNUMBER('Raw data'!R25),'Raw data'!R25*100,""))</f>
        <v>2.5</v>
      </c>
      <c r="J25" s="41" t="n">
        <f aca="false">IF($A25="","",IF(ISNUMBER('Raw data'!S25),'Raw data'!S25*100,""))</f>
        <v>-0.5</v>
      </c>
      <c r="K25" s="41" t="n">
        <f aca="false">IF($A25="","",IF(ISNUMBER('Raw data'!T25),'Raw data'!T25*100,""))</f>
        <v>3</v>
      </c>
      <c r="L25" s="41" t="n">
        <f aca="false">IF($A25="","",IF('Raw data'!V25&lt;&gt;"",'Raw data'!V25*100,IF(AND(N('Raw data'!E25)&gt;0,'Raw data'!Q25&lt;&gt;""),'Raw data'!Q25*(1+N('Raw data'!S25))/('Raw data'!E25*(1+N('Raw data'!H25)))*100,"")))</f>
        <v>4.82118252694377</v>
      </c>
      <c r="M25" s="41" t="n">
        <f aca="false">IF($A25="","",IF('Raw data'!U25&lt;&gt;"",'Raw data'!U25*100,IF(AND(N('Raw data'!E25)&gt;0,'Raw data'!Q25&lt;&gt;""),'Raw data'!Q25/'Raw data'!E25*100,"")))</f>
        <v>5</v>
      </c>
      <c r="N25" s="42" t="n">
        <f aca="false">IF($A25="","",IF(ISNUMBER('Raw data'!W25),'Raw data'!W25,""))</f>
        <v>4</v>
      </c>
      <c r="O25" s="42" t="n">
        <f aca="false">IF($A25="","",IF(ISNUMBER('Raw data'!X25),'Raw data'!X25,""))</f>
        <v>3</v>
      </c>
      <c r="P25" s="42" t="n">
        <f aca="false">IF($A25="","",IF(ISNUMBER('Raw data'!Y25),'Raw data'!Y25,""))</f>
        <v>3</v>
      </c>
      <c r="Q25" s="42" t="n">
        <f aca="false">IF($A25="","",IF(ISNUMBER('Raw data'!Z25),'Raw data'!Z25,""))</f>
        <v>4</v>
      </c>
      <c r="R25" s="42" t="n">
        <f aca="false">IF($A25="","",IF(ISNUMBER('Raw data'!J25),'Raw data'!J25*100,""))</f>
        <v>36.5886791765432</v>
      </c>
      <c r="S25" s="41" t="n">
        <f aca="false">IF($A25="","",IF(ISNUMBER('Raw data'!K25),'Raw data'!K25*100,""))</f>
        <v>-0.562353815248129</v>
      </c>
      <c r="T25" s="41" t="n">
        <f aca="false">IF($A25="","",IF(ISNUMBER('Raw data'!L25),'Raw data'!L25*100,""))</f>
        <v>11.3371535824793</v>
      </c>
      <c r="U25" s="41" t="n">
        <f aca="false">IF($A25="","",IF(ISNUMBER('Raw data'!M25),'Raw data'!M25*100,""))</f>
        <v>2.10523171085899</v>
      </c>
      <c r="V25" s="41" t="n">
        <f aca="false">IF($A25="","",IF(ISNUMBER('Raw data'!N25),'Raw data'!N25*100,""))</f>
        <v>-7.07882974039739</v>
      </c>
      <c r="W25" s="41" t="n">
        <f aca="false">IF($A25="","",IF(ISNUMBER('Raw data'!O25),'Raw data'!O25*100,""))</f>
        <v>-1.51024075229796</v>
      </c>
      <c r="X25" s="41" t="n">
        <f aca="false">IF($A25="","",IF(ISNUMBER('Raw data'!P25),'Raw data'!P25*100,""))</f>
        <v>2.87378216168481</v>
      </c>
      <c r="Y25" s="43" t="n">
        <f aca="false">IF($A25="","",IF(AND(ISNUMBER('Raw data'!J25),ISNUMBER('Raw data'!H25),ISNUMBER('Raw data'!L25),ISNUMBER('Raw data'!O25)),ROUND(('Raw data'!J25*'Raw data'!L25+(1-'Raw data'!J25)*'Raw data'!O25-'Raw data'!H25)*100,1),""))</f>
        <v>0</v>
      </c>
    </row>
    <row r="26" customFormat="false" ht="15" hidden="false" customHeight="false" outlineLevel="0" collapsed="false">
      <c r="A26" s="36" t="str">
        <f aca="false">IF(TRIM('Raw data'!A26)="","",TRIM('Raw data'!A26))</f>
        <v>Switzerland</v>
      </c>
      <c r="B26" s="36" t="str">
        <f aca="false">IF($A26="","",IF('Raw data'!B26="",UPPER(LEFT($A26,3)),'Raw data'!B26))</f>
        <v>CH</v>
      </c>
      <c r="C26" s="36" t="str">
        <f aca="false">IF($A26="","",'Raw data'!C26)</f>
        <v>Residential</v>
      </c>
      <c r="D26" s="37" t="n">
        <f aca="false">IF(OR($A26="",'Raw data'!E26=""),"",'Raw data'!E26)</f>
        <v>75</v>
      </c>
      <c r="E26" s="37" t="n">
        <f aca="false">IF(OR($A26="",'Raw data'!Q26=""),"",'Raw data'!Q26)</f>
        <v>9</v>
      </c>
      <c r="F26" s="41" t="n">
        <f aca="false">IF($A26="","",IF(ISNUMBER('Raw data'!G26),'Raw data'!G26*100,""))</f>
        <v>0.0294211687557056</v>
      </c>
      <c r="G26" s="41" t="n">
        <f aca="false">IF($A26="","",IF(ISNUMBER('Raw data'!H26),'Raw data'!H26*100,""))</f>
        <v>-0.784952475766632</v>
      </c>
      <c r="H26" s="41" t="n">
        <f aca="false">IF($A26="","",IF(ISNUMBER('Raw data'!I26),'Raw data'!I26*100,""))</f>
        <v>1.43685816568195</v>
      </c>
      <c r="I26" s="41" t="n">
        <f aca="false">IF($A26="","",IF(ISNUMBER('Raw data'!R26),'Raw data'!R26*100,""))</f>
        <v>2.5</v>
      </c>
      <c r="J26" s="41" t="n">
        <f aca="false">IF($A26="","",IF(ISNUMBER('Raw data'!S26),'Raw data'!S26*100,""))</f>
        <v>1.5</v>
      </c>
      <c r="K26" s="41" t="n">
        <f aca="false">IF($A26="","",IF(ISNUMBER('Raw data'!T26),'Raw data'!T26*100,""))</f>
        <v>2</v>
      </c>
      <c r="L26" s="41" t="n">
        <f aca="false">IF($A26="","",IF('Raw data'!V26&lt;&gt;"",'Raw data'!V26*100,IF(AND(N('Raw data'!E26)&gt;0,'Raw data'!Q26&lt;&gt;""),'Raw data'!Q26*(1+N('Raw data'!S26))/('Raw data'!E26*(1+N('Raw data'!H26)))*100,"")))</f>
        <v>12.2763636201706</v>
      </c>
      <c r="M26" s="41" t="n">
        <f aca="false">IF($A26="","",IF('Raw data'!U26&lt;&gt;"",'Raw data'!U26*100,IF(AND(N('Raw data'!E26)&gt;0,'Raw data'!Q26&lt;&gt;""),'Raw data'!Q26/'Raw data'!E26*100,"")))</f>
        <v>12</v>
      </c>
      <c r="N26" s="42" t="n">
        <f aca="false">IF($A26="","",IF(ISNUMBER('Raw data'!W26),'Raw data'!W26,""))</f>
        <v>5</v>
      </c>
      <c r="O26" s="42" t="n">
        <f aca="false">IF($A26="","",IF(ISNUMBER('Raw data'!X26),'Raw data'!X26,""))</f>
        <v>4</v>
      </c>
      <c r="P26" s="42" t="n">
        <f aca="false">IF($A26="","",IF(ISNUMBER('Raw data'!Y26),'Raw data'!Y26,""))</f>
        <v>4</v>
      </c>
      <c r="Q26" s="42" t="n">
        <f aca="false">IF($A26="","",IF(ISNUMBER('Raw data'!Z26),'Raw data'!Z26,""))</f>
        <v>4</v>
      </c>
      <c r="R26" s="42" t="n">
        <f aca="false">IF($A26="","",IF(ISNUMBER('Raw data'!J26),'Raw data'!J26*100,""))</f>
        <v>43.3918194108586</v>
      </c>
      <c r="S26" s="41" t="n">
        <f aca="false">IF($A26="","",IF(ISNUMBER('Raw data'!K26),'Raw data'!K26*100,""))</f>
        <v>-0.549538485364742</v>
      </c>
      <c r="T26" s="41" t="n">
        <f aca="false">IF($A26="","",IF(ISNUMBER('Raw data'!L26),'Raw data'!L26*100,""))</f>
        <v>2.66935921802878</v>
      </c>
      <c r="U26" s="41" t="n">
        <f aca="false">IF($A26="","",IF(ISNUMBER('Raw data'!M26),'Raw data'!M26*100,""))</f>
        <v>3.62517979469283</v>
      </c>
      <c r="V26" s="41" t="n">
        <f aca="false">IF($A26="","",IF(ISNUMBER('Raw data'!N26),'Raw data'!N26*100,""))</f>
        <v>0.487241319101606</v>
      </c>
      <c r="W26" s="41" t="n">
        <f aca="false">IF($A26="","",IF(ISNUMBER('Raw data'!O26),'Raw data'!O26*100,""))</f>
        <v>-3.43278301273214</v>
      </c>
      <c r="X26" s="41" t="n">
        <f aca="false">IF($A26="","",IF(ISNUMBER('Raw data'!P26),'Raw data'!P26*100,""))</f>
        <v>-0.497562582892686</v>
      </c>
      <c r="Y26" s="43" t="n">
        <f aca="false">IF($A26="","",IF(AND(ISNUMBER('Raw data'!J26),ISNUMBER('Raw data'!H26),ISNUMBER('Raw data'!L26),ISNUMBER('Raw data'!O26)),ROUND(('Raw data'!J26*'Raw data'!L26+(1-'Raw data'!J26)*'Raw data'!O26-'Raw data'!H26)*100,1),""))</f>
        <v>0</v>
      </c>
    </row>
    <row r="27" customFormat="false" ht="15" hidden="false" customHeight="false" outlineLevel="0" collapsed="false">
      <c r="A27" s="36" t="str">
        <f aca="false">IF(TRIM('Raw data'!A27)="","",TRIM('Raw data'!A27))</f>
        <v>Switzerland</v>
      </c>
      <c r="B27" s="36" t="str">
        <f aca="false">IF($A27="","",IF('Raw data'!B27="",UPPER(LEFT($A27,3)),'Raw data'!B27))</f>
        <v>CH</v>
      </c>
      <c r="C27" s="36" t="str">
        <f aca="false">IF($A27="","",'Raw data'!C27)</f>
        <v>Commercial</v>
      </c>
      <c r="D27" s="37" t="n">
        <f aca="false">IF(OR($A27="",'Raw data'!E27=""),"",'Raw data'!E27)</f>
        <v>370</v>
      </c>
      <c r="E27" s="37" t="n">
        <f aca="false">IF(OR($A27="",'Raw data'!Q27=""),"",'Raw data'!Q27)</f>
        <v>37</v>
      </c>
      <c r="F27" s="41" t="n">
        <f aca="false">IF($A27="","",IF(ISNUMBER('Raw data'!G27),'Raw data'!G27*100,""))</f>
        <v>-0.202959145329351</v>
      </c>
      <c r="G27" s="41" t="n">
        <f aca="false">IF($A27="","",IF(ISNUMBER('Raw data'!H27),'Raw data'!H27*100,""))</f>
        <v>2.23934609082377</v>
      </c>
      <c r="H27" s="41" t="n">
        <f aca="false">IF($A27="","",IF(ISNUMBER('Raw data'!I27),'Raw data'!I27*100,""))</f>
        <v>2.87017530362954</v>
      </c>
      <c r="I27" s="41" t="n">
        <f aca="false">IF($A27="","",IF(ISNUMBER('Raw data'!R27),'Raw data'!R27*100,""))</f>
        <v>3</v>
      </c>
      <c r="J27" s="41" t="n">
        <f aca="false">IF($A27="","",IF(ISNUMBER('Raw data'!S27),'Raw data'!S27*100,""))</f>
        <v>2</v>
      </c>
      <c r="K27" s="41" t="n">
        <f aca="false">IF($A27="","",IF(ISNUMBER('Raw data'!T27),'Raw data'!T27*100,""))</f>
        <v>2.5</v>
      </c>
      <c r="L27" s="41" t="n">
        <f aca="false">IF($A27="","",IF('Raw data'!V27&lt;&gt;"",'Raw data'!V27*100,IF(AND(N('Raw data'!E27)&gt;0,'Raw data'!Q27&lt;&gt;""),'Raw data'!Q27*(1+N('Raw data'!S27))/('Raw data'!E27*(1+N('Raw data'!H27)))*100,"")))</f>
        <v>9.97658963012037</v>
      </c>
      <c r="M27" s="41" t="n">
        <f aca="false">IF($A27="","",IF('Raw data'!U27&lt;&gt;"",'Raw data'!U27*100,IF(AND(N('Raw data'!E27)&gt;0,'Raw data'!Q27&lt;&gt;""),'Raw data'!Q27/'Raw data'!E27*100,"")))</f>
        <v>10</v>
      </c>
      <c r="N27" s="42" t="n">
        <f aca="false">IF($A27="","",IF(ISNUMBER('Raw data'!W27),'Raw data'!W27,""))</f>
        <v>5</v>
      </c>
      <c r="O27" s="42" t="n">
        <f aca="false">IF($A27="","",IF(ISNUMBER('Raw data'!X27),'Raw data'!X27,""))</f>
        <v>4</v>
      </c>
      <c r="P27" s="42" t="n">
        <f aca="false">IF($A27="","",IF(ISNUMBER('Raw data'!Y27),'Raw data'!Y27,""))</f>
        <v>4</v>
      </c>
      <c r="Q27" s="42" t="n">
        <f aca="false">IF($A27="","",IF(ISNUMBER('Raw data'!Z27),'Raw data'!Z27,""))</f>
        <v>4</v>
      </c>
      <c r="R27" s="42" t="n">
        <f aca="false">IF($A27="","",IF(ISNUMBER('Raw data'!J27),'Raw data'!J27*100,""))</f>
        <v>34.7129743213395</v>
      </c>
      <c r="S27" s="41" t="n">
        <f aca="false">IF($A27="","",IF(ISNUMBER('Raw data'!K27),'Raw data'!K27*100,""))</f>
        <v>1.36656008008185</v>
      </c>
      <c r="T27" s="41" t="n">
        <f aca="false">IF($A27="","",IF(ISNUMBER('Raw data'!L27),'Raw data'!L27*100,""))</f>
        <v>-2.20012636816688</v>
      </c>
      <c r="U27" s="41" t="n">
        <f aca="false">IF($A27="","",IF(ISNUMBER('Raw data'!M27),'Raw data'!M27*100,""))</f>
        <v>0.920711679532471</v>
      </c>
      <c r="V27" s="41" t="n">
        <f aca="false">IF($A27="","",IF(ISNUMBER('Raw data'!N27),'Raw data'!N27*100,""))</f>
        <v>-0.980964662788009</v>
      </c>
      <c r="W27" s="41" t="n">
        <f aca="false">IF($A27="","",IF(ISNUMBER('Raw data'!O27),'Raw data'!O27*100,""))</f>
        <v>4.59980426558799</v>
      </c>
      <c r="X27" s="41" t="n">
        <f aca="false">IF($A27="","",IF(ISNUMBER('Raw data'!P27),'Raw data'!P27*100,""))</f>
        <v>3.78679398493862</v>
      </c>
      <c r="Y27" s="43" t="n">
        <f aca="false">IF($A27="","",IF(AND(ISNUMBER('Raw data'!J27),ISNUMBER('Raw data'!H27),ISNUMBER('Raw data'!L27),ISNUMBER('Raw data'!O27)),ROUND(('Raw data'!J27*'Raw data'!L27+(1-'Raw data'!J27)*'Raw data'!O27-'Raw data'!H27)*100,1),""))</f>
        <v>0</v>
      </c>
    </row>
    <row r="28" customFormat="false" ht="15" hidden="false" customHeight="false" outlineLevel="0" collapsed="false">
      <c r="A28" s="36" t="str">
        <f aca="false">IF(TRIM('Raw data'!A28)="","",TRIM('Raw data'!A28))</f>
        <v>United Kingdom</v>
      </c>
      <c r="B28" s="36" t="str">
        <f aca="false">IF($A28="","",IF('Raw data'!B28="",UPPER(LEFT($A28,3)),'Raw data'!B28))</f>
        <v>UK</v>
      </c>
      <c r="C28" s="36" t="str">
        <f aca="false">IF($A28="","",'Raw data'!C28)</f>
        <v>Residential</v>
      </c>
      <c r="D28" s="37" t="n">
        <f aca="false">IF(OR($A28="",'Raw data'!E28=""),"",'Raw data'!E28)</f>
        <v>1005</v>
      </c>
      <c r="E28" s="37" t="n">
        <f aca="false">IF(OR($A28="",'Raw data'!Q28=""),"",'Raw data'!Q28)</f>
        <v>32.2</v>
      </c>
      <c r="F28" s="41" t="n">
        <f aca="false">IF($A28="","",IF(ISNUMBER('Raw data'!G28),'Raw data'!G28*100,""))</f>
        <v>4.84928270822107</v>
      </c>
      <c r="G28" s="41" t="n">
        <f aca="false">IF($A28="","",IF(ISNUMBER('Raw data'!H28),'Raw data'!H28*100,""))</f>
        <v>0.965295150142276</v>
      </c>
      <c r="H28" s="41" t="n">
        <f aca="false">IF($A28="","",IF(ISNUMBER('Raw data'!I28),'Raw data'!I28*100,""))</f>
        <v>4.23295425363863</v>
      </c>
      <c r="I28" s="41" t="n">
        <f aca="false">IF($A28="","",IF(ISNUMBER('Raw data'!R28),'Raw data'!R28*100,""))</f>
        <v>-1</v>
      </c>
      <c r="J28" s="41" t="n">
        <f aca="false">IF($A28="","",IF(ISNUMBER('Raw data'!S28),'Raw data'!S28*100,""))</f>
        <v>1.5</v>
      </c>
      <c r="K28" s="41" t="n">
        <f aca="false">IF($A28="","",IF(ISNUMBER('Raw data'!T28),'Raw data'!T28*100,""))</f>
        <v>2.5</v>
      </c>
      <c r="L28" s="41" t="n">
        <f aca="false">IF($A28="","",IF('Raw data'!V28&lt;&gt;"",'Raw data'!V28*100,IF(AND(N('Raw data'!E28)&gt;0,'Raw data'!Q28&lt;&gt;""),'Raw data'!Q28*(1+N('Raw data'!S28))/('Raw data'!E28*(1+N('Raw data'!H28)))*100,"")))</f>
        <v>3.22094814476501</v>
      </c>
      <c r="M28" s="41" t="n">
        <f aca="false">IF($A28="","",IF('Raw data'!U28&lt;&gt;"",'Raw data'!U28*100,IF(AND(N('Raw data'!E28)&gt;0,'Raw data'!Q28&lt;&gt;""),'Raw data'!Q28/'Raw data'!E28*100,"")))</f>
        <v>3.20398009950249</v>
      </c>
      <c r="N28" s="42" t="n">
        <f aca="false">IF($A28="","",IF(ISNUMBER('Raw data'!W28),'Raw data'!W28,""))</f>
        <v>3</v>
      </c>
      <c r="O28" s="42" t="n">
        <f aca="false">IF($A28="","",IF(ISNUMBER('Raw data'!X28),'Raw data'!X28,""))</f>
        <v>2</v>
      </c>
      <c r="P28" s="42" t="n">
        <f aca="false">IF($A28="","",IF(ISNUMBER('Raw data'!Y28),'Raw data'!Y28,""))</f>
        <v>2</v>
      </c>
      <c r="Q28" s="42" t="n">
        <f aca="false">IF($A28="","",IF(ISNUMBER('Raw data'!Z28),'Raw data'!Z28,""))</f>
        <v>3</v>
      </c>
      <c r="R28" s="42" t="n">
        <f aca="false">IF($A28="","",IF(ISNUMBER('Raw data'!J28),'Raw data'!J28*100,""))</f>
        <v>47.6396818643388</v>
      </c>
      <c r="S28" s="41" t="n">
        <f aca="false">IF($A28="","",IF(ISNUMBER('Raw data'!K28),'Raw data'!K28*100,""))</f>
        <v>7.80631180286031</v>
      </c>
      <c r="T28" s="41" t="n">
        <f aca="false">IF($A28="","",IF(ISNUMBER('Raw data'!L28),'Raw data'!L28*100,""))</f>
        <v>-2.92014150242004</v>
      </c>
      <c r="U28" s="41" t="n">
        <f aca="false">IF($A28="","",IF(ISNUMBER('Raw data'!M28),'Raw data'!M28*100,""))</f>
        <v>3.475600059401</v>
      </c>
      <c r="V28" s="41" t="n">
        <f aca="false">IF($A28="","",IF(ISNUMBER('Raw data'!N28),'Raw data'!N28*100,""))</f>
        <v>2.53395688618621</v>
      </c>
      <c r="W28" s="41" t="n">
        <f aca="false">IF($A28="","",IF(ISNUMBER('Raw data'!O28),'Raw data'!O28*100,""))</f>
        <v>4.50043344996176</v>
      </c>
      <c r="X28" s="41" t="n">
        <f aca="false">IF($A28="","",IF(ISNUMBER('Raw data'!P28),'Raw data'!P28*100,""))</f>
        <v>4.85635979840966</v>
      </c>
      <c r="Y28" s="43" t="n">
        <f aca="false">IF($A28="","",IF(AND(ISNUMBER('Raw data'!J28),ISNUMBER('Raw data'!H28),ISNUMBER('Raw data'!L28),ISNUMBER('Raw data'!O28)),ROUND(('Raw data'!J28*'Raw data'!L28+(1-'Raw data'!J28)*'Raw data'!O28-'Raw data'!H28)*100,1),""))</f>
        <v>-0</v>
      </c>
    </row>
    <row r="29" customFormat="false" ht="15" hidden="false" customHeight="false" outlineLevel="0" collapsed="false">
      <c r="A29" s="36" t="str">
        <f aca="false">IF(TRIM('Raw data'!A29)="","",TRIM('Raw data'!A29))</f>
        <v>United Kingdom</v>
      </c>
      <c r="B29" s="36" t="str">
        <f aca="false">IF($A29="","",IF('Raw data'!B29="",UPPER(LEFT($A29,3)),'Raw data'!B29))</f>
        <v>UK</v>
      </c>
      <c r="C29" s="36" t="str">
        <f aca="false">IF($A29="","",'Raw data'!C29)</f>
        <v>Commercial</v>
      </c>
      <c r="D29" s="37" t="n">
        <f aca="false">IF(OR($A29="",'Raw data'!E29=""),"",'Raw data'!E29)</f>
        <v>760</v>
      </c>
      <c r="E29" s="37" t="n">
        <f aca="false">IF(OR($A29="",'Raw data'!Q29=""),"",'Raw data'!Q29)</f>
        <v>21.3</v>
      </c>
      <c r="F29" s="41" t="n">
        <f aca="false">IF($A29="","",IF(ISNUMBER('Raw data'!G29),'Raw data'!G29*100,""))</f>
        <v>0.479005986441861</v>
      </c>
      <c r="G29" s="41" t="n">
        <f aca="false">IF($A29="","",IF(ISNUMBER('Raw data'!H29),'Raw data'!H29*100,""))</f>
        <v>-0.535419205160392</v>
      </c>
      <c r="H29" s="41" t="n">
        <f aca="false">IF($A29="","",IF(ISNUMBER('Raw data'!I29),'Raw data'!I29*100,""))</f>
        <v>4.03468721186624</v>
      </c>
      <c r="I29" s="41" t="n">
        <f aca="false">IF($A29="","",IF(ISNUMBER('Raw data'!R29),'Raw data'!R29*100,""))</f>
        <v>-0.5</v>
      </c>
      <c r="J29" s="41" t="n">
        <f aca="false">IF($A29="","",IF(ISNUMBER('Raw data'!S29),'Raw data'!S29*100,""))</f>
        <v>2</v>
      </c>
      <c r="K29" s="41" t="n">
        <f aca="false">IF($A29="","",IF(ISNUMBER('Raw data'!T29),'Raw data'!T29*100,""))</f>
        <v>3</v>
      </c>
      <c r="L29" s="41" t="n">
        <f aca="false">IF($A29="","",IF('Raw data'!V29&lt;&gt;"",'Raw data'!V29*100,IF(AND(N('Raw data'!E29)&gt;0,'Raw data'!Q29&lt;&gt;""),'Raw data'!Q29*(1+N('Raw data'!S29))/('Raw data'!E29*(1+N('Raw data'!H29)))*100,"")))</f>
        <v>2.87407254691273</v>
      </c>
      <c r="M29" s="41" t="n">
        <f aca="false">IF($A29="","",IF('Raw data'!U29&lt;&gt;"",'Raw data'!U29*100,IF(AND(N('Raw data'!E29)&gt;0,'Raw data'!Q29&lt;&gt;""),'Raw data'!Q29/'Raw data'!E29*100,"")))</f>
        <v>2.80263157894737</v>
      </c>
      <c r="N29" s="42" t="n">
        <f aca="false">IF($A29="","",IF(ISNUMBER('Raw data'!W29),'Raw data'!W29,""))</f>
        <v>3</v>
      </c>
      <c r="O29" s="42" t="n">
        <f aca="false">IF($A29="","",IF(ISNUMBER('Raw data'!X29),'Raw data'!X29,""))</f>
        <v>2</v>
      </c>
      <c r="P29" s="42" t="n">
        <f aca="false">IF($A29="","",IF(ISNUMBER('Raw data'!Y29),'Raw data'!Y29,""))</f>
        <v>2</v>
      </c>
      <c r="Q29" s="42" t="n">
        <f aca="false">IF($A29="","",IF(ISNUMBER('Raw data'!Z29),'Raw data'!Z29,""))</f>
        <v>3</v>
      </c>
      <c r="R29" s="42" t="n">
        <f aca="false">IF($A29="","",IF(ISNUMBER('Raw data'!J29),'Raw data'!J29*100,""))</f>
        <v>40.7700623102364</v>
      </c>
      <c r="S29" s="41" t="n">
        <f aca="false">IF($A29="","",IF(ISNUMBER('Raw data'!K29),'Raw data'!K29*100,""))</f>
        <v>5.32599551238662</v>
      </c>
      <c r="T29" s="41" t="n">
        <f aca="false">IF($A29="","",IF(ISNUMBER('Raw data'!L29),'Raw data'!L29*100,""))</f>
        <v>-0.083047993524743</v>
      </c>
      <c r="U29" s="41" t="n">
        <f aca="false">IF($A29="","",IF(ISNUMBER('Raw data'!M29),'Raw data'!M29*100,""))</f>
        <v>5.38909749105168</v>
      </c>
      <c r="V29" s="41" t="n">
        <f aca="false">IF($A29="","",IF(ISNUMBER('Raw data'!N29),'Raw data'!N29*100,""))</f>
        <v>-2.19632883829541</v>
      </c>
      <c r="W29" s="41" t="n">
        <f aca="false">IF($A29="","",IF(ISNUMBER('Raw data'!O29),'Raw data'!O29*100,""))</f>
        <v>-0.846802319934958</v>
      </c>
      <c r="X29" s="41" t="n">
        <f aca="false">IF($A29="","",IF(ISNUMBER('Raw data'!P29),'Raw data'!P29*100,""))</f>
        <v>3.0520471588577</v>
      </c>
      <c r="Y29" s="43" t="n">
        <f aca="false">IF($A29="","",IF(AND(ISNUMBER('Raw data'!J29),ISNUMBER('Raw data'!H29),ISNUMBER('Raw data'!L29),ISNUMBER('Raw data'!O29)),ROUND(('Raw data'!J29*'Raw data'!L29+(1-'Raw data'!J29)*'Raw data'!O29-'Raw data'!H29)*100,1),""))</f>
        <v>0</v>
      </c>
    </row>
    <row r="30" customFormat="false" ht="15" hidden="false" customHeight="false" outlineLevel="0" collapsed="false">
      <c r="A30" s="36" t="str">
        <f aca="false">IF(TRIM('Raw data'!A30)="","",TRIM('Raw data'!A30))</f>
        <v>France</v>
      </c>
      <c r="B30" s="36" t="str">
        <f aca="false">IF($A30="","",IF('Raw data'!B30="",UPPER(LEFT($A30,3)),'Raw data'!B30))</f>
        <v>FR</v>
      </c>
      <c r="C30" s="36" t="str">
        <f aca="false">IF($A30="","",'Raw data'!C30)</f>
        <v>Residential</v>
      </c>
      <c r="D30" s="37" t="n">
        <f aca="false">IF(OR($A30="",'Raw data'!E30=""),"",'Raw data'!E30)</f>
        <v>525</v>
      </c>
      <c r="E30" s="37" t="n">
        <f aca="false">IF(OR($A30="",'Raw data'!Q30=""),"",'Raw data'!Q30)</f>
        <v>94.5</v>
      </c>
      <c r="F30" s="41" t="n">
        <f aca="false">IF($A30="","",IF(ISNUMBER('Raw data'!G30),'Raw data'!G30*100,""))</f>
        <v>-1.54949361668216</v>
      </c>
      <c r="G30" s="41" t="n">
        <f aca="false">IF($A30="","",IF(ISNUMBER('Raw data'!H30),'Raw data'!H30*100,""))</f>
        <v>0.409163476775953</v>
      </c>
      <c r="H30" s="41" t="n">
        <f aca="false">IF($A30="","",IF(ISNUMBER('Raw data'!I30),'Raw data'!I30*100,""))</f>
        <v>1.91750853803925</v>
      </c>
      <c r="I30" s="41" t="n">
        <f aca="false">IF($A30="","",IF(ISNUMBER('Raw data'!R30),'Raw data'!R30*100,""))</f>
        <v>4</v>
      </c>
      <c r="J30" s="41" t="n">
        <f aca="false">IF($A30="","",IF(ISNUMBER('Raw data'!S30),'Raw data'!S30*100,""))</f>
        <v>1</v>
      </c>
      <c r="K30" s="41" t="n">
        <f aca="false">IF($A30="","",IF(ISNUMBER('Raw data'!T30),'Raw data'!T30*100,""))</f>
        <v>3.5</v>
      </c>
      <c r="L30" s="41" t="n">
        <f aca="false">IF($A30="","",IF('Raw data'!V30&lt;&gt;"",'Raw data'!V30*100,IF(AND(N('Raw data'!E30)&gt;0,'Raw data'!Q30&lt;&gt;""),'Raw data'!Q30*(1+N('Raw data'!S30))/('Raw data'!E30*(1+N('Raw data'!H30)))*100,"")))</f>
        <v>18.1059171996836</v>
      </c>
      <c r="M30" s="41" t="n">
        <f aca="false">IF($A30="","",IF('Raw data'!U30&lt;&gt;"",'Raw data'!U30*100,IF(AND(N('Raw data'!E30)&gt;0,'Raw data'!Q30&lt;&gt;""),'Raw data'!Q30/'Raw data'!E30*100,"")))</f>
        <v>18</v>
      </c>
      <c r="N30" s="42" t="n">
        <f aca="false">IF($A30="","",IF(ISNUMBER('Raw data'!W30),'Raw data'!W30,""))</f>
        <v>4</v>
      </c>
      <c r="O30" s="42" t="n">
        <f aca="false">IF($A30="","",IF(ISNUMBER('Raw data'!X30),'Raw data'!X30,""))</f>
        <v>3</v>
      </c>
      <c r="P30" s="42" t="n">
        <f aca="false">IF($A30="","",IF(ISNUMBER('Raw data'!Y30),'Raw data'!Y30,""))</f>
        <v>4</v>
      </c>
      <c r="Q30" s="42" t="n">
        <f aca="false">IF($A30="","",IF(ISNUMBER('Raw data'!Z30),'Raw data'!Z30,""))</f>
        <v>4</v>
      </c>
      <c r="R30" s="42" t="n">
        <f aca="false">IF($A30="","",IF(ISNUMBER('Raw data'!J30),'Raw data'!J30*100,""))</f>
        <v>77.4944720723876</v>
      </c>
      <c r="S30" s="41" t="n">
        <f aca="false">IF($A30="","",IF(ISNUMBER('Raw data'!K30),'Raw data'!K30*100,""))</f>
        <v>2.80821798617414</v>
      </c>
      <c r="T30" s="41" t="n">
        <f aca="false">IF($A30="","",IF(ISNUMBER('Raw data'!L30),'Raw data'!L30*100,""))</f>
        <v>1.76184277578997</v>
      </c>
      <c r="U30" s="41" t="n">
        <f aca="false">IF($A30="","",IF(ISNUMBER('Raw data'!M30),'Raw data'!M30*100,""))</f>
        <v>1.92596423783837</v>
      </c>
      <c r="V30" s="41" t="n">
        <f aca="false">IF($A30="","",IF(ISNUMBER('Raw data'!N30),'Raw data'!N30*100,""))</f>
        <v>-11.1514335254401</v>
      </c>
      <c r="W30" s="41" t="n">
        <f aca="false">IF($A30="","",IF(ISNUMBER('Raw data'!O30),'Raw data'!O30*100,""))</f>
        <v>-4.24858854297232</v>
      </c>
      <c r="X30" s="41" t="n">
        <f aca="false">IF($A30="","",IF(ISNUMBER('Raw data'!P30),'Raw data'!P30*100,""))</f>
        <v>1.88654098880188</v>
      </c>
      <c r="Y30" s="43" t="n">
        <f aca="false">IF($A30="","",IF(AND(ISNUMBER('Raw data'!J30),ISNUMBER('Raw data'!H30),ISNUMBER('Raw data'!L30),ISNUMBER('Raw data'!O30)),ROUND(('Raw data'!J30*'Raw data'!L30+(1-'Raw data'!J30)*'Raw data'!O30-'Raw data'!H30)*100,1),""))</f>
        <v>0</v>
      </c>
    </row>
    <row r="31" customFormat="false" ht="15" hidden="false" customHeight="false" outlineLevel="0" collapsed="false">
      <c r="A31" s="36" t="str">
        <f aca="false">IF(TRIM('Raw data'!A31)="","",TRIM('Raw data'!A31))</f>
        <v>France</v>
      </c>
      <c r="B31" s="36" t="str">
        <f aca="false">IF($A31="","",IF('Raw data'!B31="",UPPER(LEFT($A31,3)),'Raw data'!B31))</f>
        <v>FR</v>
      </c>
      <c r="C31" s="36" t="str">
        <f aca="false">IF($A31="","",'Raw data'!C31)</f>
        <v>Commercial</v>
      </c>
      <c r="D31" s="37" t="n">
        <f aca="false">IF(OR($A31="",'Raw data'!E31=""),"",'Raw data'!E31)</f>
        <v>1025</v>
      </c>
      <c r="E31" s="37" t="n">
        <f aca="false">IF(OR($A31="",'Raw data'!Q31=""),"",'Raw data'!Q31)</f>
        <v>143.5</v>
      </c>
      <c r="F31" s="41" t="n">
        <f aca="false">IF($A31="","",IF(ISNUMBER('Raw data'!G31),'Raw data'!G31*100,""))</f>
        <v>0.737970337835248</v>
      </c>
      <c r="G31" s="41" t="n">
        <f aca="false">IF($A31="","",IF(ISNUMBER('Raw data'!H31),'Raw data'!H31*100,""))</f>
        <v>1.04207784260486</v>
      </c>
      <c r="H31" s="41" t="n">
        <f aca="false">IF($A31="","",IF(ISNUMBER('Raw data'!I31),'Raw data'!I31*100,""))</f>
        <v>1.21628290255464</v>
      </c>
      <c r="I31" s="41" t="n">
        <f aca="false">IF($A31="","",IF(ISNUMBER('Raw data'!R31),'Raw data'!R31*100,""))</f>
        <v>4.5</v>
      </c>
      <c r="J31" s="41" t="n">
        <f aca="false">IF($A31="","",IF(ISNUMBER('Raw data'!S31),'Raw data'!S31*100,""))</f>
        <v>1.5</v>
      </c>
      <c r="K31" s="41" t="n">
        <f aca="false">IF($A31="","",IF(ISNUMBER('Raw data'!T31),'Raw data'!T31*100,""))</f>
        <v>4</v>
      </c>
      <c r="L31" s="41" t="n">
        <f aca="false">IF($A31="","",IF('Raw data'!V31&lt;&gt;"",'Raw data'!V31*100,IF(AND(N('Raw data'!E31)&gt;0,'Raw data'!Q31&lt;&gt;""),'Raw data'!Q31*(1+N('Raw data'!S31))/('Raw data'!E31*(1+N('Raw data'!H31)))*100,"")))</f>
        <v>14.0634479252645</v>
      </c>
      <c r="M31" s="41" t="n">
        <f aca="false">IF($A31="","",IF('Raw data'!U31&lt;&gt;"",'Raw data'!U31*100,IF(AND(N('Raw data'!E31)&gt;0,'Raw data'!Q31&lt;&gt;""),'Raw data'!Q31/'Raw data'!E31*100,"")))</f>
        <v>14</v>
      </c>
      <c r="N31" s="42" t="n">
        <f aca="false">IF($A31="","",IF(ISNUMBER('Raw data'!W31),'Raw data'!W31,""))</f>
        <v>4</v>
      </c>
      <c r="O31" s="42" t="n">
        <f aca="false">IF($A31="","",IF(ISNUMBER('Raw data'!X31),'Raw data'!X31,""))</f>
        <v>3</v>
      </c>
      <c r="P31" s="42" t="n">
        <f aca="false">IF($A31="","",IF(ISNUMBER('Raw data'!Y31),'Raw data'!Y31,""))</f>
        <v>4</v>
      </c>
      <c r="Q31" s="42" t="n">
        <f aca="false">IF($A31="","",IF(ISNUMBER('Raw data'!Z31),'Raw data'!Z31,""))</f>
        <v>4</v>
      </c>
      <c r="R31" s="42" t="n">
        <f aca="false">IF($A31="","",IF(ISNUMBER('Raw data'!J31),'Raw data'!J31*100,""))</f>
        <v>63.4343436951553</v>
      </c>
      <c r="S31" s="41" t="n">
        <f aca="false">IF($A31="","",IF(ISNUMBER('Raw data'!K31),'Raw data'!K31*100,""))</f>
        <v>4.45764611895643</v>
      </c>
      <c r="T31" s="41" t="n">
        <f aca="false">IF($A31="","",IF(ISNUMBER('Raw data'!L31),'Raw data'!L31*100,""))</f>
        <v>1.64129049590125</v>
      </c>
      <c r="U31" s="41" t="n">
        <f aca="false">IF($A31="","",IF(ISNUMBER('Raw data'!M31),'Raw data'!M31*100,""))</f>
        <v>1.68941707468939</v>
      </c>
      <c r="V31" s="41" t="n">
        <f aca="false">IF($A31="","",IF(ISNUMBER('Raw data'!N31),'Raw data'!N31*100,""))</f>
        <v>-4.22906958929223</v>
      </c>
      <c r="W31" s="41" t="n">
        <f aca="false">IF($A31="","",IF(ISNUMBER('Raw data'!O31),'Raw data'!O31*100,""))</f>
        <v>0.00255974729705954</v>
      </c>
      <c r="X31" s="41" t="n">
        <f aca="false">IF($A31="","",IF(ISNUMBER('Raw data'!P31),'Raw data'!P31*100,""))</f>
        <v>0.359828535973383</v>
      </c>
      <c r="Y31" s="43" t="n">
        <f aca="false">IF($A31="","",IF(AND(ISNUMBER('Raw data'!J31),ISNUMBER('Raw data'!H31),ISNUMBER('Raw data'!L31),ISNUMBER('Raw data'!O31)),ROUND(('Raw data'!J31*'Raw data'!L31+(1-'Raw data'!J31)*'Raw data'!O31-'Raw data'!H31)*100,1),""))</f>
        <v>-0</v>
      </c>
    </row>
    <row r="32" customFormat="false" ht="15" hidden="false" customHeight="false" outlineLevel="0" collapsed="false">
      <c r="A32" s="36" t="str">
        <f aca="false">IF(TRIM('Raw data'!A32)="","",TRIM('Raw data'!A32))</f>
        <v>Italy</v>
      </c>
      <c r="B32" s="36" t="str">
        <f aca="false">IF($A32="","",IF('Raw data'!B32="",UPPER(LEFT($A32,3)),'Raw data'!B32))</f>
        <v>IT</v>
      </c>
      <c r="C32" s="36" t="str">
        <f aca="false">IF($A32="","",'Raw data'!C32)</f>
        <v>Residential</v>
      </c>
      <c r="D32" s="37" t="n">
        <f aca="false">IF(OR($A32="",'Raw data'!E32=""),"",'Raw data'!E32)</f>
        <v>300</v>
      </c>
      <c r="E32" s="37" t="n">
        <f aca="false">IF(OR($A32="",'Raw data'!Q32=""),"",'Raw data'!Q32)</f>
        <v>33</v>
      </c>
      <c r="F32" s="41" t="n">
        <f aca="false">IF($A32="","",IF(ISNUMBER('Raw data'!G32),'Raw data'!G32*100,""))</f>
        <v>10.5067721311887</v>
      </c>
      <c r="G32" s="41" t="n">
        <f aca="false">IF($A32="","",IF(ISNUMBER('Raw data'!H32),'Raw data'!H32*100,""))</f>
        <v>-2.82235040706802</v>
      </c>
      <c r="H32" s="41" t="n">
        <f aca="false">IF($A32="","",IF(ISNUMBER('Raw data'!I32),'Raw data'!I32*100,""))</f>
        <v>-2.23924451401707</v>
      </c>
      <c r="I32" s="41" t="n">
        <f aca="false">IF($A32="","",IF(ISNUMBER('Raw data'!R32),'Raw data'!R32*100,""))</f>
        <v>3</v>
      </c>
      <c r="J32" s="41" t="n">
        <f aca="false">IF($A32="","",IF(ISNUMBER('Raw data'!S32),'Raw data'!S32*100,""))</f>
        <v>-3</v>
      </c>
      <c r="K32" s="41" t="n">
        <f aca="false">IF($A32="","",IF(ISNUMBER('Raw data'!T32),'Raw data'!T32*100,""))</f>
        <v>2</v>
      </c>
      <c r="L32" s="41" t="n">
        <f aca="false">IF($A32="","",IF('Raw data'!V32&lt;&gt;"",'Raw data'!V32*100,IF(AND(N('Raw data'!E32)&gt;0,'Raw data'!Q32&lt;&gt;""),'Raw data'!Q32*(1+N('Raw data'!S32))/('Raw data'!E32*(1+N('Raw data'!H32)))*100,"")))</f>
        <v>10.9798909982857</v>
      </c>
      <c r="M32" s="41" t="n">
        <f aca="false">IF($A32="","",IF('Raw data'!U32&lt;&gt;"",'Raw data'!U32*100,IF(AND(N('Raw data'!E32)&gt;0,'Raw data'!Q32&lt;&gt;""),'Raw data'!Q32/'Raw data'!E32*100,"")))</f>
        <v>11</v>
      </c>
      <c r="N32" s="42" t="n">
        <f aca="false">IF($A32="","",IF(ISNUMBER('Raw data'!W32),'Raw data'!W32,""))</f>
        <v>3</v>
      </c>
      <c r="O32" s="42" t="n">
        <f aca="false">IF($A32="","",IF(ISNUMBER('Raw data'!X32),'Raw data'!X32,""))</f>
        <v>3</v>
      </c>
      <c r="P32" s="42" t="n">
        <f aca="false">IF($A32="","",IF(ISNUMBER('Raw data'!Y32),'Raw data'!Y32,""))</f>
        <v>4</v>
      </c>
      <c r="Q32" s="42" t="n">
        <f aca="false">IF($A32="","",IF(ISNUMBER('Raw data'!Z32),'Raw data'!Z32,""))</f>
        <v>3</v>
      </c>
      <c r="R32" s="42" t="n">
        <f aca="false">IF($A32="","",IF(ISNUMBER('Raw data'!J32),'Raw data'!J32*100,""))</f>
        <v>79.1549048957687</v>
      </c>
      <c r="S32" s="41" t="n">
        <f aca="false">IF($A32="","",IF(ISNUMBER('Raw data'!K32),'Raw data'!K32*100,""))</f>
        <v>10.7577956686453</v>
      </c>
      <c r="T32" s="41" t="n">
        <f aca="false">IF($A32="","",IF(ISNUMBER('Raw data'!L32),'Raw data'!L32*100,""))</f>
        <v>-4.14001546031331</v>
      </c>
      <c r="U32" s="41" t="n">
        <f aca="false">IF($A32="","",IF(ISNUMBER('Raw data'!M32),'Raw data'!M32*100,""))</f>
        <v>-1.26639827652932</v>
      </c>
      <c r="V32" s="41" t="n">
        <f aca="false">IF($A32="","",IF(ISNUMBER('Raw data'!N32),'Raw data'!N32*100,""))</f>
        <v>9.58361832028132</v>
      </c>
      <c r="W32" s="41" t="n">
        <f aca="false">IF($A32="","",IF(ISNUMBER('Raw data'!O32),'Raw data'!O32*100,""))</f>
        <v>2.18120805369129</v>
      </c>
      <c r="X32" s="41" t="n">
        <f aca="false">IF($A32="","",IF(ISNUMBER('Raw data'!P32),'Raw data'!P32*100,""))</f>
        <v>-6.06206801980648</v>
      </c>
      <c r="Y32" s="43" t="n">
        <f aca="false">IF($A32="","",IF(AND(ISNUMBER('Raw data'!J32),ISNUMBER('Raw data'!H32),ISNUMBER('Raw data'!L32),ISNUMBER('Raw data'!O32)),ROUND(('Raw data'!J32*'Raw data'!L32+(1-'Raw data'!J32)*'Raw data'!O32-'Raw data'!H32)*100,1),""))</f>
        <v>0</v>
      </c>
    </row>
    <row r="33" customFormat="false" ht="15" hidden="false" customHeight="false" outlineLevel="0" collapsed="false">
      <c r="A33" s="36" t="str">
        <f aca="false">IF(TRIM('Raw data'!A33)="","",TRIM('Raw data'!A33))</f>
        <v>Italy</v>
      </c>
      <c r="B33" s="36" t="str">
        <f aca="false">IF($A33="","",IF('Raw data'!B33="",UPPER(LEFT($A33,3)),'Raw data'!B33))</f>
        <v>IT</v>
      </c>
      <c r="C33" s="36" t="str">
        <f aca="false">IF($A33="","",'Raw data'!C33)</f>
        <v>Commercial</v>
      </c>
      <c r="D33" s="37" t="n">
        <f aca="false">IF(OR($A33="",'Raw data'!E33=""),"",'Raw data'!E33)</f>
        <v>1030</v>
      </c>
      <c r="E33" s="37" t="n">
        <f aca="false">IF(OR($A33="",'Raw data'!Q33=""),"",'Raw data'!Q33)</f>
        <v>97.8</v>
      </c>
      <c r="F33" s="41" t="n">
        <f aca="false">IF($A33="","",IF(ISNUMBER('Raw data'!G33),'Raw data'!G33*100,""))</f>
        <v>9.57594627731746</v>
      </c>
      <c r="G33" s="41" t="n">
        <f aca="false">IF($A33="","",IF(ISNUMBER('Raw data'!H33),'Raw data'!H33*100,""))</f>
        <v>0.17024547594755</v>
      </c>
      <c r="H33" s="41" t="n">
        <f aca="false">IF($A33="","",IF(ISNUMBER('Raw data'!I33),'Raw data'!I33*100,""))</f>
        <v>1.4115777056698</v>
      </c>
      <c r="I33" s="41" t="n">
        <f aca="false">IF($A33="","",IF(ISNUMBER('Raw data'!R33),'Raw data'!R33*100,""))</f>
        <v>3.5</v>
      </c>
      <c r="J33" s="41" t="n">
        <f aca="false">IF($A33="","",IF(ISNUMBER('Raw data'!S33),'Raw data'!S33*100,""))</f>
        <v>-2.5</v>
      </c>
      <c r="K33" s="41" t="n">
        <f aca="false">IF($A33="","",IF(ISNUMBER('Raw data'!T33),'Raw data'!T33*100,""))</f>
        <v>2.5</v>
      </c>
      <c r="L33" s="41" t="n">
        <f aca="false">IF($A33="","",IF('Raw data'!V33&lt;&gt;"",'Raw data'!V33*100,IF(AND(N('Raw data'!E33)&gt;0,'Raw data'!Q33&lt;&gt;""),'Raw data'!Q33*(1+N('Raw data'!S33))/('Raw data'!E33*(1+N('Raw data'!H33)))*100,"")))</f>
        <v>9.24203284748284</v>
      </c>
      <c r="M33" s="41" t="n">
        <f aca="false">IF($A33="","",IF('Raw data'!U33&lt;&gt;"",'Raw data'!U33*100,IF(AND(N('Raw data'!E33)&gt;0,'Raw data'!Q33&lt;&gt;""),'Raw data'!Q33/'Raw data'!E33*100,"")))</f>
        <v>9.49514563106796</v>
      </c>
      <c r="N33" s="42" t="n">
        <f aca="false">IF($A33="","",IF(ISNUMBER('Raw data'!W33),'Raw data'!W33,""))</f>
        <v>3</v>
      </c>
      <c r="O33" s="42" t="n">
        <f aca="false">IF($A33="","",IF(ISNUMBER('Raw data'!X33),'Raw data'!X33,""))</f>
        <v>3</v>
      </c>
      <c r="P33" s="42" t="n">
        <f aca="false">IF($A33="","",IF(ISNUMBER('Raw data'!Y33),'Raw data'!Y33,""))</f>
        <v>4</v>
      </c>
      <c r="Q33" s="42" t="n">
        <f aca="false">IF($A33="","",IF(ISNUMBER('Raw data'!Z33),'Raw data'!Z33,""))</f>
        <v>3</v>
      </c>
      <c r="R33" s="42" t="n">
        <f aca="false">IF($A33="","",IF(ISNUMBER('Raw data'!J33),'Raw data'!J33*100,""))</f>
        <v>82.766365866114</v>
      </c>
      <c r="S33" s="41" t="n">
        <f aca="false">IF($A33="","",IF(ISNUMBER('Raw data'!K33),'Raw data'!K33*100,""))</f>
        <v>9.74080767571552</v>
      </c>
      <c r="T33" s="41" t="n">
        <f aca="false">IF($A33="","",IF(ISNUMBER('Raw data'!L33),'Raw data'!L33*100,""))</f>
        <v>-0.09399940498519</v>
      </c>
      <c r="U33" s="41" t="n">
        <f aca="false">IF($A33="","",IF(ISNUMBER('Raw data'!M33),'Raw data'!M33*100,""))</f>
        <v>1.22338287491848</v>
      </c>
      <c r="V33" s="41" t="n">
        <f aca="false">IF($A33="","",IF(ISNUMBER('Raw data'!N33),'Raw data'!N33*100,""))</f>
        <v>8.80431610028938</v>
      </c>
      <c r="W33" s="41" t="n">
        <f aca="false">IF($A33="","",IF(ISNUMBER('Raw data'!O33),'Raw data'!O33*100,""))</f>
        <v>1.43930969789967</v>
      </c>
      <c r="X33" s="41" t="n">
        <f aca="false">IF($A33="","",IF(ISNUMBER('Raw data'!P33),'Raw data'!P33*100,""))</f>
        <v>2.28332714927464</v>
      </c>
      <c r="Y33" s="43" t="n">
        <f aca="false">IF($A33="","",IF(AND(ISNUMBER('Raw data'!J33),ISNUMBER('Raw data'!H33),ISNUMBER('Raw data'!L33),ISNUMBER('Raw data'!O33)),ROUND(('Raw data'!J33*'Raw data'!L33+(1-'Raw data'!J33)*'Raw data'!O33-'Raw data'!H33)*100,1),""))</f>
        <v>0</v>
      </c>
    </row>
    <row r="34" customFormat="false" ht="15" hidden="false" customHeight="false" outlineLevel="0" collapsed="false">
      <c r="A34" s="36" t="str">
        <f aca="false">IF(TRIM('Raw data'!A34)="","",TRIM('Raw data'!A34))</f>
        <v>Belgium</v>
      </c>
      <c r="B34" s="36" t="str">
        <f aca="false">IF($A34="","",IF('Raw data'!B34="",UPPER(LEFT($A34,3)),'Raw data'!B34))</f>
        <v>BE</v>
      </c>
      <c r="C34" s="36" t="str">
        <f aca="false">IF($A34="","",'Raw data'!C34)</f>
        <v>Residential</v>
      </c>
      <c r="D34" s="37" t="n">
        <f aca="false">IF(OR($A34="",'Raw data'!E34=""),"",'Raw data'!E34)</f>
        <v>115</v>
      </c>
      <c r="E34" s="37" t="n">
        <f aca="false">IF(OR($A34="",'Raw data'!Q34=""),"",'Raw data'!Q34)</f>
        <v>17.2</v>
      </c>
      <c r="F34" s="41" t="n">
        <f aca="false">IF($A34="","",IF(ISNUMBER('Raw data'!G34),'Raw data'!G34*100,""))</f>
        <v>0.562908296750186</v>
      </c>
      <c r="G34" s="41" t="n">
        <f aca="false">IF($A34="","",IF(ISNUMBER('Raw data'!H34),'Raw data'!H34*100,""))</f>
        <v>-3.00651683909728</v>
      </c>
      <c r="H34" s="41" t="n">
        <f aca="false">IF($A34="","",IF(ISNUMBER('Raw data'!I34),'Raw data'!I34*100,""))</f>
        <v>2.28529477061796</v>
      </c>
      <c r="I34" s="41" t="n">
        <f aca="false">IF($A34="","",IF(ISNUMBER('Raw data'!R34),'Raw data'!R34*100,""))</f>
        <v>3</v>
      </c>
      <c r="J34" s="41" t="n">
        <f aca="false">IF($A34="","",IF(ISNUMBER('Raw data'!S34),'Raw data'!S34*100,""))</f>
        <v>2</v>
      </c>
      <c r="K34" s="41" t="n">
        <f aca="false">IF($A34="","",IF(ISNUMBER('Raw data'!T34),'Raw data'!T34*100,""))</f>
        <v>3.5</v>
      </c>
      <c r="L34" s="41" t="n">
        <f aca="false">IF($A34="","",IF('Raw data'!V34&lt;&gt;"",'Raw data'!V34*100,IF(AND(N('Raw data'!E34)&gt;0,'Raw data'!Q34&lt;&gt;""),'Raw data'!Q34*(1+N('Raw data'!S34))/('Raw data'!E34*(1+N('Raw data'!H34)))*100,"")))</f>
        <v>15.7285331722807</v>
      </c>
      <c r="M34" s="41" t="n">
        <f aca="false">IF($A34="","",IF('Raw data'!U34&lt;&gt;"",'Raw data'!U34*100,IF(AND(N('Raw data'!E34)&gt;0,'Raw data'!Q34&lt;&gt;""),'Raw data'!Q34/'Raw data'!E34*100,"")))</f>
        <v>14.9565217391304</v>
      </c>
      <c r="N34" s="42" t="n">
        <f aca="false">IF($A34="","",IF(ISNUMBER('Raw data'!W34),'Raw data'!W34,""))</f>
        <v>4</v>
      </c>
      <c r="O34" s="42" t="n">
        <f aca="false">IF($A34="","",IF(ISNUMBER('Raw data'!X34),'Raw data'!X34,""))</f>
        <v>3</v>
      </c>
      <c r="P34" s="42" t="n">
        <f aca="false">IF($A34="","",IF(ISNUMBER('Raw data'!Y34),'Raw data'!Y34,""))</f>
        <v>4</v>
      </c>
      <c r="Q34" s="42" t="n">
        <f aca="false">IF($A34="","",IF(ISNUMBER('Raw data'!Z34),'Raw data'!Z34,""))</f>
        <v>4</v>
      </c>
      <c r="R34" s="42" t="n">
        <f aca="false">IF($A34="","",IF(ISNUMBER('Raw data'!J34),'Raw data'!J34*100,""))</f>
        <v>73.4945724444277</v>
      </c>
      <c r="S34" s="41" t="n">
        <f aca="false">IF($A34="","",IF(ISNUMBER('Raw data'!K34),'Raw data'!K34*100,""))</f>
        <v>3.08497612928871</v>
      </c>
      <c r="T34" s="41" t="n">
        <f aca="false">IF($A34="","",IF(ISNUMBER('Raw data'!L34),'Raw data'!L34*100,""))</f>
        <v>-1.1184611534933</v>
      </c>
      <c r="U34" s="41" t="n">
        <f aca="false">IF($A34="","",IF(ISNUMBER('Raw data'!M34),'Raw data'!M34*100,""))</f>
        <v>2.2191660573325</v>
      </c>
      <c r="V34" s="41" t="n">
        <f aca="false">IF($A34="","",IF(ISNUMBER('Raw data'!N34),'Raw data'!N34*100,""))</f>
        <v>-4.91197569657782</v>
      </c>
      <c r="W34" s="41" t="n">
        <f aca="false">IF($A34="","",IF(ISNUMBER('Raw data'!O34),'Raw data'!O34*100,""))</f>
        <v>-8.24174064651568</v>
      </c>
      <c r="X34" s="41" t="n">
        <f aca="false">IF($A34="","",IF(ISNUMBER('Raw data'!P34),'Raw data'!P34*100,""))</f>
        <v>2.48187944641731</v>
      </c>
      <c r="Y34" s="43" t="n">
        <f aca="false">IF($A34="","",IF(AND(ISNUMBER('Raw data'!J34),ISNUMBER('Raw data'!H34),ISNUMBER('Raw data'!L34),ISNUMBER('Raw data'!O34)),ROUND(('Raw data'!J34*'Raw data'!L34+(1-'Raw data'!J34)*'Raw data'!O34-'Raw data'!H34)*100,1),""))</f>
        <v>0</v>
      </c>
    </row>
    <row r="35" customFormat="false" ht="15" hidden="false" customHeight="false" outlineLevel="0" collapsed="false">
      <c r="A35" s="36" t="str">
        <f aca="false">IF(TRIM('Raw data'!A35)="","",TRIM('Raw data'!A35))</f>
        <v>Belgium</v>
      </c>
      <c r="B35" s="36" t="str">
        <f aca="false">IF($A35="","",IF('Raw data'!B35="",UPPER(LEFT($A35,3)),'Raw data'!B35))</f>
        <v>BE</v>
      </c>
      <c r="C35" s="36" t="str">
        <f aca="false">IF($A35="","",'Raw data'!C35)</f>
        <v>Commercial</v>
      </c>
      <c r="D35" s="37" t="n">
        <f aca="false">IF(OR($A35="",'Raw data'!E35=""),"",'Raw data'!E35)</f>
        <v>215</v>
      </c>
      <c r="E35" s="37" t="n">
        <f aca="false">IF(OR($A35="",'Raw data'!Q35=""),"",'Raw data'!Q35)</f>
        <v>25.8</v>
      </c>
      <c r="F35" s="41" t="n">
        <f aca="false">IF($A35="","",IF(ISNUMBER('Raw data'!G35),'Raw data'!G35*100,""))</f>
        <v>2.59293584493279</v>
      </c>
      <c r="G35" s="41" t="n">
        <f aca="false">IF($A35="","",IF(ISNUMBER('Raw data'!H35),'Raw data'!H35*100,""))</f>
        <v>1.81236646664318</v>
      </c>
      <c r="H35" s="41" t="n">
        <f aca="false">IF($A35="","",IF(ISNUMBER('Raw data'!I35),'Raw data'!I35*100,""))</f>
        <v>3.06407394366455</v>
      </c>
      <c r="I35" s="41" t="n">
        <f aca="false">IF($A35="","",IF(ISNUMBER('Raw data'!R35),'Raw data'!R35*100,""))</f>
        <v>3.5</v>
      </c>
      <c r="J35" s="41" t="n">
        <f aca="false">IF($A35="","",IF(ISNUMBER('Raw data'!S35),'Raw data'!S35*100,""))</f>
        <v>2.5</v>
      </c>
      <c r="K35" s="41" t="n">
        <f aca="false">IF($A35="","",IF(ISNUMBER('Raw data'!T35),'Raw data'!T35*100,""))</f>
        <v>4</v>
      </c>
      <c r="L35" s="41" t="n">
        <f aca="false">IF($A35="","",IF('Raw data'!V35&lt;&gt;"",'Raw data'!V35*100,IF(AND(N('Raw data'!E35)&gt;0,'Raw data'!Q35&lt;&gt;""),'Raw data'!Q35*(1+N('Raw data'!S35))/('Raw data'!E35*(1+N('Raw data'!H35)))*100,"")))</f>
        <v>12.0810471525872</v>
      </c>
      <c r="M35" s="41" t="n">
        <f aca="false">IF($A35="","",IF('Raw data'!U35&lt;&gt;"",'Raw data'!U35*100,IF(AND(N('Raw data'!E35)&gt;0,'Raw data'!Q35&lt;&gt;""),'Raw data'!Q35/'Raw data'!E35*100,"")))</f>
        <v>12</v>
      </c>
      <c r="N35" s="42" t="n">
        <f aca="false">IF($A35="","",IF(ISNUMBER('Raw data'!W35),'Raw data'!W35,""))</f>
        <v>4</v>
      </c>
      <c r="O35" s="42" t="n">
        <f aca="false">IF($A35="","",IF(ISNUMBER('Raw data'!X35),'Raw data'!X35,""))</f>
        <v>3</v>
      </c>
      <c r="P35" s="42" t="n">
        <f aca="false">IF($A35="","",IF(ISNUMBER('Raw data'!Y35),'Raw data'!Y35,""))</f>
        <v>4</v>
      </c>
      <c r="Q35" s="42" t="n">
        <f aca="false">IF($A35="","",IF(ISNUMBER('Raw data'!Z35),'Raw data'!Z35,""))</f>
        <v>4</v>
      </c>
      <c r="R35" s="42" t="n">
        <f aca="false">IF($A35="","",IF(ISNUMBER('Raw data'!J35),'Raw data'!J35*100,""))</f>
        <v>58.6862733430675</v>
      </c>
      <c r="S35" s="41" t="n">
        <f aca="false">IF($A35="","",IF(ISNUMBER('Raw data'!K35),'Raw data'!K35*100,""))</f>
        <v>3.86848576517109</v>
      </c>
      <c r="T35" s="41" t="n">
        <f aca="false">IF($A35="","",IF(ISNUMBER('Raw data'!L35),'Raw data'!L35*100,""))</f>
        <v>1.87125735529885</v>
      </c>
      <c r="U35" s="41" t="n">
        <f aca="false">IF($A35="","",IF(ISNUMBER('Raw data'!M35),'Raw data'!M35*100,""))</f>
        <v>3.77712242046186</v>
      </c>
      <c r="V35" s="41" t="n">
        <f aca="false">IF($A35="","",IF(ISNUMBER('Raw data'!N35),'Raw data'!N35*100,""))</f>
        <v>0.930642174728846</v>
      </c>
      <c r="W35" s="41" t="n">
        <f aca="false">IF($A35="","",IF(ISNUMBER('Raw data'!O35),'Raw data'!O35*100,""))</f>
        <v>1.72871178165765</v>
      </c>
      <c r="X35" s="41" t="n">
        <f aca="false">IF($A35="","",IF(ISNUMBER('Raw data'!P35),'Raw data'!P35*100,""))</f>
        <v>2.0144731624145</v>
      </c>
      <c r="Y35" s="43" t="n">
        <f aca="false">IF($A35="","",IF(AND(ISNUMBER('Raw data'!J35),ISNUMBER('Raw data'!H35),ISNUMBER('Raw data'!L35),ISNUMBER('Raw data'!O35)),ROUND(('Raw data'!J35*'Raw data'!L35+(1-'Raw data'!J35)*'Raw data'!O35-'Raw data'!H35)*100,1),""))</f>
        <v>-0</v>
      </c>
    </row>
    <row r="36" customFormat="false" ht="15" hidden="false" customHeight="false" outlineLevel="0" collapsed="false">
      <c r="A36" s="36" t="str">
        <f aca="false">IF(TRIM('Raw data'!A36)="","",TRIM('Raw data'!A36))</f>
        <v>Spain</v>
      </c>
      <c r="B36" s="36" t="str">
        <f aca="false">IF($A36="","",IF('Raw data'!B36="",UPPER(LEFT($A36,3)),'Raw data'!B36))</f>
        <v>ES</v>
      </c>
      <c r="C36" s="36" t="str">
        <f aca="false">IF($A36="","",'Raw data'!C36)</f>
        <v>Residential</v>
      </c>
      <c r="D36" s="37" t="n">
        <f aca="false">IF(OR($A36="",'Raw data'!E36=""),"",'Raw data'!E36)</f>
        <v>215</v>
      </c>
      <c r="E36" s="37" t="n">
        <f aca="false">IF(OR($A36="",'Raw data'!Q36=""),"",'Raw data'!Q36)</f>
        <v>21.1</v>
      </c>
      <c r="F36" s="41" t="n">
        <f aca="false">IF($A36="","",IF(ISNUMBER('Raw data'!G36),'Raw data'!G36*100,""))</f>
        <v>3.26404738113613</v>
      </c>
      <c r="G36" s="41" t="n">
        <f aca="false">IF($A36="","",IF(ISNUMBER('Raw data'!H36),'Raw data'!H36*100,""))</f>
        <v>1.76740713200401</v>
      </c>
      <c r="H36" s="41" t="n">
        <f aca="false">IF($A36="","",IF(ISNUMBER('Raw data'!I36),'Raw data'!I36*100,""))</f>
        <v>2.324374871934</v>
      </c>
      <c r="I36" s="41" t="n">
        <f aca="false">IF($A36="","",IF(ISNUMBER('Raw data'!R36),'Raw data'!R36*100,""))</f>
        <v>7.5</v>
      </c>
      <c r="J36" s="41" t="n">
        <f aca="false">IF($A36="","",IF(ISNUMBER('Raw data'!S36),'Raw data'!S36*100,""))</f>
        <v>6</v>
      </c>
      <c r="K36" s="41" t="n">
        <f aca="false">IF($A36="","",IF(ISNUMBER('Raw data'!T36),'Raw data'!T36*100,""))</f>
        <v>8</v>
      </c>
      <c r="L36" s="41" t="n">
        <f aca="false">IF($A36="","",IF('Raw data'!V36&lt;&gt;"",'Raw data'!V36*100,IF(AND(N('Raw data'!E36)&gt;0,'Raw data'!Q36&lt;&gt;""),'Raw data'!Q36*(1+N('Raw data'!S36))/('Raw data'!E36*(1+N('Raw data'!H36)))*100,"")))</f>
        <v>10.2221241464675</v>
      </c>
      <c r="M36" s="41" t="n">
        <f aca="false">IF($A36="","",IF('Raw data'!U36&lt;&gt;"",'Raw data'!U36*100,IF(AND(N('Raw data'!E36)&gt;0,'Raw data'!Q36&lt;&gt;""),'Raw data'!Q36/'Raw data'!E36*100,"")))</f>
        <v>9.81395348837209</v>
      </c>
      <c r="N36" s="42" t="n">
        <f aca="false">IF($A36="","",IF(ISNUMBER('Raw data'!W36),'Raw data'!W36,""))</f>
        <v>3</v>
      </c>
      <c r="O36" s="42" t="n">
        <f aca="false">IF($A36="","",IF(ISNUMBER('Raw data'!X36),'Raw data'!X36,""))</f>
        <v>3</v>
      </c>
      <c r="P36" s="42" t="n">
        <f aca="false">IF($A36="","",IF(ISNUMBER('Raw data'!Y36),'Raw data'!Y36,""))</f>
        <v>3</v>
      </c>
      <c r="Q36" s="42" t="n">
        <f aca="false">IF($A36="","",IF(ISNUMBER('Raw data'!Z36),'Raw data'!Z36,""))</f>
        <v>4</v>
      </c>
      <c r="R36" s="42" t="n">
        <f aca="false">IF($A36="","",IF(ISNUMBER('Raw data'!J36),'Raw data'!J36*100,""))</f>
        <v>37.0363257678762</v>
      </c>
      <c r="S36" s="41" t="n">
        <f aca="false">IF($A36="","",IF(ISNUMBER('Raw data'!K36),'Raw data'!K36*100,""))</f>
        <v>1.74934729126028</v>
      </c>
      <c r="T36" s="41" t="n">
        <f aca="false">IF($A36="","",IF(ISNUMBER('Raw data'!L36),'Raw data'!L36*100,""))</f>
        <v>-3.01297695674121</v>
      </c>
      <c r="U36" s="41" t="n">
        <f aca="false">IF($A36="","",IF(ISNUMBER('Raw data'!M36),'Raw data'!M36*100,""))</f>
        <v>2.95128136891052</v>
      </c>
      <c r="V36" s="41" t="n">
        <f aca="false">IF($A36="","",IF(ISNUMBER('Raw data'!N36),'Raw data'!N36*100,""))</f>
        <v>4.22168609023979</v>
      </c>
      <c r="W36" s="41" t="n">
        <f aca="false">IF($A36="","",IF(ISNUMBER('Raw data'!O36),'Raw data'!O36*100,""))</f>
        <v>4.57931200517943</v>
      </c>
      <c r="X36" s="41" t="n">
        <f aca="false">IF($A36="","",IF(ISNUMBER('Raw data'!P36),'Raw data'!P36*100,""))</f>
        <v>1.97580582580648</v>
      </c>
      <c r="Y36" s="43" t="n">
        <f aca="false">IF($A36="","",IF(AND(ISNUMBER('Raw data'!J36),ISNUMBER('Raw data'!H36),ISNUMBER('Raw data'!L36),ISNUMBER('Raw data'!O36)),ROUND(('Raw data'!J36*'Raw data'!L36+(1-'Raw data'!J36)*'Raw data'!O36-'Raw data'!H36)*100,1),""))</f>
        <v>-0</v>
      </c>
    </row>
    <row r="37" customFormat="false" ht="15" hidden="false" customHeight="false" outlineLevel="0" collapsed="false">
      <c r="A37" s="36" t="str">
        <f aca="false">IF(TRIM('Raw data'!A37)="","",TRIM('Raw data'!A37))</f>
        <v>Spain</v>
      </c>
      <c r="B37" s="36" t="str">
        <f aca="false">IF($A37="","",IF('Raw data'!B37="",UPPER(LEFT($A37,3)),'Raw data'!B37))</f>
        <v>ES</v>
      </c>
      <c r="C37" s="36" t="str">
        <f aca="false">IF($A37="","",'Raw data'!C37)</f>
        <v>Commercial</v>
      </c>
      <c r="D37" s="37" t="n">
        <f aca="false">IF(OR($A37="",'Raw data'!E37=""),"",'Raw data'!E37)</f>
        <v>945</v>
      </c>
      <c r="E37" s="37" t="n">
        <f aca="false">IF(OR($A37="",'Raw data'!Q37=""),"",'Raw data'!Q37)</f>
        <v>70.9</v>
      </c>
      <c r="F37" s="41" t="n">
        <f aca="false">IF($A37="","",IF(ISNUMBER('Raw data'!G37),'Raw data'!G37*100,""))</f>
        <v>4.67386273311994</v>
      </c>
      <c r="G37" s="41" t="n">
        <f aca="false">IF($A37="","",IF(ISNUMBER('Raw data'!H37),'Raw data'!H37*100,""))</f>
        <v>6.67727955719091</v>
      </c>
      <c r="H37" s="41" t="n">
        <f aca="false">IF($A37="","",IF(ISNUMBER('Raw data'!I37),'Raw data'!I37*100,""))</f>
        <v>3.65555194596321</v>
      </c>
      <c r="I37" s="41" t="n">
        <f aca="false">IF($A37="","",IF(ISNUMBER('Raw data'!R37),'Raw data'!R37*100,""))</f>
        <v>8</v>
      </c>
      <c r="J37" s="41" t="n">
        <f aca="false">IF($A37="","",IF(ISNUMBER('Raw data'!S37),'Raw data'!S37*100,""))</f>
        <v>6.5</v>
      </c>
      <c r="K37" s="41" t="n">
        <f aca="false">IF($A37="","",IF(ISNUMBER('Raw data'!T37),'Raw data'!T37*100,""))</f>
        <v>8.5</v>
      </c>
      <c r="L37" s="41" t="n">
        <f aca="false">IF($A37="","",IF('Raw data'!V37&lt;&gt;"",'Raw data'!V37*100,IF(AND(N('Raw data'!E37)&gt;0,'Raw data'!Q37&lt;&gt;""),'Raw data'!Q37*(1+N('Raw data'!S37))/('Raw data'!E37*(1+N('Raw data'!H37)))*100,"")))</f>
        <v>7.4901773774928</v>
      </c>
      <c r="M37" s="41" t="n">
        <f aca="false">IF($A37="","",IF('Raw data'!U37&lt;&gt;"",'Raw data'!U37*100,IF(AND(N('Raw data'!E37)&gt;0,'Raw data'!Q37&lt;&gt;""),'Raw data'!Q37/'Raw data'!E37*100,"")))</f>
        <v>7.5026455026455</v>
      </c>
      <c r="N37" s="42" t="n">
        <f aca="false">IF($A37="","",IF(ISNUMBER('Raw data'!W37),'Raw data'!W37,""))</f>
        <v>3</v>
      </c>
      <c r="O37" s="42" t="n">
        <f aca="false">IF($A37="","",IF(ISNUMBER('Raw data'!X37),'Raw data'!X37,""))</f>
        <v>3</v>
      </c>
      <c r="P37" s="42" t="n">
        <f aca="false">IF($A37="","",IF(ISNUMBER('Raw data'!Y37),'Raw data'!Y37,""))</f>
        <v>3</v>
      </c>
      <c r="Q37" s="42" t="n">
        <f aca="false">IF($A37="","",IF(ISNUMBER('Raw data'!Z37),'Raw data'!Z37,""))</f>
        <v>4</v>
      </c>
      <c r="R37" s="42" t="n">
        <f aca="false">IF($A37="","",IF(ISNUMBER('Raw data'!J37),'Raw data'!J37*100,""))</f>
        <v>35.8499952162361</v>
      </c>
      <c r="S37" s="41" t="n">
        <f aca="false">IF($A37="","",IF(ISNUMBER('Raw data'!K37),'Raw data'!K37*100,""))</f>
        <v>5.06196522202851</v>
      </c>
      <c r="T37" s="41" t="n">
        <f aca="false">IF($A37="","",IF(ISNUMBER('Raw data'!L37),'Raw data'!L37*100,""))</f>
        <v>-0.126513267560391</v>
      </c>
      <c r="U37" s="41" t="n">
        <f aca="false">IF($A37="","",IF(ISNUMBER('Raw data'!M37),'Raw data'!M37*100,""))</f>
        <v>4.06819560795881</v>
      </c>
      <c r="V37" s="41" t="n">
        <f aca="false">IF($A37="","",IF(ISNUMBER('Raw data'!N37),'Raw data'!N37*100,""))</f>
        <v>4.46067368696885</v>
      </c>
      <c r="W37" s="41" t="n">
        <f aca="false">IF($A37="","",IF(ISNUMBER('Raw data'!O37),'Raw data'!O37*100,""))</f>
        <v>10.479554257587</v>
      </c>
      <c r="X37" s="41" t="n">
        <f aca="false">IF($A37="","",IF(ISNUMBER('Raw data'!P37),'Raw data'!P37*100,""))</f>
        <v>3.44456205032071</v>
      </c>
      <c r="Y37" s="43" t="n">
        <f aca="false">IF($A37="","",IF(AND(ISNUMBER('Raw data'!J37),ISNUMBER('Raw data'!H37),ISNUMBER('Raw data'!L37),ISNUMBER('Raw data'!O37)),ROUND(('Raw data'!J37*'Raw data'!L37+(1-'Raw data'!J37)*'Raw data'!O37-'Raw data'!H37)*100,1),""))</f>
        <v>0</v>
      </c>
    </row>
    <row r="38" customFormat="false" ht="15" hidden="false" customHeight="false" outlineLevel="0" collapsed="false">
      <c r="A38" s="36" t="str">
        <f aca="false">IF(TRIM('Raw data'!A38)="","",TRIM('Raw data'!A38))</f>
        <v>Portugal</v>
      </c>
      <c r="B38" s="36" t="str">
        <f aca="false">IF($A38="","",IF('Raw data'!B38="",UPPER(LEFT($A38,3)),'Raw data'!B38))</f>
        <v>PT</v>
      </c>
      <c r="C38" s="36" t="str">
        <f aca="false">IF($A38="","",'Raw data'!C38)</f>
        <v>Residential</v>
      </c>
      <c r="D38" s="37" t="n">
        <f aca="false">IF(OR($A38="",'Raw data'!E38=""),"",'Raw data'!E38)</f>
        <v>45</v>
      </c>
      <c r="E38" s="37" t="n">
        <f aca="false">IF(OR($A38="",'Raw data'!Q38=""),"",'Raw data'!Q38)</f>
        <v>3.6</v>
      </c>
      <c r="F38" s="41" t="n">
        <f aca="false">IF($A38="","",IF(ISNUMBER('Raw data'!G38),'Raw data'!G38*100,""))</f>
        <v>3.02065041126041</v>
      </c>
      <c r="G38" s="41" t="n">
        <f aca="false">IF($A38="","",IF(ISNUMBER('Raw data'!H38),'Raw data'!H38*100,""))</f>
        <v>4.22738065562294</v>
      </c>
      <c r="H38" s="41" t="n">
        <f aca="false">IF($A38="","",IF(ISNUMBER('Raw data'!I38),'Raw data'!I38*100,""))</f>
        <v>0.194248928808927</v>
      </c>
      <c r="I38" s="41" t="n">
        <f aca="false">IF($A38="","",IF(ISNUMBER('Raw data'!R38),'Raw data'!R38*100,""))</f>
        <v>6.5</v>
      </c>
      <c r="J38" s="41" t="n">
        <f aca="false">IF($A38="","",IF(ISNUMBER('Raw data'!S38),'Raw data'!S38*100,""))</f>
        <v>5</v>
      </c>
      <c r="K38" s="41" t="n">
        <f aca="false">IF($A38="","",IF(ISNUMBER('Raw data'!T38),'Raw data'!T38*100,""))</f>
        <v>5</v>
      </c>
      <c r="L38" s="41" t="n">
        <f aca="false">IF($A38="","",IF('Raw data'!V38&lt;&gt;"",'Raw data'!V38*100,IF(AND(N('Raw data'!E38)&gt;0,'Raw data'!Q38&lt;&gt;""),'Raw data'!Q38*(1+N('Raw data'!S38))/('Raw data'!E38*(1+N('Raw data'!H38)))*100,"")))</f>
        <v>8.0593026008726</v>
      </c>
      <c r="M38" s="41" t="n">
        <f aca="false">IF($A38="","",IF('Raw data'!U38&lt;&gt;"",'Raw data'!U38*100,IF(AND(N('Raw data'!E38)&gt;0,'Raw data'!Q38&lt;&gt;""),'Raw data'!Q38/'Raw data'!E38*100,"")))</f>
        <v>8</v>
      </c>
      <c r="N38" s="42" t="n">
        <f aca="false">IF($A38="","",IF(ISNUMBER('Raw data'!W38),'Raw data'!W38,""))</f>
        <v>3</v>
      </c>
      <c r="O38" s="42" t="n">
        <f aca="false">IF($A38="","",IF(ISNUMBER('Raw data'!X38),'Raw data'!X38,""))</f>
        <v>3</v>
      </c>
      <c r="P38" s="42" t="n">
        <f aca="false">IF($A38="","",IF(ISNUMBER('Raw data'!Y38),'Raw data'!Y38,""))</f>
        <v>3</v>
      </c>
      <c r="Q38" s="42" t="n">
        <f aca="false">IF($A38="","",IF(ISNUMBER('Raw data'!Z38),'Raw data'!Z38,""))</f>
        <v>4</v>
      </c>
      <c r="R38" s="42" t="n">
        <f aca="false">IF($A38="","",IF(ISNUMBER('Raw data'!J38),'Raw data'!J38*100,""))</f>
        <v>79.572654092041</v>
      </c>
      <c r="S38" s="41" t="n">
        <f aca="false">IF($A38="","",IF(ISNUMBER('Raw data'!K38),'Raw data'!K38*100,""))</f>
        <v>7.67251779377851</v>
      </c>
      <c r="T38" s="41" t="n">
        <f aca="false">IF($A38="","",IF(ISNUMBER('Raw data'!L38),'Raw data'!L38*100,""))</f>
        <v>3.11465657454226</v>
      </c>
      <c r="U38" s="41" t="n">
        <f aca="false">IF($A38="","",IF(ISNUMBER('Raw data'!M38),'Raw data'!M38*100,""))</f>
        <v>-0.232400479225148</v>
      </c>
      <c r="V38" s="41" t="n">
        <f aca="false">IF($A38="","",IF(ISNUMBER('Raw data'!N38),'Raw data'!N38*100,""))</f>
        <v>-8.11615626027069</v>
      </c>
      <c r="W38" s="41" t="n">
        <f aca="false">IF($A38="","",IF(ISNUMBER('Raw data'!O38),'Raw data'!O38*100,""))</f>
        <v>8.5618844527716</v>
      </c>
      <c r="X38" s="41" t="n">
        <f aca="false">IF($A38="","",IF(ISNUMBER('Raw data'!P38),'Raw data'!P38*100,""))</f>
        <v>1.71271224812015</v>
      </c>
      <c r="Y38" s="43" t="n">
        <f aca="false">IF($A38="","",IF(AND(ISNUMBER('Raw data'!J38),ISNUMBER('Raw data'!H38),ISNUMBER('Raw data'!L38),ISNUMBER('Raw data'!O38)),ROUND(('Raw data'!J38*'Raw data'!L38+(1-'Raw data'!J38)*'Raw data'!O38-'Raw data'!H38)*100,1),""))</f>
        <v>0</v>
      </c>
    </row>
    <row r="39" customFormat="false" ht="15" hidden="false" customHeight="false" outlineLevel="0" collapsed="false">
      <c r="A39" s="36" t="str">
        <f aca="false">IF(TRIM('Raw data'!A39)="","",TRIM('Raw data'!A39))</f>
        <v>Portugal</v>
      </c>
      <c r="B39" s="36" t="str">
        <f aca="false">IF($A39="","",IF('Raw data'!B39="",UPPER(LEFT($A39,3)),'Raw data'!B39))</f>
        <v>PT</v>
      </c>
      <c r="C39" s="36" t="str">
        <f aca="false">IF($A39="","",'Raw data'!C39)</f>
        <v>Commercial</v>
      </c>
      <c r="D39" s="37" t="n">
        <f aca="false">IF(OR($A39="",'Raw data'!E39=""),"",'Raw data'!E39)</f>
        <v>95</v>
      </c>
      <c r="E39" s="37" t="n">
        <f aca="false">IF(OR($A39="",'Raw data'!Q39=""),"",'Raw data'!Q39)</f>
        <v>5.7</v>
      </c>
      <c r="F39" s="41" t="n">
        <f aca="false">IF($A39="","",IF(ISNUMBER('Raw data'!G39),'Raw data'!G39*100,""))</f>
        <v>3.74424361121726</v>
      </c>
      <c r="G39" s="41" t="n">
        <f aca="false">IF($A39="","",IF(ISNUMBER('Raw data'!H39),'Raw data'!H39*100,""))</f>
        <v>8.45552053764742</v>
      </c>
      <c r="H39" s="41" t="n">
        <f aca="false">IF($A39="","",IF(ISNUMBER('Raw data'!I39),'Raw data'!I39*100,""))</f>
        <v>2.75274473643183</v>
      </c>
      <c r="I39" s="41" t="n">
        <f aca="false">IF($A39="","",IF(ISNUMBER('Raw data'!R39),'Raw data'!R39*100,""))</f>
        <v>7</v>
      </c>
      <c r="J39" s="41" t="n">
        <f aca="false">IF($A39="","",IF(ISNUMBER('Raw data'!S39),'Raw data'!S39*100,""))</f>
        <v>5.5</v>
      </c>
      <c r="K39" s="41" t="n">
        <f aca="false">IF($A39="","",IF(ISNUMBER('Raw data'!T39),'Raw data'!T39*100,""))</f>
        <v>5.5</v>
      </c>
      <c r="L39" s="41" t="n">
        <f aca="false">IF($A39="","",IF('Raw data'!V39&lt;&gt;"",'Raw data'!V39*100,IF(AND(N('Raw data'!E39)&gt;0,'Raw data'!Q39&lt;&gt;""),'Raw data'!Q39*(1+N('Raw data'!S39))/('Raw data'!E39*(1+N('Raw data'!H39)))*100,"")))</f>
        <v>5.83649404716352</v>
      </c>
      <c r="M39" s="41" t="n">
        <f aca="false">IF($A39="","",IF('Raw data'!U39&lt;&gt;"",'Raw data'!U39*100,IF(AND(N('Raw data'!E39)&gt;0,'Raw data'!Q39&lt;&gt;""),'Raw data'!Q39/'Raw data'!E39*100,"")))</f>
        <v>6</v>
      </c>
      <c r="N39" s="42" t="n">
        <f aca="false">IF($A39="","",IF(ISNUMBER('Raw data'!W39),'Raw data'!W39,""))</f>
        <v>3</v>
      </c>
      <c r="O39" s="42" t="n">
        <f aca="false">IF($A39="","",IF(ISNUMBER('Raw data'!X39),'Raw data'!X39,""))</f>
        <v>3</v>
      </c>
      <c r="P39" s="42" t="n">
        <f aca="false">IF($A39="","",IF(ISNUMBER('Raw data'!Y39),'Raw data'!Y39,""))</f>
        <v>3</v>
      </c>
      <c r="Q39" s="42" t="n">
        <f aca="false">IF($A39="","",IF(ISNUMBER('Raw data'!Z39),'Raw data'!Z39,""))</f>
        <v>4</v>
      </c>
      <c r="R39" s="42" t="n">
        <f aca="false">IF($A39="","",IF(ISNUMBER('Raw data'!J39),'Raw data'!J39*100,""))</f>
        <v>54.0378098551302</v>
      </c>
      <c r="S39" s="41" t="n">
        <f aca="false">IF($A39="","",IF(ISNUMBER('Raw data'!K39),'Raw data'!K39*100,""))</f>
        <v>1.61817401524029</v>
      </c>
      <c r="T39" s="41" t="n">
        <f aca="false">IF($A39="","",IF(ISNUMBER('Raw data'!L39),'Raw data'!L39*100,""))</f>
        <v>8.75866442271192</v>
      </c>
      <c r="U39" s="41" t="n">
        <f aca="false">IF($A39="","",IF(ISNUMBER('Raw data'!M39),'Raw data'!M39*100,""))</f>
        <v>3.11504606403505</v>
      </c>
      <c r="V39" s="41" t="n">
        <f aca="false">IF($A39="","",IF(ISNUMBER('Raw data'!N39),'Raw data'!N39*100,""))</f>
        <v>6.63143162899706</v>
      </c>
      <c r="W39" s="41" t="n">
        <f aca="false">IF($A39="","",IF(ISNUMBER('Raw data'!O39),'Raw data'!O39*100,""))</f>
        <v>8.09911385710784</v>
      </c>
      <c r="X39" s="41" t="n">
        <f aca="false">IF($A39="","",IF(ISNUMBER('Raw data'!P39),'Raw data'!P39*100,""))</f>
        <v>2.31748286927724</v>
      </c>
      <c r="Y39" s="43" t="n">
        <f aca="false">IF($A39="","",IF(AND(ISNUMBER('Raw data'!J39),ISNUMBER('Raw data'!H39),ISNUMBER('Raw data'!L39),ISNUMBER('Raw data'!O39)),ROUND(('Raw data'!J39*'Raw data'!L39+(1-'Raw data'!J39)*'Raw data'!O39-'Raw data'!H39)*100,1),""))</f>
        <v>0</v>
      </c>
    </row>
    <row r="40" customFormat="false" ht="15" hidden="false" customHeight="false" outlineLevel="0" collapsed="false">
      <c r="A40" s="36" t="str">
        <f aca="false">IF(TRIM('Raw data'!A40)="","",TRIM('Raw data'!A40))</f>
        <v/>
      </c>
      <c r="B40" s="36" t="str">
        <f aca="false">IF($A40="","",IF('Raw data'!B40="",UPPER(LEFT($A40,3)),'Raw data'!B40))</f>
        <v/>
      </c>
      <c r="C40" s="36" t="str">
        <f aca="false">IF($A40="","",'Raw data'!C40)</f>
        <v/>
      </c>
      <c r="D40" s="37" t="str">
        <f aca="false">IF(OR($A40="",'Raw data'!E40=""),"",'Raw data'!E40)</f>
        <v/>
      </c>
      <c r="E40" s="37" t="str">
        <f aca="false">IF(OR($A40="",'Raw data'!Q40=""),"",'Raw data'!Q40)</f>
        <v/>
      </c>
      <c r="F40" s="41" t="str">
        <f aca="false">IF($A40="","",IF(ISNUMBER('Raw data'!G40),'Raw data'!G40*100,""))</f>
        <v/>
      </c>
      <c r="G40" s="41" t="str">
        <f aca="false">IF($A40="","",IF(ISNUMBER('Raw data'!H40),'Raw data'!H40*100,""))</f>
        <v/>
      </c>
      <c r="H40" s="41" t="str">
        <f aca="false">IF($A40="","",IF(ISNUMBER('Raw data'!I40),'Raw data'!I40*100,""))</f>
        <v/>
      </c>
      <c r="I40" s="41" t="str">
        <f aca="false">IF($A40="","",IF(ISNUMBER('Raw data'!R40),'Raw data'!R40*100,""))</f>
        <v/>
      </c>
      <c r="J40" s="41" t="str">
        <f aca="false">IF($A40="","",IF(ISNUMBER('Raw data'!S40),'Raw data'!S40*100,""))</f>
        <v/>
      </c>
      <c r="K40" s="41" t="str">
        <f aca="false">IF($A40="","",IF(ISNUMBER('Raw data'!T40),'Raw data'!T40*100,""))</f>
        <v/>
      </c>
      <c r="L40" s="41" t="str">
        <f aca="false">IF($A40="","",IF('Raw data'!V40&lt;&gt;"",'Raw data'!V40*100,IF(AND(N('Raw data'!E40)&gt;0,'Raw data'!Q40&lt;&gt;""),'Raw data'!Q40*(1+N('Raw data'!S40))/('Raw data'!E40*(1+N('Raw data'!H40)))*100,"")))</f>
        <v/>
      </c>
      <c r="M40" s="41" t="str">
        <f aca="false">IF($A40="","",IF('Raw data'!U40&lt;&gt;"",'Raw data'!U40*100,IF(AND(N('Raw data'!E40)&gt;0,'Raw data'!Q40&lt;&gt;""),'Raw data'!Q40/'Raw data'!E40*100,"")))</f>
        <v/>
      </c>
      <c r="N40" s="42" t="str">
        <f aca="false">IF($A40="","",IF(ISNUMBER('Raw data'!W40),'Raw data'!W40,""))</f>
        <v/>
      </c>
      <c r="O40" s="42" t="str">
        <f aca="false">IF($A40="","",IF(ISNUMBER('Raw data'!X40),'Raw data'!X40,""))</f>
        <v/>
      </c>
      <c r="P40" s="42" t="str">
        <f aca="false">IF($A40="","",IF(ISNUMBER('Raw data'!Y40),'Raw data'!Y40,""))</f>
        <v/>
      </c>
      <c r="Q40" s="42" t="str">
        <f aca="false">IF($A40="","",IF(ISNUMBER('Raw data'!Z40),'Raw data'!Z40,""))</f>
        <v/>
      </c>
      <c r="R40" s="42" t="str">
        <f aca="false">IF($A40="","",IF(ISNUMBER('Raw data'!J40),'Raw data'!J40*100,""))</f>
        <v/>
      </c>
      <c r="S40" s="41" t="str">
        <f aca="false">IF($A40="","",IF(ISNUMBER('Raw data'!K40),'Raw data'!K40*100,""))</f>
        <v/>
      </c>
      <c r="T40" s="41" t="str">
        <f aca="false">IF($A40="","",IF(ISNUMBER('Raw data'!L40),'Raw data'!L40*100,""))</f>
        <v/>
      </c>
      <c r="U40" s="41" t="str">
        <f aca="false">IF($A40="","",IF(ISNUMBER('Raw data'!M40),'Raw data'!M40*100,""))</f>
        <v/>
      </c>
      <c r="V40" s="41" t="str">
        <f aca="false">IF($A40="","",IF(ISNUMBER('Raw data'!N40),'Raw data'!N40*100,""))</f>
        <v/>
      </c>
      <c r="W40" s="41" t="str">
        <f aca="false">IF($A40="","",IF(ISNUMBER('Raw data'!O40),'Raw data'!O40*100,""))</f>
        <v/>
      </c>
      <c r="X40" s="41" t="str">
        <f aca="false">IF($A40="","",IF(ISNUMBER('Raw data'!P40),'Raw data'!P40*100,""))</f>
        <v/>
      </c>
      <c r="Y40" s="43" t="str">
        <f aca="false">IF($A40="","",IF(AND(ISNUMBER('Raw data'!J40),ISNUMBER('Raw data'!H40),ISNUMBER('Raw data'!L40),ISNUMBER('Raw data'!O40)),ROUND(('Raw data'!J40*'Raw data'!L40+(1-'Raw data'!J40)*'Raw data'!O40-'Raw data'!H40)*100,1),""))</f>
        <v/>
      </c>
    </row>
    <row r="41" customFormat="false" ht="15" hidden="false" customHeight="false" outlineLevel="0" collapsed="false">
      <c r="A41" s="36" t="str">
        <f aca="false">IF(TRIM('Raw data'!A41)="","",TRIM('Raw data'!A41))</f>
        <v/>
      </c>
      <c r="B41" s="36" t="str">
        <f aca="false">IF($A41="","",IF('Raw data'!B41="",UPPER(LEFT($A41,3)),'Raw data'!B41))</f>
        <v/>
      </c>
      <c r="C41" s="36" t="str">
        <f aca="false">IF($A41="","",'Raw data'!C41)</f>
        <v/>
      </c>
      <c r="D41" s="37" t="str">
        <f aca="false">IF(OR($A41="",'Raw data'!E41=""),"",'Raw data'!E41)</f>
        <v/>
      </c>
      <c r="E41" s="37" t="str">
        <f aca="false">IF(OR($A41="",'Raw data'!Q41=""),"",'Raw data'!Q41)</f>
        <v/>
      </c>
      <c r="F41" s="41" t="str">
        <f aca="false">IF($A41="","",IF(ISNUMBER('Raw data'!G41),'Raw data'!G41*100,""))</f>
        <v/>
      </c>
      <c r="G41" s="41" t="str">
        <f aca="false">IF($A41="","",IF(ISNUMBER('Raw data'!H41),'Raw data'!H41*100,""))</f>
        <v/>
      </c>
      <c r="H41" s="41" t="str">
        <f aca="false">IF($A41="","",IF(ISNUMBER('Raw data'!I41),'Raw data'!I41*100,""))</f>
        <v/>
      </c>
      <c r="I41" s="41" t="str">
        <f aca="false">IF($A41="","",IF(ISNUMBER('Raw data'!R41),'Raw data'!R41*100,""))</f>
        <v/>
      </c>
      <c r="J41" s="41" t="str">
        <f aca="false">IF($A41="","",IF(ISNUMBER('Raw data'!S41),'Raw data'!S41*100,""))</f>
        <v/>
      </c>
      <c r="K41" s="41" t="str">
        <f aca="false">IF($A41="","",IF(ISNUMBER('Raw data'!T41),'Raw data'!T41*100,""))</f>
        <v/>
      </c>
      <c r="L41" s="41" t="str">
        <f aca="false">IF($A41="","",IF('Raw data'!V41&lt;&gt;"",'Raw data'!V41*100,IF(AND(N('Raw data'!E41)&gt;0,'Raw data'!Q41&lt;&gt;""),'Raw data'!Q41*(1+N('Raw data'!S41))/('Raw data'!E41*(1+N('Raw data'!H41)))*100,"")))</f>
        <v/>
      </c>
      <c r="M41" s="41" t="str">
        <f aca="false">IF($A41="","",IF('Raw data'!U41&lt;&gt;"",'Raw data'!U41*100,IF(AND(N('Raw data'!E41)&gt;0,'Raw data'!Q41&lt;&gt;""),'Raw data'!Q41/'Raw data'!E41*100,"")))</f>
        <v/>
      </c>
      <c r="N41" s="42" t="str">
        <f aca="false">IF($A41="","",IF(ISNUMBER('Raw data'!W41),'Raw data'!W41,""))</f>
        <v/>
      </c>
      <c r="O41" s="42" t="str">
        <f aca="false">IF($A41="","",IF(ISNUMBER('Raw data'!X41),'Raw data'!X41,""))</f>
        <v/>
      </c>
      <c r="P41" s="42" t="str">
        <f aca="false">IF($A41="","",IF(ISNUMBER('Raw data'!Y41),'Raw data'!Y41,""))</f>
        <v/>
      </c>
      <c r="Q41" s="42" t="str">
        <f aca="false">IF($A41="","",IF(ISNUMBER('Raw data'!Z41),'Raw data'!Z41,""))</f>
        <v/>
      </c>
      <c r="R41" s="42" t="str">
        <f aca="false">IF($A41="","",IF(ISNUMBER('Raw data'!J41),'Raw data'!J41*100,""))</f>
        <v/>
      </c>
      <c r="S41" s="41" t="str">
        <f aca="false">IF($A41="","",IF(ISNUMBER('Raw data'!K41),'Raw data'!K41*100,""))</f>
        <v/>
      </c>
      <c r="T41" s="41" t="str">
        <f aca="false">IF($A41="","",IF(ISNUMBER('Raw data'!L41),'Raw data'!L41*100,""))</f>
        <v/>
      </c>
      <c r="U41" s="41" t="str">
        <f aca="false">IF($A41="","",IF(ISNUMBER('Raw data'!M41),'Raw data'!M41*100,""))</f>
        <v/>
      </c>
      <c r="V41" s="41" t="str">
        <f aca="false">IF($A41="","",IF(ISNUMBER('Raw data'!N41),'Raw data'!N41*100,""))</f>
        <v/>
      </c>
      <c r="W41" s="41" t="str">
        <f aca="false">IF($A41="","",IF(ISNUMBER('Raw data'!O41),'Raw data'!O41*100,""))</f>
        <v/>
      </c>
      <c r="X41" s="41" t="str">
        <f aca="false">IF($A41="","",IF(ISNUMBER('Raw data'!P41),'Raw data'!P41*100,""))</f>
        <v/>
      </c>
      <c r="Y41" s="43" t="str">
        <f aca="false">IF($A41="","",IF(AND(ISNUMBER('Raw data'!J41),ISNUMBER('Raw data'!H41),ISNUMBER('Raw data'!L41),ISNUMBER('Raw data'!O41)),ROUND(('Raw data'!J41*'Raw data'!L41+(1-'Raw data'!J41)*'Raw data'!O41-'Raw data'!H41)*100,1),""))</f>
        <v/>
      </c>
    </row>
    <row r="42" customFormat="false" ht="15" hidden="false" customHeight="false" outlineLevel="0" collapsed="false">
      <c r="A42" s="36" t="str">
        <f aca="false">IF(TRIM('Raw data'!A42)="","",TRIM('Raw data'!A42))</f>
        <v/>
      </c>
      <c r="B42" s="36" t="str">
        <f aca="false">IF($A42="","",IF('Raw data'!B42="",UPPER(LEFT($A42,3)),'Raw data'!B42))</f>
        <v/>
      </c>
      <c r="C42" s="36" t="str">
        <f aca="false">IF($A42="","",'Raw data'!C42)</f>
        <v/>
      </c>
      <c r="D42" s="37" t="str">
        <f aca="false">IF(OR($A42="",'Raw data'!E42=""),"",'Raw data'!E42)</f>
        <v/>
      </c>
      <c r="E42" s="37" t="str">
        <f aca="false">IF(OR($A42="",'Raw data'!Q42=""),"",'Raw data'!Q42)</f>
        <v/>
      </c>
      <c r="F42" s="41" t="str">
        <f aca="false">IF($A42="","",IF(ISNUMBER('Raw data'!G42),'Raw data'!G42*100,""))</f>
        <v/>
      </c>
      <c r="G42" s="41" t="str">
        <f aca="false">IF($A42="","",IF(ISNUMBER('Raw data'!H42),'Raw data'!H42*100,""))</f>
        <v/>
      </c>
      <c r="H42" s="41" t="str">
        <f aca="false">IF($A42="","",IF(ISNUMBER('Raw data'!I42),'Raw data'!I42*100,""))</f>
        <v/>
      </c>
      <c r="I42" s="41" t="str">
        <f aca="false">IF($A42="","",IF(ISNUMBER('Raw data'!R42),'Raw data'!R42*100,""))</f>
        <v/>
      </c>
      <c r="J42" s="41" t="str">
        <f aca="false">IF($A42="","",IF(ISNUMBER('Raw data'!S42),'Raw data'!S42*100,""))</f>
        <v/>
      </c>
      <c r="K42" s="41" t="str">
        <f aca="false">IF($A42="","",IF(ISNUMBER('Raw data'!T42),'Raw data'!T42*100,""))</f>
        <v/>
      </c>
      <c r="L42" s="41" t="str">
        <f aca="false">IF($A42="","",IF('Raw data'!V42&lt;&gt;"",'Raw data'!V42*100,IF(AND(N('Raw data'!E42)&gt;0,'Raw data'!Q42&lt;&gt;""),'Raw data'!Q42*(1+N('Raw data'!S42))/('Raw data'!E42*(1+N('Raw data'!H42)))*100,"")))</f>
        <v/>
      </c>
      <c r="M42" s="41" t="str">
        <f aca="false">IF($A42="","",IF('Raw data'!U42&lt;&gt;"",'Raw data'!U42*100,IF(AND(N('Raw data'!E42)&gt;0,'Raw data'!Q42&lt;&gt;""),'Raw data'!Q42/'Raw data'!E42*100,"")))</f>
        <v/>
      </c>
      <c r="N42" s="42" t="str">
        <f aca="false">IF($A42="","",IF(ISNUMBER('Raw data'!W42),'Raw data'!W42,""))</f>
        <v/>
      </c>
      <c r="O42" s="42" t="str">
        <f aca="false">IF($A42="","",IF(ISNUMBER('Raw data'!X42),'Raw data'!X42,""))</f>
        <v/>
      </c>
      <c r="P42" s="42" t="str">
        <f aca="false">IF($A42="","",IF(ISNUMBER('Raw data'!Y42),'Raw data'!Y42,""))</f>
        <v/>
      </c>
      <c r="Q42" s="42" t="str">
        <f aca="false">IF($A42="","",IF(ISNUMBER('Raw data'!Z42),'Raw data'!Z42,""))</f>
        <v/>
      </c>
      <c r="R42" s="42" t="str">
        <f aca="false">IF($A42="","",IF(ISNUMBER('Raw data'!J42),'Raw data'!J42*100,""))</f>
        <v/>
      </c>
      <c r="S42" s="41" t="str">
        <f aca="false">IF($A42="","",IF(ISNUMBER('Raw data'!K42),'Raw data'!K42*100,""))</f>
        <v/>
      </c>
      <c r="T42" s="41" t="str">
        <f aca="false">IF($A42="","",IF(ISNUMBER('Raw data'!L42),'Raw data'!L42*100,""))</f>
        <v/>
      </c>
      <c r="U42" s="41" t="str">
        <f aca="false">IF($A42="","",IF(ISNUMBER('Raw data'!M42),'Raw data'!M42*100,""))</f>
        <v/>
      </c>
      <c r="V42" s="41" t="str">
        <f aca="false">IF($A42="","",IF(ISNUMBER('Raw data'!N42),'Raw data'!N42*100,""))</f>
        <v/>
      </c>
      <c r="W42" s="41" t="str">
        <f aca="false">IF($A42="","",IF(ISNUMBER('Raw data'!O42),'Raw data'!O42*100,""))</f>
        <v/>
      </c>
      <c r="X42" s="41" t="str">
        <f aca="false">IF($A42="","",IF(ISNUMBER('Raw data'!P42),'Raw data'!P42*100,""))</f>
        <v/>
      </c>
      <c r="Y42" s="43" t="str">
        <f aca="false">IF($A42="","",IF(AND(ISNUMBER('Raw data'!J42),ISNUMBER('Raw data'!H42),ISNUMBER('Raw data'!L42),ISNUMBER('Raw data'!O42)),ROUND(('Raw data'!J42*'Raw data'!L42+(1-'Raw data'!J42)*'Raw data'!O42-'Raw data'!H42)*100,1),""))</f>
        <v/>
      </c>
    </row>
    <row r="43" customFormat="false" ht="15" hidden="false" customHeight="false" outlineLevel="0" collapsed="false">
      <c r="A43" s="36" t="str">
        <f aca="false">IF(TRIM('Raw data'!A43)="","",TRIM('Raw data'!A43))</f>
        <v/>
      </c>
      <c r="B43" s="36" t="str">
        <f aca="false">IF($A43="","",IF('Raw data'!B43="",UPPER(LEFT($A43,3)),'Raw data'!B43))</f>
        <v/>
      </c>
      <c r="C43" s="36" t="str">
        <f aca="false">IF($A43="","",'Raw data'!C43)</f>
        <v/>
      </c>
      <c r="D43" s="37" t="str">
        <f aca="false">IF(OR($A43="",'Raw data'!E43=""),"",'Raw data'!E43)</f>
        <v/>
      </c>
      <c r="E43" s="37" t="str">
        <f aca="false">IF(OR($A43="",'Raw data'!Q43=""),"",'Raw data'!Q43)</f>
        <v/>
      </c>
      <c r="F43" s="41" t="str">
        <f aca="false">IF($A43="","",IF(ISNUMBER('Raw data'!G43),'Raw data'!G43*100,""))</f>
        <v/>
      </c>
      <c r="G43" s="41" t="str">
        <f aca="false">IF($A43="","",IF(ISNUMBER('Raw data'!H43),'Raw data'!H43*100,""))</f>
        <v/>
      </c>
      <c r="H43" s="41" t="str">
        <f aca="false">IF($A43="","",IF(ISNUMBER('Raw data'!I43),'Raw data'!I43*100,""))</f>
        <v/>
      </c>
      <c r="I43" s="41" t="str">
        <f aca="false">IF($A43="","",IF(ISNUMBER('Raw data'!R43),'Raw data'!R43*100,""))</f>
        <v/>
      </c>
      <c r="J43" s="41" t="str">
        <f aca="false">IF($A43="","",IF(ISNUMBER('Raw data'!S43),'Raw data'!S43*100,""))</f>
        <v/>
      </c>
      <c r="K43" s="41" t="str">
        <f aca="false">IF($A43="","",IF(ISNUMBER('Raw data'!T43),'Raw data'!T43*100,""))</f>
        <v/>
      </c>
      <c r="L43" s="41" t="str">
        <f aca="false">IF($A43="","",IF('Raw data'!V43&lt;&gt;"",'Raw data'!V43*100,IF(AND(N('Raw data'!E43)&gt;0,'Raw data'!Q43&lt;&gt;""),'Raw data'!Q43*(1+N('Raw data'!S43))/('Raw data'!E43*(1+N('Raw data'!H43)))*100,"")))</f>
        <v/>
      </c>
      <c r="M43" s="41" t="str">
        <f aca="false">IF($A43="","",IF('Raw data'!U43&lt;&gt;"",'Raw data'!U43*100,IF(AND(N('Raw data'!E43)&gt;0,'Raw data'!Q43&lt;&gt;""),'Raw data'!Q43/'Raw data'!E43*100,"")))</f>
        <v/>
      </c>
      <c r="N43" s="42" t="str">
        <f aca="false">IF($A43="","",IF(ISNUMBER('Raw data'!W43),'Raw data'!W43,""))</f>
        <v/>
      </c>
      <c r="O43" s="42" t="str">
        <f aca="false">IF($A43="","",IF(ISNUMBER('Raw data'!X43),'Raw data'!X43,""))</f>
        <v/>
      </c>
      <c r="P43" s="42" t="str">
        <f aca="false">IF($A43="","",IF(ISNUMBER('Raw data'!Y43),'Raw data'!Y43,""))</f>
        <v/>
      </c>
      <c r="Q43" s="42" t="str">
        <f aca="false">IF($A43="","",IF(ISNUMBER('Raw data'!Z43),'Raw data'!Z43,""))</f>
        <v/>
      </c>
      <c r="R43" s="42" t="str">
        <f aca="false">IF($A43="","",IF(ISNUMBER('Raw data'!J43),'Raw data'!J43*100,""))</f>
        <v/>
      </c>
      <c r="S43" s="41" t="str">
        <f aca="false">IF($A43="","",IF(ISNUMBER('Raw data'!K43),'Raw data'!K43*100,""))</f>
        <v/>
      </c>
      <c r="T43" s="41" t="str">
        <f aca="false">IF($A43="","",IF(ISNUMBER('Raw data'!L43),'Raw data'!L43*100,""))</f>
        <v/>
      </c>
      <c r="U43" s="41" t="str">
        <f aca="false">IF($A43="","",IF(ISNUMBER('Raw data'!M43),'Raw data'!M43*100,""))</f>
        <v/>
      </c>
      <c r="V43" s="41" t="str">
        <f aca="false">IF($A43="","",IF(ISNUMBER('Raw data'!N43),'Raw data'!N43*100,""))</f>
        <v/>
      </c>
      <c r="W43" s="41" t="str">
        <f aca="false">IF($A43="","",IF(ISNUMBER('Raw data'!O43),'Raw data'!O43*100,""))</f>
        <v/>
      </c>
      <c r="X43" s="41" t="str">
        <f aca="false">IF($A43="","",IF(ISNUMBER('Raw data'!P43),'Raw data'!P43*100,""))</f>
        <v/>
      </c>
      <c r="Y43" s="43" t="str">
        <f aca="false">IF($A43="","",IF(AND(ISNUMBER('Raw data'!J43),ISNUMBER('Raw data'!H43),ISNUMBER('Raw data'!L43),ISNUMBER('Raw data'!O43)),ROUND(('Raw data'!J43*'Raw data'!L43+(1-'Raw data'!J43)*'Raw data'!O43-'Raw data'!H43)*100,1),""))</f>
        <v/>
      </c>
    </row>
    <row r="44" customFormat="false" ht="15" hidden="false" customHeight="false" outlineLevel="0" collapsed="false">
      <c r="A44" s="36" t="str">
        <f aca="false">IF(TRIM('Raw data'!A44)="","",TRIM('Raw data'!A44))</f>
        <v/>
      </c>
      <c r="B44" s="36" t="str">
        <f aca="false">IF($A44="","",IF('Raw data'!B44="",UPPER(LEFT($A44,3)),'Raw data'!B44))</f>
        <v/>
      </c>
      <c r="C44" s="36" t="str">
        <f aca="false">IF($A44="","",'Raw data'!C44)</f>
        <v/>
      </c>
      <c r="D44" s="37" t="str">
        <f aca="false">IF(OR($A44="",'Raw data'!E44=""),"",'Raw data'!E44)</f>
        <v/>
      </c>
      <c r="E44" s="37" t="str">
        <f aca="false">IF(OR($A44="",'Raw data'!Q44=""),"",'Raw data'!Q44)</f>
        <v/>
      </c>
      <c r="F44" s="41" t="str">
        <f aca="false">IF($A44="","",IF(ISNUMBER('Raw data'!G44),'Raw data'!G44*100,""))</f>
        <v/>
      </c>
      <c r="G44" s="41" t="str">
        <f aca="false">IF($A44="","",IF(ISNUMBER('Raw data'!H44),'Raw data'!H44*100,""))</f>
        <v/>
      </c>
      <c r="H44" s="41" t="str">
        <f aca="false">IF($A44="","",IF(ISNUMBER('Raw data'!I44),'Raw data'!I44*100,""))</f>
        <v/>
      </c>
      <c r="I44" s="41" t="str">
        <f aca="false">IF($A44="","",IF(ISNUMBER('Raw data'!R44),'Raw data'!R44*100,""))</f>
        <v/>
      </c>
      <c r="J44" s="41" t="str">
        <f aca="false">IF($A44="","",IF(ISNUMBER('Raw data'!S44),'Raw data'!S44*100,""))</f>
        <v/>
      </c>
      <c r="K44" s="41" t="str">
        <f aca="false">IF($A44="","",IF(ISNUMBER('Raw data'!T44),'Raw data'!T44*100,""))</f>
        <v/>
      </c>
      <c r="L44" s="41" t="str">
        <f aca="false">IF($A44="","",IF('Raw data'!V44&lt;&gt;"",'Raw data'!V44*100,IF(AND(N('Raw data'!E44)&gt;0,'Raw data'!Q44&lt;&gt;""),'Raw data'!Q44*(1+N('Raw data'!S44))/('Raw data'!E44*(1+N('Raw data'!H44)))*100,"")))</f>
        <v/>
      </c>
      <c r="M44" s="41" t="str">
        <f aca="false">IF($A44="","",IF('Raw data'!U44&lt;&gt;"",'Raw data'!U44*100,IF(AND(N('Raw data'!E44)&gt;0,'Raw data'!Q44&lt;&gt;""),'Raw data'!Q44/'Raw data'!E44*100,"")))</f>
        <v/>
      </c>
      <c r="N44" s="42" t="str">
        <f aca="false">IF($A44="","",IF(ISNUMBER('Raw data'!W44),'Raw data'!W44,""))</f>
        <v/>
      </c>
      <c r="O44" s="42" t="str">
        <f aca="false">IF($A44="","",IF(ISNUMBER('Raw data'!X44),'Raw data'!X44,""))</f>
        <v/>
      </c>
      <c r="P44" s="42" t="str">
        <f aca="false">IF($A44="","",IF(ISNUMBER('Raw data'!Y44),'Raw data'!Y44,""))</f>
        <v/>
      </c>
      <c r="Q44" s="42" t="str">
        <f aca="false">IF($A44="","",IF(ISNUMBER('Raw data'!Z44),'Raw data'!Z44,""))</f>
        <v/>
      </c>
      <c r="R44" s="42" t="str">
        <f aca="false">IF($A44="","",IF(ISNUMBER('Raw data'!J44),'Raw data'!J44*100,""))</f>
        <v/>
      </c>
      <c r="S44" s="41" t="str">
        <f aca="false">IF($A44="","",IF(ISNUMBER('Raw data'!K44),'Raw data'!K44*100,""))</f>
        <v/>
      </c>
      <c r="T44" s="41" t="str">
        <f aca="false">IF($A44="","",IF(ISNUMBER('Raw data'!L44),'Raw data'!L44*100,""))</f>
        <v/>
      </c>
      <c r="U44" s="41" t="str">
        <f aca="false">IF($A44="","",IF(ISNUMBER('Raw data'!M44),'Raw data'!M44*100,""))</f>
        <v/>
      </c>
      <c r="V44" s="41" t="str">
        <f aca="false">IF($A44="","",IF(ISNUMBER('Raw data'!N44),'Raw data'!N44*100,""))</f>
        <v/>
      </c>
      <c r="W44" s="41" t="str">
        <f aca="false">IF($A44="","",IF(ISNUMBER('Raw data'!O44),'Raw data'!O44*100,""))</f>
        <v/>
      </c>
      <c r="X44" s="41" t="str">
        <f aca="false">IF($A44="","",IF(ISNUMBER('Raw data'!P44),'Raw data'!P44*100,""))</f>
        <v/>
      </c>
      <c r="Y44" s="43" t="str">
        <f aca="false">IF($A44="","",IF(AND(ISNUMBER('Raw data'!J44),ISNUMBER('Raw data'!H44),ISNUMBER('Raw data'!L44),ISNUMBER('Raw data'!O44)),ROUND(('Raw data'!J44*'Raw data'!L44+(1-'Raw data'!J44)*'Raw data'!O44-'Raw data'!H44)*100,1),""))</f>
        <v/>
      </c>
    </row>
    <row r="45" customFormat="false" ht="15" hidden="false" customHeight="false" outlineLevel="0" collapsed="false">
      <c r="A45" s="36" t="str">
        <f aca="false">IF(TRIM('Raw data'!A45)="","",TRIM('Raw data'!A45))</f>
        <v/>
      </c>
      <c r="B45" s="36" t="str">
        <f aca="false">IF($A45="","",IF('Raw data'!B45="",UPPER(LEFT($A45,3)),'Raw data'!B45))</f>
        <v/>
      </c>
      <c r="C45" s="36" t="str">
        <f aca="false">IF($A45="","",'Raw data'!C45)</f>
        <v/>
      </c>
      <c r="D45" s="37" t="str">
        <f aca="false">IF(OR($A45="",'Raw data'!E45=""),"",'Raw data'!E45)</f>
        <v/>
      </c>
      <c r="E45" s="37" t="str">
        <f aca="false">IF(OR($A45="",'Raw data'!Q45=""),"",'Raw data'!Q45)</f>
        <v/>
      </c>
      <c r="F45" s="41" t="str">
        <f aca="false">IF($A45="","",IF(ISNUMBER('Raw data'!G45),'Raw data'!G45*100,""))</f>
        <v/>
      </c>
      <c r="G45" s="41" t="str">
        <f aca="false">IF($A45="","",IF(ISNUMBER('Raw data'!H45),'Raw data'!H45*100,""))</f>
        <v/>
      </c>
      <c r="H45" s="41" t="str">
        <f aca="false">IF($A45="","",IF(ISNUMBER('Raw data'!I45),'Raw data'!I45*100,""))</f>
        <v/>
      </c>
      <c r="I45" s="41" t="str">
        <f aca="false">IF($A45="","",IF(ISNUMBER('Raw data'!R45),'Raw data'!R45*100,""))</f>
        <v/>
      </c>
      <c r="J45" s="41" t="str">
        <f aca="false">IF($A45="","",IF(ISNUMBER('Raw data'!S45),'Raw data'!S45*100,""))</f>
        <v/>
      </c>
      <c r="K45" s="41" t="str">
        <f aca="false">IF($A45="","",IF(ISNUMBER('Raw data'!T45),'Raw data'!T45*100,""))</f>
        <v/>
      </c>
      <c r="L45" s="41" t="str">
        <f aca="false">IF($A45="","",IF('Raw data'!V45&lt;&gt;"",'Raw data'!V45*100,IF(AND(N('Raw data'!E45)&gt;0,'Raw data'!Q45&lt;&gt;""),'Raw data'!Q45*(1+N('Raw data'!S45))/('Raw data'!E45*(1+N('Raw data'!H45)))*100,"")))</f>
        <v/>
      </c>
      <c r="M45" s="41" t="str">
        <f aca="false">IF($A45="","",IF('Raw data'!U45&lt;&gt;"",'Raw data'!U45*100,IF(AND(N('Raw data'!E45)&gt;0,'Raw data'!Q45&lt;&gt;""),'Raw data'!Q45/'Raw data'!E45*100,"")))</f>
        <v/>
      </c>
      <c r="N45" s="42" t="str">
        <f aca="false">IF($A45="","",IF(ISNUMBER('Raw data'!W45),'Raw data'!W45,""))</f>
        <v/>
      </c>
      <c r="O45" s="42" t="str">
        <f aca="false">IF($A45="","",IF(ISNUMBER('Raw data'!X45),'Raw data'!X45,""))</f>
        <v/>
      </c>
      <c r="P45" s="42" t="str">
        <f aca="false">IF($A45="","",IF(ISNUMBER('Raw data'!Y45),'Raw data'!Y45,""))</f>
        <v/>
      </c>
      <c r="Q45" s="42" t="str">
        <f aca="false">IF($A45="","",IF(ISNUMBER('Raw data'!Z45),'Raw data'!Z45,""))</f>
        <v/>
      </c>
      <c r="R45" s="42" t="str">
        <f aca="false">IF($A45="","",IF(ISNUMBER('Raw data'!J45),'Raw data'!J45*100,""))</f>
        <v/>
      </c>
      <c r="S45" s="41" t="str">
        <f aca="false">IF($A45="","",IF(ISNUMBER('Raw data'!K45),'Raw data'!K45*100,""))</f>
        <v/>
      </c>
      <c r="T45" s="41" t="str">
        <f aca="false">IF($A45="","",IF(ISNUMBER('Raw data'!L45),'Raw data'!L45*100,""))</f>
        <v/>
      </c>
      <c r="U45" s="41" t="str">
        <f aca="false">IF($A45="","",IF(ISNUMBER('Raw data'!M45),'Raw data'!M45*100,""))</f>
        <v/>
      </c>
      <c r="V45" s="41" t="str">
        <f aca="false">IF($A45="","",IF(ISNUMBER('Raw data'!N45),'Raw data'!N45*100,""))</f>
        <v/>
      </c>
      <c r="W45" s="41" t="str">
        <f aca="false">IF($A45="","",IF(ISNUMBER('Raw data'!O45),'Raw data'!O45*100,""))</f>
        <v/>
      </c>
      <c r="X45" s="41" t="str">
        <f aca="false">IF($A45="","",IF(ISNUMBER('Raw data'!P45),'Raw data'!P45*100,""))</f>
        <v/>
      </c>
      <c r="Y45" s="43" t="str">
        <f aca="false">IF($A45="","",IF(AND(ISNUMBER('Raw data'!J45),ISNUMBER('Raw data'!H45),ISNUMBER('Raw data'!L45),ISNUMBER('Raw data'!O45)),ROUND(('Raw data'!J45*'Raw data'!L45+(1-'Raw data'!J45)*'Raw data'!O45-'Raw data'!H45)*100,1),""))</f>
        <v/>
      </c>
    </row>
    <row r="46" customFormat="false" ht="15" hidden="false" customHeight="false" outlineLevel="0" collapsed="false">
      <c r="A46" s="36" t="str">
        <f aca="false">IF(TRIM('Raw data'!A46)="","",TRIM('Raw data'!A46))</f>
        <v/>
      </c>
      <c r="B46" s="36" t="str">
        <f aca="false">IF($A46="","",IF('Raw data'!B46="",UPPER(LEFT($A46,3)),'Raw data'!B46))</f>
        <v/>
      </c>
      <c r="C46" s="36" t="str">
        <f aca="false">IF($A46="","",'Raw data'!C46)</f>
        <v/>
      </c>
      <c r="D46" s="37" t="str">
        <f aca="false">IF(OR($A46="",'Raw data'!E46=""),"",'Raw data'!E46)</f>
        <v/>
      </c>
      <c r="E46" s="37" t="str">
        <f aca="false">IF(OR($A46="",'Raw data'!Q46=""),"",'Raw data'!Q46)</f>
        <v/>
      </c>
      <c r="F46" s="41" t="str">
        <f aca="false">IF($A46="","",IF(ISNUMBER('Raw data'!G46),'Raw data'!G46*100,""))</f>
        <v/>
      </c>
      <c r="G46" s="41" t="str">
        <f aca="false">IF($A46="","",IF(ISNUMBER('Raw data'!H46),'Raw data'!H46*100,""))</f>
        <v/>
      </c>
      <c r="H46" s="41" t="str">
        <f aca="false">IF($A46="","",IF(ISNUMBER('Raw data'!I46),'Raw data'!I46*100,""))</f>
        <v/>
      </c>
      <c r="I46" s="41" t="str">
        <f aca="false">IF($A46="","",IF(ISNUMBER('Raw data'!R46),'Raw data'!R46*100,""))</f>
        <v/>
      </c>
      <c r="J46" s="41" t="str">
        <f aca="false">IF($A46="","",IF(ISNUMBER('Raw data'!S46),'Raw data'!S46*100,""))</f>
        <v/>
      </c>
      <c r="K46" s="41" t="str">
        <f aca="false">IF($A46="","",IF(ISNUMBER('Raw data'!T46),'Raw data'!T46*100,""))</f>
        <v/>
      </c>
      <c r="L46" s="41" t="str">
        <f aca="false">IF($A46="","",IF('Raw data'!V46&lt;&gt;"",'Raw data'!V46*100,IF(AND(N('Raw data'!E46)&gt;0,'Raw data'!Q46&lt;&gt;""),'Raw data'!Q46*(1+N('Raw data'!S46))/('Raw data'!E46*(1+N('Raw data'!H46)))*100,"")))</f>
        <v/>
      </c>
      <c r="M46" s="41" t="str">
        <f aca="false">IF($A46="","",IF('Raw data'!U46&lt;&gt;"",'Raw data'!U46*100,IF(AND(N('Raw data'!E46)&gt;0,'Raw data'!Q46&lt;&gt;""),'Raw data'!Q46/'Raw data'!E46*100,"")))</f>
        <v/>
      </c>
      <c r="N46" s="42" t="str">
        <f aca="false">IF($A46="","",IF(ISNUMBER('Raw data'!W46),'Raw data'!W46,""))</f>
        <v/>
      </c>
      <c r="O46" s="42" t="str">
        <f aca="false">IF($A46="","",IF(ISNUMBER('Raw data'!X46),'Raw data'!X46,""))</f>
        <v/>
      </c>
      <c r="P46" s="42" t="str">
        <f aca="false">IF($A46="","",IF(ISNUMBER('Raw data'!Y46),'Raw data'!Y46,""))</f>
        <v/>
      </c>
      <c r="Q46" s="42" t="str">
        <f aca="false">IF($A46="","",IF(ISNUMBER('Raw data'!Z46),'Raw data'!Z46,""))</f>
        <v/>
      </c>
      <c r="R46" s="42" t="str">
        <f aca="false">IF($A46="","",IF(ISNUMBER('Raw data'!J46),'Raw data'!J46*100,""))</f>
        <v/>
      </c>
      <c r="S46" s="41" t="str">
        <f aca="false">IF($A46="","",IF(ISNUMBER('Raw data'!K46),'Raw data'!K46*100,""))</f>
        <v/>
      </c>
      <c r="T46" s="41" t="str">
        <f aca="false">IF($A46="","",IF(ISNUMBER('Raw data'!L46),'Raw data'!L46*100,""))</f>
        <v/>
      </c>
      <c r="U46" s="41" t="str">
        <f aca="false">IF($A46="","",IF(ISNUMBER('Raw data'!M46),'Raw data'!M46*100,""))</f>
        <v/>
      </c>
      <c r="V46" s="41" t="str">
        <f aca="false">IF($A46="","",IF(ISNUMBER('Raw data'!N46),'Raw data'!N46*100,""))</f>
        <v/>
      </c>
      <c r="W46" s="41" t="str">
        <f aca="false">IF($A46="","",IF(ISNUMBER('Raw data'!O46),'Raw data'!O46*100,""))</f>
        <v/>
      </c>
      <c r="X46" s="41" t="str">
        <f aca="false">IF($A46="","",IF(ISNUMBER('Raw data'!P46),'Raw data'!P46*100,""))</f>
        <v/>
      </c>
      <c r="Y46" s="43" t="str">
        <f aca="false">IF($A46="","",IF(AND(ISNUMBER('Raw data'!J46),ISNUMBER('Raw data'!H46),ISNUMBER('Raw data'!L46),ISNUMBER('Raw data'!O46)),ROUND(('Raw data'!J46*'Raw data'!L46+(1-'Raw data'!J46)*'Raw data'!O46-'Raw data'!H46)*100,1),""))</f>
        <v/>
      </c>
    </row>
    <row r="47" customFormat="false" ht="15" hidden="false" customHeight="false" outlineLevel="0" collapsed="false">
      <c r="A47" s="36" t="str">
        <f aca="false">IF(TRIM('Raw data'!A47)="","",TRIM('Raw data'!A47))</f>
        <v/>
      </c>
      <c r="B47" s="36" t="str">
        <f aca="false">IF($A47="","",IF('Raw data'!B47="",UPPER(LEFT($A47,3)),'Raw data'!B47))</f>
        <v/>
      </c>
      <c r="C47" s="36" t="str">
        <f aca="false">IF($A47="","",'Raw data'!C47)</f>
        <v/>
      </c>
      <c r="D47" s="37" t="str">
        <f aca="false">IF(OR($A47="",'Raw data'!E47=""),"",'Raw data'!E47)</f>
        <v/>
      </c>
      <c r="E47" s="37" t="str">
        <f aca="false">IF(OR($A47="",'Raw data'!Q47=""),"",'Raw data'!Q47)</f>
        <v/>
      </c>
      <c r="F47" s="41" t="str">
        <f aca="false">IF($A47="","",IF(ISNUMBER('Raw data'!G47),'Raw data'!G47*100,""))</f>
        <v/>
      </c>
      <c r="G47" s="41" t="str">
        <f aca="false">IF($A47="","",IF(ISNUMBER('Raw data'!H47),'Raw data'!H47*100,""))</f>
        <v/>
      </c>
      <c r="H47" s="41" t="str">
        <f aca="false">IF($A47="","",IF(ISNUMBER('Raw data'!I47),'Raw data'!I47*100,""))</f>
        <v/>
      </c>
      <c r="I47" s="41" t="str">
        <f aca="false">IF($A47="","",IF(ISNUMBER('Raw data'!R47),'Raw data'!R47*100,""))</f>
        <v/>
      </c>
      <c r="J47" s="41" t="str">
        <f aca="false">IF($A47="","",IF(ISNUMBER('Raw data'!S47),'Raw data'!S47*100,""))</f>
        <v/>
      </c>
      <c r="K47" s="41" t="str">
        <f aca="false">IF($A47="","",IF(ISNUMBER('Raw data'!T47),'Raw data'!T47*100,""))</f>
        <v/>
      </c>
      <c r="L47" s="41" t="str">
        <f aca="false">IF($A47="","",IF('Raw data'!V47&lt;&gt;"",'Raw data'!V47*100,IF(AND(N('Raw data'!E47)&gt;0,'Raw data'!Q47&lt;&gt;""),'Raw data'!Q47*(1+N('Raw data'!S47))/('Raw data'!E47*(1+N('Raw data'!H47)))*100,"")))</f>
        <v/>
      </c>
      <c r="M47" s="41" t="str">
        <f aca="false">IF($A47="","",IF('Raw data'!U47&lt;&gt;"",'Raw data'!U47*100,IF(AND(N('Raw data'!E47)&gt;0,'Raw data'!Q47&lt;&gt;""),'Raw data'!Q47/'Raw data'!E47*100,"")))</f>
        <v/>
      </c>
      <c r="N47" s="42" t="str">
        <f aca="false">IF($A47="","",IF(ISNUMBER('Raw data'!W47),'Raw data'!W47,""))</f>
        <v/>
      </c>
      <c r="O47" s="42" t="str">
        <f aca="false">IF($A47="","",IF(ISNUMBER('Raw data'!X47),'Raw data'!X47,""))</f>
        <v/>
      </c>
      <c r="P47" s="42" t="str">
        <f aca="false">IF($A47="","",IF(ISNUMBER('Raw data'!Y47),'Raw data'!Y47,""))</f>
        <v/>
      </c>
      <c r="Q47" s="42" t="str">
        <f aca="false">IF($A47="","",IF(ISNUMBER('Raw data'!Z47),'Raw data'!Z47,""))</f>
        <v/>
      </c>
      <c r="R47" s="42" t="str">
        <f aca="false">IF($A47="","",IF(ISNUMBER('Raw data'!J47),'Raw data'!J47*100,""))</f>
        <v/>
      </c>
      <c r="S47" s="41" t="str">
        <f aca="false">IF($A47="","",IF(ISNUMBER('Raw data'!K47),'Raw data'!K47*100,""))</f>
        <v/>
      </c>
      <c r="T47" s="41" t="str">
        <f aca="false">IF($A47="","",IF(ISNUMBER('Raw data'!L47),'Raw data'!L47*100,""))</f>
        <v/>
      </c>
      <c r="U47" s="41" t="str">
        <f aca="false">IF($A47="","",IF(ISNUMBER('Raw data'!M47),'Raw data'!M47*100,""))</f>
        <v/>
      </c>
      <c r="V47" s="41" t="str">
        <f aca="false">IF($A47="","",IF(ISNUMBER('Raw data'!N47),'Raw data'!N47*100,""))</f>
        <v/>
      </c>
      <c r="W47" s="41" t="str">
        <f aca="false">IF($A47="","",IF(ISNUMBER('Raw data'!O47),'Raw data'!O47*100,""))</f>
        <v/>
      </c>
      <c r="X47" s="41" t="str">
        <f aca="false">IF($A47="","",IF(ISNUMBER('Raw data'!P47),'Raw data'!P47*100,""))</f>
        <v/>
      </c>
      <c r="Y47" s="43" t="str">
        <f aca="false">IF($A47="","",IF(AND(ISNUMBER('Raw data'!J47),ISNUMBER('Raw data'!H47),ISNUMBER('Raw data'!L47),ISNUMBER('Raw data'!O47)),ROUND(('Raw data'!J47*'Raw data'!L47+(1-'Raw data'!J47)*'Raw data'!O47-'Raw data'!H47)*100,1),""))</f>
        <v/>
      </c>
    </row>
    <row r="48" customFormat="false" ht="15" hidden="false" customHeight="false" outlineLevel="0" collapsed="false">
      <c r="A48" s="36" t="str">
        <f aca="false">IF(TRIM('Raw data'!A48)="","",TRIM('Raw data'!A48))</f>
        <v/>
      </c>
      <c r="B48" s="36" t="str">
        <f aca="false">IF($A48="","",IF('Raw data'!B48="",UPPER(LEFT($A48,3)),'Raw data'!B48))</f>
        <v/>
      </c>
      <c r="C48" s="36" t="str">
        <f aca="false">IF($A48="","",'Raw data'!C48)</f>
        <v/>
      </c>
      <c r="D48" s="37" t="str">
        <f aca="false">IF(OR($A48="",'Raw data'!E48=""),"",'Raw data'!E48)</f>
        <v/>
      </c>
      <c r="E48" s="37" t="str">
        <f aca="false">IF(OR($A48="",'Raw data'!Q48=""),"",'Raw data'!Q48)</f>
        <v/>
      </c>
      <c r="F48" s="41" t="str">
        <f aca="false">IF($A48="","",IF(ISNUMBER('Raw data'!G48),'Raw data'!G48*100,""))</f>
        <v/>
      </c>
      <c r="G48" s="41" t="str">
        <f aca="false">IF($A48="","",IF(ISNUMBER('Raw data'!H48),'Raw data'!H48*100,""))</f>
        <v/>
      </c>
      <c r="H48" s="41" t="str">
        <f aca="false">IF($A48="","",IF(ISNUMBER('Raw data'!I48),'Raw data'!I48*100,""))</f>
        <v/>
      </c>
      <c r="I48" s="41" t="str">
        <f aca="false">IF($A48="","",IF(ISNUMBER('Raw data'!R48),'Raw data'!R48*100,""))</f>
        <v/>
      </c>
      <c r="J48" s="41" t="str">
        <f aca="false">IF($A48="","",IF(ISNUMBER('Raw data'!S48),'Raw data'!S48*100,""))</f>
        <v/>
      </c>
      <c r="K48" s="41" t="str">
        <f aca="false">IF($A48="","",IF(ISNUMBER('Raw data'!T48),'Raw data'!T48*100,""))</f>
        <v/>
      </c>
      <c r="L48" s="41" t="str">
        <f aca="false">IF($A48="","",IF('Raw data'!V48&lt;&gt;"",'Raw data'!V48*100,IF(AND(N('Raw data'!E48)&gt;0,'Raw data'!Q48&lt;&gt;""),'Raw data'!Q48*(1+N('Raw data'!S48))/('Raw data'!E48*(1+N('Raw data'!H48)))*100,"")))</f>
        <v/>
      </c>
      <c r="M48" s="41" t="str">
        <f aca="false">IF($A48="","",IF('Raw data'!U48&lt;&gt;"",'Raw data'!U48*100,IF(AND(N('Raw data'!E48)&gt;0,'Raw data'!Q48&lt;&gt;""),'Raw data'!Q48/'Raw data'!E48*100,"")))</f>
        <v/>
      </c>
      <c r="N48" s="42" t="str">
        <f aca="false">IF($A48="","",IF(ISNUMBER('Raw data'!W48),'Raw data'!W48,""))</f>
        <v/>
      </c>
      <c r="O48" s="42" t="str">
        <f aca="false">IF($A48="","",IF(ISNUMBER('Raw data'!X48),'Raw data'!X48,""))</f>
        <v/>
      </c>
      <c r="P48" s="42" t="str">
        <f aca="false">IF($A48="","",IF(ISNUMBER('Raw data'!Y48),'Raw data'!Y48,""))</f>
        <v/>
      </c>
      <c r="Q48" s="42" t="str">
        <f aca="false">IF($A48="","",IF(ISNUMBER('Raw data'!Z48),'Raw data'!Z48,""))</f>
        <v/>
      </c>
      <c r="R48" s="42" t="str">
        <f aca="false">IF($A48="","",IF(ISNUMBER('Raw data'!J48),'Raw data'!J48*100,""))</f>
        <v/>
      </c>
      <c r="S48" s="41" t="str">
        <f aca="false">IF($A48="","",IF(ISNUMBER('Raw data'!K48),'Raw data'!K48*100,""))</f>
        <v/>
      </c>
      <c r="T48" s="41" t="str">
        <f aca="false">IF($A48="","",IF(ISNUMBER('Raw data'!L48),'Raw data'!L48*100,""))</f>
        <v/>
      </c>
      <c r="U48" s="41" t="str">
        <f aca="false">IF($A48="","",IF(ISNUMBER('Raw data'!M48),'Raw data'!M48*100,""))</f>
        <v/>
      </c>
      <c r="V48" s="41" t="str">
        <f aca="false">IF($A48="","",IF(ISNUMBER('Raw data'!N48),'Raw data'!N48*100,""))</f>
        <v/>
      </c>
      <c r="W48" s="41" t="str">
        <f aca="false">IF($A48="","",IF(ISNUMBER('Raw data'!O48),'Raw data'!O48*100,""))</f>
        <v/>
      </c>
      <c r="X48" s="41" t="str">
        <f aca="false">IF($A48="","",IF(ISNUMBER('Raw data'!P48),'Raw data'!P48*100,""))</f>
        <v/>
      </c>
      <c r="Y48" s="43" t="str">
        <f aca="false">IF($A48="","",IF(AND(ISNUMBER('Raw data'!J48),ISNUMBER('Raw data'!H48),ISNUMBER('Raw data'!L48),ISNUMBER('Raw data'!O48)),ROUND(('Raw data'!J48*'Raw data'!L48+(1-'Raw data'!J48)*'Raw data'!O48-'Raw data'!H48)*100,1),""))</f>
        <v/>
      </c>
    </row>
    <row r="49" customFormat="false" ht="15" hidden="false" customHeight="false" outlineLevel="0" collapsed="false">
      <c r="A49" s="36" t="str">
        <f aca="false">IF(TRIM('Raw data'!A49)="","",TRIM('Raw data'!A49))</f>
        <v/>
      </c>
      <c r="B49" s="36" t="str">
        <f aca="false">IF($A49="","",IF('Raw data'!B49="",UPPER(LEFT($A49,3)),'Raw data'!B49))</f>
        <v/>
      </c>
      <c r="C49" s="36" t="str">
        <f aca="false">IF($A49="","",'Raw data'!C49)</f>
        <v/>
      </c>
      <c r="D49" s="37" t="str">
        <f aca="false">IF(OR($A49="",'Raw data'!E49=""),"",'Raw data'!E49)</f>
        <v/>
      </c>
      <c r="E49" s="37" t="str">
        <f aca="false">IF(OR($A49="",'Raw data'!Q49=""),"",'Raw data'!Q49)</f>
        <v/>
      </c>
      <c r="F49" s="41" t="str">
        <f aca="false">IF($A49="","",IF(ISNUMBER('Raw data'!G49),'Raw data'!G49*100,""))</f>
        <v/>
      </c>
      <c r="G49" s="41" t="str">
        <f aca="false">IF($A49="","",IF(ISNUMBER('Raw data'!H49),'Raw data'!H49*100,""))</f>
        <v/>
      </c>
      <c r="H49" s="41" t="str">
        <f aca="false">IF($A49="","",IF(ISNUMBER('Raw data'!I49),'Raw data'!I49*100,""))</f>
        <v/>
      </c>
      <c r="I49" s="41" t="str">
        <f aca="false">IF($A49="","",IF(ISNUMBER('Raw data'!R49),'Raw data'!R49*100,""))</f>
        <v/>
      </c>
      <c r="J49" s="41" t="str">
        <f aca="false">IF($A49="","",IF(ISNUMBER('Raw data'!S49),'Raw data'!S49*100,""))</f>
        <v/>
      </c>
      <c r="K49" s="41" t="str">
        <f aca="false">IF($A49="","",IF(ISNUMBER('Raw data'!T49),'Raw data'!T49*100,""))</f>
        <v/>
      </c>
      <c r="L49" s="41" t="str">
        <f aca="false">IF($A49="","",IF('Raw data'!V49&lt;&gt;"",'Raw data'!V49*100,IF(AND(N('Raw data'!E49)&gt;0,'Raw data'!Q49&lt;&gt;""),'Raw data'!Q49*(1+N('Raw data'!S49))/('Raw data'!E49*(1+N('Raw data'!H49)))*100,"")))</f>
        <v/>
      </c>
      <c r="M49" s="41" t="str">
        <f aca="false">IF($A49="","",IF('Raw data'!U49&lt;&gt;"",'Raw data'!U49*100,IF(AND(N('Raw data'!E49)&gt;0,'Raw data'!Q49&lt;&gt;""),'Raw data'!Q49/'Raw data'!E49*100,"")))</f>
        <v/>
      </c>
      <c r="N49" s="42" t="str">
        <f aca="false">IF($A49="","",IF(ISNUMBER('Raw data'!W49),'Raw data'!W49,""))</f>
        <v/>
      </c>
      <c r="O49" s="42" t="str">
        <f aca="false">IF($A49="","",IF(ISNUMBER('Raw data'!X49),'Raw data'!X49,""))</f>
        <v/>
      </c>
      <c r="P49" s="42" t="str">
        <f aca="false">IF($A49="","",IF(ISNUMBER('Raw data'!Y49),'Raw data'!Y49,""))</f>
        <v/>
      </c>
      <c r="Q49" s="42" t="str">
        <f aca="false">IF($A49="","",IF(ISNUMBER('Raw data'!Z49),'Raw data'!Z49,""))</f>
        <v/>
      </c>
      <c r="R49" s="42" t="str">
        <f aca="false">IF($A49="","",IF(ISNUMBER('Raw data'!J49),'Raw data'!J49*100,""))</f>
        <v/>
      </c>
      <c r="S49" s="41" t="str">
        <f aca="false">IF($A49="","",IF(ISNUMBER('Raw data'!K49),'Raw data'!K49*100,""))</f>
        <v/>
      </c>
      <c r="T49" s="41" t="str">
        <f aca="false">IF($A49="","",IF(ISNUMBER('Raw data'!L49),'Raw data'!L49*100,""))</f>
        <v/>
      </c>
      <c r="U49" s="41" t="str">
        <f aca="false">IF($A49="","",IF(ISNUMBER('Raw data'!M49),'Raw data'!M49*100,""))</f>
        <v/>
      </c>
      <c r="V49" s="41" t="str">
        <f aca="false">IF($A49="","",IF(ISNUMBER('Raw data'!N49),'Raw data'!N49*100,""))</f>
        <v/>
      </c>
      <c r="W49" s="41" t="str">
        <f aca="false">IF($A49="","",IF(ISNUMBER('Raw data'!O49),'Raw data'!O49*100,""))</f>
        <v/>
      </c>
      <c r="X49" s="41" t="str">
        <f aca="false">IF($A49="","",IF(ISNUMBER('Raw data'!P49),'Raw data'!P49*100,""))</f>
        <v/>
      </c>
      <c r="Y49" s="43" t="str">
        <f aca="false">IF($A49="","",IF(AND(ISNUMBER('Raw data'!J49),ISNUMBER('Raw data'!H49),ISNUMBER('Raw data'!L49),ISNUMBER('Raw data'!O49)),ROUND(('Raw data'!J49*'Raw data'!L49+(1-'Raw data'!J49)*'Raw data'!O49-'Raw data'!H49)*100,1),""))</f>
        <v/>
      </c>
    </row>
    <row r="50" customFormat="false" ht="15" hidden="false" customHeight="false" outlineLevel="0" collapsed="false">
      <c r="A50" s="36" t="str">
        <f aca="false">IF(TRIM('Raw data'!A50)="","",TRIM('Raw data'!A50))</f>
        <v/>
      </c>
      <c r="B50" s="36" t="str">
        <f aca="false">IF($A50="","",IF('Raw data'!B50="",UPPER(LEFT($A50,3)),'Raw data'!B50))</f>
        <v/>
      </c>
      <c r="C50" s="36" t="str">
        <f aca="false">IF($A50="","",'Raw data'!C50)</f>
        <v/>
      </c>
      <c r="D50" s="37" t="str">
        <f aca="false">IF(OR($A50="",'Raw data'!E50=""),"",'Raw data'!E50)</f>
        <v/>
      </c>
      <c r="E50" s="37" t="str">
        <f aca="false">IF(OR($A50="",'Raw data'!Q50=""),"",'Raw data'!Q50)</f>
        <v/>
      </c>
      <c r="F50" s="41" t="str">
        <f aca="false">IF($A50="","",IF(ISNUMBER('Raw data'!G50),'Raw data'!G50*100,""))</f>
        <v/>
      </c>
      <c r="G50" s="41" t="str">
        <f aca="false">IF($A50="","",IF(ISNUMBER('Raw data'!H50),'Raw data'!H50*100,""))</f>
        <v/>
      </c>
      <c r="H50" s="41" t="str">
        <f aca="false">IF($A50="","",IF(ISNUMBER('Raw data'!I50),'Raw data'!I50*100,""))</f>
        <v/>
      </c>
      <c r="I50" s="41" t="str">
        <f aca="false">IF($A50="","",IF(ISNUMBER('Raw data'!R50),'Raw data'!R50*100,""))</f>
        <v/>
      </c>
      <c r="J50" s="41" t="str">
        <f aca="false">IF($A50="","",IF(ISNUMBER('Raw data'!S50),'Raw data'!S50*100,""))</f>
        <v/>
      </c>
      <c r="K50" s="41" t="str">
        <f aca="false">IF($A50="","",IF(ISNUMBER('Raw data'!T50),'Raw data'!T50*100,""))</f>
        <v/>
      </c>
      <c r="L50" s="41" t="str">
        <f aca="false">IF($A50="","",IF('Raw data'!V50&lt;&gt;"",'Raw data'!V50*100,IF(AND(N('Raw data'!E50)&gt;0,'Raw data'!Q50&lt;&gt;""),'Raw data'!Q50*(1+N('Raw data'!S50))/('Raw data'!E50*(1+N('Raw data'!H50)))*100,"")))</f>
        <v/>
      </c>
      <c r="M50" s="41" t="str">
        <f aca="false">IF($A50="","",IF('Raw data'!U50&lt;&gt;"",'Raw data'!U50*100,IF(AND(N('Raw data'!E50)&gt;0,'Raw data'!Q50&lt;&gt;""),'Raw data'!Q50/'Raw data'!E50*100,"")))</f>
        <v/>
      </c>
      <c r="N50" s="42" t="str">
        <f aca="false">IF($A50="","",IF(ISNUMBER('Raw data'!W50),'Raw data'!W50,""))</f>
        <v/>
      </c>
      <c r="O50" s="42" t="str">
        <f aca="false">IF($A50="","",IF(ISNUMBER('Raw data'!X50),'Raw data'!X50,""))</f>
        <v/>
      </c>
      <c r="P50" s="42" t="str">
        <f aca="false">IF($A50="","",IF(ISNUMBER('Raw data'!Y50),'Raw data'!Y50,""))</f>
        <v/>
      </c>
      <c r="Q50" s="42" t="str">
        <f aca="false">IF($A50="","",IF(ISNUMBER('Raw data'!Z50),'Raw data'!Z50,""))</f>
        <v/>
      </c>
      <c r="R50" s="42" t="str">
        <f aca="false">IF($A50="","",IF(ISNUMBER('Raw data'!J50),'Raw data'!J50*100,""))</f>
        <v/>
      </c>
      <c r="S50" s="41" t="str">
        <f aca="false">IF($A50="","",IF(ISNUMBER('Raw data'!K50),'Raw data'!K50*100,""))</f>
        <v/>
      </c>
      <c r="T50" s="41" t="str">
        <f aca="false">IF($A50="","",IF(ISNUMBER('Raw data'!L50),'Raw data'!L50*100,""))</f>
        <v/>
      </c>
      <c r="U50" s="41" t="str">
        <f aca="false">IF($A50="","",IF(ISNUMBER('Raw data'!M50),'Raw data'!M50*100,""))</f>
        <v/>
      </c>
      <c r="V50" s="41" t="str">
        <f aca="false">IF($A50="","",IF(ISNUMBER('Raw data'!N50),'Raw data'!N50*100,""))</f>
        <v/>
      </c>
      <c r="W50" s="41" t="str">
        <f aca="false">IF($A50="","",IF(ISNUMBER('Raw data'!O50),'Raw data'!O50*100,""))</f>
        <v/>
      </c>
      <c r="X50" s="41" t="str">
        <f aca="false">IF($A50="","",IF(ISNUMBER('Raw data'!P50),'Raw data'!P50*100,""))</f>
        <v/>
      </c>
      <c r="Y50" s="43" t="str">
        <f aca="false">IF($A50="","",IF(AND(ISNUMBER('Raw data'!J50),ISNUMBER('Raw data'!H50),ISNUMBER('Raw data'!L50),ISNUMBER('Raw data'!O50)),ROUND(('Raw data'!J50*'Raw data'!L50+(1-'Raw data'!J50)*'Raw data'!O50-'Raw data'!H50)*100,1),""))</f>
        <v/>
      </c>
    </row>
    <row r="51" customFormat="false" ht="15" hidden="false" customHeight="false" outlineLevel="0" collapsed="false">
      <c r="A51" s="36" t="str">
        <f aca="false">IF(TRIM('Raw data'!A51)="","",TRIM('Raw data'!A51))</f>
        <v/>
      </c>
      <c r="B51" s="36" t="str">
        <f aca="false">IF($A51="","",IF('Raw data'!B51="",UPPER(LEFT($A51,3)),'Raw data'!B51))</f>
        <v/>
      </c>
      <c r="C51" s="36" t="str">
        <f aca="false">IF($A51="","",'Raw data'!C51)</f>
        <v/>
      </c>
      <c r="D51" s="37" t="str">
        <f aca="false">IF(OR($A51="",'Raw data'!E51=""),"",'Raw data'!E51)</f>
        <v/>
      </c>
      <c r="E51" s="37" t="str">
        <f aca="false">IF(OR($A51="",'Raw data'!Q51=""),"",'Raw data'!Q51)</f>
        <v/>
      </c>
      <c r="F51" s="41" t="str">
        <f aca="false">IF($A51="","",IF(ISNUMBER('Raw data'!G51),'Raw data'!G51*100,""))</f>
        <v/>
      </c>
      <c r="G51" s="41" t="str">
        <f aca="false">IF($A51="","",IF(ISNUMBER('Raw data'!H51),'Raw data'!H51*100,""))</f>
        <v/>
      </c>
      <c r="H51" s="41" t="str">
        <f aca="false">IF($A51="","",IF(ISNUMBER('Raw data'!I51),'Raw data'!I51*100,""))</f>
        <v/>
      </c>
      <c r="I51" s="41" t="str">
        <f aca="false">IF($A51="","",IF(ISNUMBER('Raw data'!R51),'Raw data'!R51*100,""))</f>
        <v/>
      </c>
      <c r="J51" s="41" t="str">
        <f aca="false">IF($A51="","",IF(ISNUMBER('Raw data'!S51),'Raw data'!S51*100,""))</f>
        <v/>
      </c>
      <c r="K51" s="41" t="str">
        <f aca="false">IF($A51="","",IF(ISNUMBER('Raw data'!T51),'Raw data'!T51*100,""))</f>
        <v/>
      </c>
      <c r="L51" s="41" t="str">
        <f aca="false">IF($A51="","",IF('Raw data'!V51&lt;&gt;"",'Raw data'!V51*100,IF(AND(N('Raw data'!E51)&gt;0,'Raw data'!Q51&lt;&gt;""),'Raw data'!Q51*(1+N('Raw data'!S51))/('Raw data'!E51*(1+N('Raw data'!H51)))*100,"")))</f>
        <v/>
      </c>
      <c r="M51" s="41" t="str">
        <f aca="false">IF($A51="","",IF('Raw data'!U51&lt;&gt;"",'Raw data'!U51*100,IF(AND(N('Raw data'!E51)&gt;0,'Raw data'!Q51&lt;&gt;""),'Raw data'!Q51/'Raw data'!E51*100,"")))</f>
        <v/>
      </c>
      <c r="N51" s="42" t="str">
        <f aca="false">IF($A51="","",IF(ISNUMBER('Raw data'!W51),'Raw data'!W51,""))</f>
        <v/>
      </c>
      <c r="O51" s="42" t="str">
        <f aca="false">IF($A51="","",IF(ISNUMBER('Raw data'!X51),'Raw data'!X51,""))</f>
        <v/>
      </c>
      <c r="P51" s="42" t="str">
        <f aca="false">IF($A51="","",IF(ISNUMBER('Raw data'!Y51),'Raw data'!Y51,""))</f>
        <v/>
      </c>
      <c r="Q51" s="42" t="str">
        <f aca="false">IF($A51="","",IF(ISNUMBER('Raw data'!Z51),'Raw data'!Z51,""))</f>
        <v/>
      </c>
      <c r="R51" s="42" t="str">
        <f aca="false">IF($A51="","",IF(ISNUMBER('Raw data'!J51),'Raw data'!J51*100,""))</f>
        <v/>
      </c>
      <c r="S51" s="41" t="str">
        <f aca="false">IF($A51="","",IF(ISNUMBER('Raw data'!K51),'Raw data'!K51*100,""))</f>
        <v/>
      </c>
      <c r="T51" s="41" t="str">
        <f aca="false">IF($A51="","",IF(ISNUMBER('Raw data'!L51),'Raw data'!L51*100,""))</f>
        <v/>
      </c>
      <c r="U51" s="41" t="str">
        <f aca="false">IF($A51="","",IF(ISNUMBER('Raw data'!M51),'Raw data'!M51*100,""))</f>
        <v/>
      </c>
      <c r="V51" s="41" t="str">
        <f aca="false">IF($A51="","",IF(ISNUMBER('Raw data'!N51),'Raw data'!N51*100,""))</f>
        <v/>
      </c>
      <c r="W51" s="41" t="str">
        <f aca="false">IF($A51="","",IF(ISNUMBER('Raw data'!O51),'Raw data'!O51*100,""))</f>
        <v/>
      </c>
      <c r="X51" s="41" t="str">
        <f aca="false">IF($A51="","",IF(ISNUMBER('Raw data'!P51),'Raw data'!P51*100,""))</f>
        <v/>
      </c>
      <c r="Y51" s="43" t="str">
        <f aca="false">IF($A51="","",IF(AND(ISNUMBER('Raw data'!J51),ISNUMBER('Raw data'!H51),ISNUMBER('Raw data'!L51),ISNUMBER('Raw data'!O51)),ROUND(('Raw data'!J51*'Raw data'!L51+(1-'Raw data'!J51)*'Raw data'!O51-'Raw data'!H51)*100,1),""))</f>
        <v/>
      </c>
    </row>
    <row r="52" customFormat="false" ht="15" hidden="false" customHeight="false" outlineLevel="0" collapsed="false">
      <c r="A52" s="36" t="str">
        <f aca="false">IF(TRIM('Raw data'!A52)="","",TRIM('Raw data'!A52))</f>
        <v/>
      </c>
      <c r="B52" s="36" t="str">
        <f aca="false">IF($A52="","",IF('Raw data'!B52="",UPPER(LEFT($A52,3)),'Raw data'!B52))</f>
        <v/>
      </c>
      <c r="C52" s="36" t="str">
        <f aca="false">IF($A52="","",'Raw data'!C52)</f>
        <v/>
      </c>
      <c r="D52" s="37" t="str">
        <f aca="false">IF(OR($A52="",'Raw data'!E52=""),"",'Raw data'!E52)</f>
        <v/>
      </c>
      <c r="E52" s="37" t="str">
        <f aca="false">IF(OR($A52="",'Raw data'!Q52=""),"",'Raw data'!Q52)</f>
        <v/>
      </c>
      <c r="F52" s="41" t="str">
        <f aca="false">IF($A52="","",IF(ISNUMBER('Raw data'!G52),'Raw data'!G52*100,""))</f>
        <v/>
      </c>
      <c r="G52" s="41" t="str">
        <f aca="false">IF($A52="","",IF(ISNUMBER('Raw data'!H52),'Raw data'!H52*100,""))</f>
        <v/>
      </c>
      <c r="H52" s="41" t="str">
        <f aca="false">IF($A52="","",IF(ISNUMBER('Raw data'!I52),'Raw data'!I52*100,""))</f>
        <v/>
      </c>
      <c r="I52" s="41" t="str">
        <f aca="false">IF($A52="","",IF(ISNUMBER('Raw data'!R52),'Raw data'!R52*100,""))</f>
        <v/>
      </c>
      <c r="J52" s="41" t="str">
        <f aca="false">IF($A52="","",IF(ISNUMBER('Raw data'!S52),'Raw data'!S52*100,""))</f>
        <v/>
      </c>
      <c r="K52" s="41" t="str">
        <f aca="false">IF($A52="","",IF(ISNUMBER('Raw data'!T52),'Raw data'!T52*100,""))</f>
        <v/>
      </c>
      <c r="L52" s="41" t="str">
        <f aca="false">IF($A52="","",IF('Raw data'!V52&lt;&gt;"",'Raw data'!V52*100,IF(AND(N('Raw data'!E52)&gt;0,'Raw data'!Q52&lt;&gt;""),'Raw data'!Q52*(1+N('Raw data'!S52))/('Raw data'!E52*(1+N('Raw data'!H52)))*100,"")))</f>
        <v/>
      </c>
      <c r="M52" s="41" t="str">
        <f aca="false">IF($A52="","",IF('Raw data'!U52&lt;&gt;"",'Raw data'!U52*100,IF(AND(N('Raw data'!E52)&gt;0,'Raw data'!Q52&lt;&gt;""),'Raw data'!Q52/'Raw data'!E52*100,"")))</f>
        <v/>
      </c>
      <c r="N52" s="42" t="str">
        <f aca="false">IF($A52="","",IF(ISNUMBER('Raw data'!W52),'Raw data'!W52,""))</f>
        <v/>
      </c>
      <c r="O52" s="42" t="str">
        <f aca="false">IF($A52="","",IF(ISNUMBER('Raw data'!X52),'Raw data'!X52,""))</f>
        <v/>
      </c>
      <c r="P52" s="42" t="str">
        <f aca="false">IF($A52="","",IF(ISNUMBER('Raw data'!Y52),'Raw data'!Y52,""))</f>
        <v/>
      </c>
      <c r="Q52" s="42" t="str">
        <f aca="false">IF($A52="","",IF(ISNUMBER('Raw data'!Z52),'Raw data'!Z52,""))</f>
        <v/>
      </c>
      <c r="R52" s="42" t="str">
        <f aca="false">IF($A52="","",IF(ISNUMBER('Raw data'!J52),'Raw data'!J52*100,""))</f>
        <v/>
      </c>
      <c r="S52" s="41" t="str">
        <f aca="false">IF($A52="","",IF(ISNUMBER('Raw data'!K52),'Raw data'!K52*100,""))</f>
        <v/>
      </c>
      <c r="T52" s="41" t="str">
        <f aca="false">IF($A52="","",IF(ISNUMBER('Raw data'!L52),'Raw data'!L52*100,""))</f>
        <v/>
      </c>
      <c r="U52" s="41" t="str">
        <f aca="false">IF($A52="","",IF(ISNUMBER('Raw data'!M52),'Raw data'!M52*100,""))</f>
        <v/>
      </c>
      <c r="V52" s="41" t="str">
        <f aca="false">IF($A52="","",IF(ISNUMBER('Raw data'!N52),'Raw data'!N52*100,""))</f>
        <v/>
      </c>
      <c r="W52" s="41" t="str">
        <f aca="false">IF($A52="","",IF(ISNUMBER('Raw data'!O52),'Raw data'!O52*100,""))</f>
        <v/>
      </c>
      <c r="X52" s="41" t="str">
        <f aca="false">IF($A52="","",IF(ISNUMBER('Raw data'!P52),'Raw data'!P52*100,""))</f>
        <v/>
      </c>
      <c r="Y52" s="43" t="str">
        <f aca="false">IF($A52="","",IF(AND(ISNUMBER('Raw data'!J52),ISNUMBER('Raw data'!H52),ISNUMBER('Raw data'!L52),ISNUMBER('Raw data'!O52)),ROUND(('Raw data'!J52*'Raw data'!L52+(1-'Raw data'!J52)*'Raw data'!O52-'Raw data'!H52)*100,1),""))</f>
        <v/>
      </c>
    </row>
    <row r="53" customFormat="false" ht="15" hidden="false" customHeight="false" outlineLevel="0" collapsed="false">
      <c r="A53" s="36" t="str">
        <f aca="false">IF(TRIM('Raw data'!A53)="","",TRIM('Raw data'!A53))</f>
        <v/>
      </c>
      <c r="B53" s="36" t="str">
        <f aca="false">IF($A53="","",IF('Raw data'!B53="",UPPER(LEFT($A53,3)),'Raw data'!B53))</f>
        <v/>
      </c>
      <c r="C53" s="36" t="str">
        <f aca="false">IF($A53="","",'Raw data'!C53)</f>
        <v/>
      </c>
      <c r="D53" s="37" t="str">
        <f aca="false">IF(OR($A53="",'Raw data'!E53=""),"",'Raw data'!E53)</f>
        <v/>
      </c>
      <c r="E53" s="37" t="str">
        <f aca="false">IF(OR($A53="",'Raw data'!Q53=""),"",'Raw data'!Q53)</f>
        <v/>
      </c>
      <c r="F53" s="41" t="str">
        <f aca="false">IF($A53="","",IF(ISNUMBER('Raw data'!G53),'Raw data'!G53*100,""))</f>
        <v/>
      </c>
      <c r="G53" s="41" t="str">
        <f aca="false">IF($A53="","",IF(ISNUMBER('Raw data'!H53),'Raw data'!H53*100,""))</f>
        <v/>
      </c>
      <c r="H53" s="41" t="str">
        <f aca="false">IF($A53="","",IF(ISNUMBER('Raw data'!I53),'Raw data'!I53*100,""))</f>
        <v/>
      </c>
      <c r="I53" s="41" t="str">
        <f aca="false">IF($A53="","",IF(ISNUMBER('Raw data'!R53),'Raw data'!R53*100,""))</f>
        <v/>
      </c>
      <c r="J53" s="41" t="str">
        <f aca="false">IF($A53="","",IF(ISNUMBER('Raw data'!S53),'Raw data'!S53*100,""))</f>
        <v/>
      </c>
      <c r="K53" s="41" t="str">
        <f aca="false">IF($A53="","",IF(ISNUMBER('Raw data'!T53),'Raw data'!T53*100,""))</f>
        <v/>
      </c>
      <c r="L53" s="41" t="str">
        <f aca="false">IF($A53="","",IF('Raw data'!V53&lt;&gt;"",'Raw data'!V53*100,IF(AND(N('Raw data'!E53)&gt;0,'Raw data'!Q53&lt;&gt;""),'Raw data'!Q53*(1+N('Raw data'!S53))/('Raw data'!E53*(1+N('Raw data'!H53)))*100,"")))</f>
        <v/>
      </c>
      <c r="M53" s="41" t="str">
        <f aca="false">IF($A53="","",IF('Raw data'!U53&lt;&gt;"",'Raw data'!U53*100,IF(AND(N('Raw data'!E53)&gt;0,'Raw data'!Q53&lt;&gt;""),'Raw data'!Q53/'Raw data'!E53*100,"")))</f>
        <v/>
      </c>
      <c r="N53" s="42" t="str">
        <f aca="false">IF($A53="","",IF(ISNUMBER('Raw data'!W53),'Raw data'!W53,""))</f>
        <v/>
      </c>
      <c r="O53" s="42" t="str">
        <f aca="false">IF($A53="","",IF(ISNUMBER('Raw data'!X53),'Raw data'!X53,""))</f>
        <v/>
      </c>
      <c r="P53" s="42" t="str">
        <f aca="false">IF($A53="","",IF(ISNUMBER('Raw data'!Y53),'Raw data'!Y53,""))</f>
        <v/>
      </c>
      <c r="Q53" s="42" t="str">
        <f aca="false">IF($A53="","",IF(ISNUMBER('Raw data'!Z53),'Raw data'!Z53,""))</f>
        <v/>
      </c>
      <c r="R53" s="42" t="str">
        <f aca="false">IF($A53="","",IF(ISNUMBER('Raw data'!J53),'Raw data'!J53*100,""))</f>
        <v/>
      </c>
      <c r="S53" s="41" t="str">
        <f aca="false">IF($A53="","",IF(ISNUMBER('Raw data'!K53),'Raw data'!K53*100,""))</f>
        <v/>
      </c>
      <c r="T53" s="41" t="str">
        <f aca="false">IF($A53="","",IF(ISNUMBER('Raw data'!L53),'Raw data'!L53*100,""))</f>
        <v/>
      </c>
      <c r="U53" s="41" t="str">
        <f aca="false">IF($A53="","",IF(ISNUMBER('Raw data'!M53),'Raw data'!M53*100,""))</f>
        <v/>
      </c>
      <c r="V53" s="41" t="str">
        <f aca="false">IF($A53="","",IF(ISNUMBER('Raw data'!N53),'Raw data'!N53*100,""))</f>
        <v/>
      </c>
      <c r="W53" s="41" t="str">
        <f aca="false">IF($A53="","",IF(ISNUMBER('Raw data'!O53),'Raw data'!O53*100,""))</f>
        <v/>
      </c>
      <c r="X53" s="41" t="str">
        <f aca="false">IF($A53="","",IF(ISNUMBER('Raw data'!P53),'Raw data'!P53*100,""))</f>
        <v/>
      </c>
      <c r="Y53" s="43" t="str">
        <f aca="false">IF($A53="","",IF(AND(ISNUMBER('Raw data'!J53),ISNUMBER('Raw data'!H53),ISNUMBER('Raw data'!L53),ISNUMBER('Raw data'!O53)),ROUND(('Raw data'!J53*'Raw data'!L53+(1-'Raw data'!J53)*'Raw data'!O53-'Raw data'!H53)*100,1),""))</f>
        <v/>
      </c>
    </row>
    <row r="54" customFormat="false" ht="15" hidden="false" customHeight="false" outlineLevel="0" collapsed="false">
      <c r="A54" s="36" t="str">
        <f aca="false">IF(TRIM('Raw data'!A54)="","",TRIM('Raw data'!A54))</f>
        <v/>
      </c>
      <c r="B54" s="36" t="str">
        <f aca="false">IF($A54="","",IF('Raw data'!B54="",UPPER(LEFT($A54,3)),'Raw data'!B54))</f>
        <v/>
      </c>
      <c r="C54" s="36" t="str">
        <f aca="false">IF($A54="","",'Raw data'!C54)</f>
        <v/>
      </c>
      <c r="D54" s="37" t="str">
        <f aca="false">IF(OR($A54="",'Raw data'!E54=""),"",'Raw data'!E54)</f>
        <v/>
      </c>
      <c r="E54" s="37" t="str">
        <f aca="false">IF(OR($A54="",'Raw data'!Q54=""),"",'Raw data'!Q54)</f>
        <v/>
      </c>
      <c r="F54" s="41" t="str">
        <f aca="false">IF($A54="","",IF(ISNUMBER('Raw data'!G54),'Raw data'!G54*100,""))</f>
        <v/>
      </c>
      <c r="G54" s="41" t="str">
        <f aca="false">IF($A54="","",IF(ISNUMBER('Raw data'!H54),'Raw data'!H54*100,""))</f>
        <v/>
      </c>
      <c r="H54" s="41" t="str">
        <f aca="false">IF($A54="","",IF(ISNUMBER('Raw data'!I54),'Raw data'!I54*100,""))</f>
        <v/>
      </c>
      <c r="I54" s="41" t="str">
        <f aca="false">IF($A54="","",IF(ISNUMBER('Raw data'!R54),'Raw data'!R54*100,""))</f>
        <v/>
      </c>
      <c r="J54" s="41" t="str">
        <f aca="false">IF($A54="","",IF(ISNUMBER('Raw data'!S54),'Raw data'!S54*100,""))</f>
        <v/>
      </c>
      <c r="K54" s="41" t="str">
        <f aca="false">IF($A54="","",IF(ISNUMBER('Raw data'!T54),'Raw data'!T54*100,""))</f>
        <v/>
      </c>
      <c r="L54" s="41" t="str">
        <f aca="false">IF($A54="","",IF('Raw data'!V54&lt;&gt;"",'Raw data'!V54*100,IF(AND(N('Raw data'!E54)&gt;0,'Raw data'!Q54&lt;&gt;""),'Raw data'!Q54*(1+N('Raw data'!S54))/('Raw data'!E54*(1+N('Raw data'!H54)))*100,"")))</f>
        <v/>
      </c>
      <c r="M54" s="41" t="str">
        <f aca="false">IF($A54="","",IF('Raw data'!U54&lt;&gt;"",'Raw data'!U54*100,IF(AND(N('Raw data'!E54)&gt;0,'Raw data'!Q54&lt;&gt;""),'Raw data'!Q54/'Raw data'!E54*100,"")))</f>
        <v/>
      </c>
      <c r="N54" s="42" t="str">
        <f aca="false">IF($A54="","",IF(ISNUMBER('Raw data'!W54),'Raw data'!W54,""))</f>
        <v/>
      </c>
      <c r="O54" s="42" t="str">
        <f aca="false">IF($A54="","",IF(ISNUMBER('Raw data'!X54),'Raw data'!X54,""))</f>
        <v/>
      </c>
      <c r="P54" s="42" t="str">
        <f aca="false">IF($A54="","",IF(ISNUMBER('Raw data'!Y54),'Raw data'!Y54,""))</f>
        <v/>
      </c>
      <c r="Q54" s="42" t="str">
        <f aca="false">IF($A54="","",IF(ISNUMBER('Raw data'!Z54),'Raw data'!Z54,""))</f>
        <v/>
      </c>
      <c r="R54" s="42" t="str">
        <f aca="false">IF($A54="","",IF(ISNUMBER('Raw data'!J54),'Raw data'!J54*100,""))</f>
        <v/>
      </c>
      <c r="S54" s="41" t="str">
        <f aca="false">IF($A54="","",IF(ISNUMBER('Raw data'!K54),'Raw data'!K54*100,""))</f>
        <v/>
      </c>
      <c r="T54" s="41" t="str">
        <f aca="false">IF($A54="","",IF(ISNUMBER('Raw data'!L54),'Raw data'!L54*100,""))</f>
        <v/>
      </c>
      <c r="U54" s="41" t="str">
        <f aca="false">IF($A54="","",IF(ISNUMBER('Raw data'!M54),'Raw data'!M54*100,""))</f>
        <v/>
      </c>
      <c r="V54" s="41" t="str">
        <f aca="false">IF($A54="","",IF(ISNUMBER('Raw data'!N54),'Raw data'!N54*100,""))</f>
        <v/>
      </c>
      <c r="W54" s="41" t="str">
        <f aca="false">IF($A54="","",IF(ISNUMBER('Raw data'!O54),'Raw data'!O54*100,""))</f>
        <v/>
      </c>
      <c r="X54" s="41" t="str">
        <f aca="false">IF($A54="","",IF(ISNUMBER('Raw data'!P54),'Raw data'!P54*100,""))</f>
        <v/>
      </c>
      <c r="Y54" s="43" t="str">
        <f aca="false">IF($A54="","",IF(AND(ISNUMBER('Raw data'!J54),ISNUMBER('Raw data'!H54),ISNUMBER('Raw data'!L54),ISNUMBER('Raw data'!O54)),ROUND(('Raw data'!J54*'Raw data'!L54+(1-'Raw data'!J54)*'Raw data'!O54-'Raw data'!H54)*100,1),""))</f>
        <v/>
      </c>
    </row>
    <row r="55" customFormat="false" ht="15" hidden="false" customHeight="false" outlineLevel="0" collapsed="false">
      <c r="A55" s="36" t="str">
        <f aca="false">IF(TRIM('Raw data'!A55)="","",TRIM('Raw data'!A55))</f>
        <v/>
      </c>
      <c r="B55" s="36" t="str">
        <f aca="false">IF($A55="","",IF('Raw data'!B55="",UPPER(LEFT($A55,3)),'Raw data'!B55))</f>
        <v/>
      </c>
      <c r="C55" s="36" t="str">
        <f aca="false">IF($A55="","",'Raw data'!C55)</f>
        <v/>
      </c>
      <c r="D55" s="37" t="str">
        <f aca="false">IF(OR($A55="",'Raw data'!E55=""),"",'Raw data'!E55)</f>
        <v/>
      </c>
      <c r="E55" s="37" t="str">
        <f aca="false">IF(OR($A55="",'Raw data'!Q55=""),"",'Raw data'!Q55)</f>
        <v/>
      </c>
      <c r="F55" s="41" t="str">
        <f aca="false">IF($A55="","",IF(ISNUMBER('Raw data'!G55),'Raw data'!G55*100,""))</f>
        <v/>
      </c>
      <c r="G55" s="41" t="str">
        <f aca="false">IF($A55="","",IF(ISNUMBER('Raw data'!H55),'Raw data'!H55*100,""))</f>
        <v/>
      </c>
      <c r="H55" s="41" t="str">
        <f aca="false">IF($A55="","",IF(ISNUMBER('Raw data'!I55),'Raw data'!I55*100,""))</f>
        <v/>
      </c>
      <c r="I55" s="41" t="str">
        <f aca="false">IF($A55="","",IF(ISNUMBER('Raw data'!R55),'Raw data'!R55*100,""))</f>
        <v/>
      </c>
      <c r="J55" s="41" t="str">
        <f aca="false">IF($A55="","",IF(ISNUMBER('Raw data'!S55),'Raw data'!S55*100,""))</f>
        <v/>
      </c>
      <c r="K55" s="41" t="str">
        <f aca="false">IF($A55="","",IF(ISNUMBER('Raw data'!T55),'Raw data'!T55*100,""))</f>
        <v/>
      </c>
      <c r="L55" s="41" t="str">
        <f aca="false">IF($A55="","",IF('Raw data'!V55&lt;&gt;"",'Raw data'!V55*100,IF(AND(N('Raw data'!E55)&gt;0,'Raw data'!Q55&lt;&gt;""),'Raw data'!Q55*(1+N('Raw data'!S55))/('Raw data'!E55*(1+N('Raw data'!H55)))*100,"")))</f>
        <v/>
      </c>
      <c r="M55" s="41" t="str">
        <f aca="false">IF($A55="","",IF('Raw data'!U55&lt;&gt;"",'Raw data'!U55*100,IF(AND(N('Raw data'!E55)&gt;0,'Raw data'!Q55&lt;&gt;""),'Raw data'!Q55/'Raw data'!E55*100,"")))</f>
        <v/>
      </c>
      <c r="N55" s="42" t="str">
        <f aca="false">IF($A55="","",IF(ISNUMBER('Raw data'!W55),'Raw data'!W55,""))</f>
        <v/>
      </c>
      <c r="O55" s="42" t="str">
        <f aca="false">IF($A55="","",IF(ISNUMBER('Raw data'!X55),'Raw data'!X55,""))</f>
        <v/>
      </c>
      <c r="P55" s="42" t="str">
        <f aca="false">IF($A55="","",IF(ISNUMBER('Raw data'!Y55),'Raw data'!Y55,""))</f>
        <v/>
      </c>
      <c r="Q55" s="42" t="str">
        <f aca="false">IF($A55="","",IF(ISNUMBER('Raw data'!Z55),'Raw data'!Z55,""))</f>
        <v/>
      </c>
      <c r="R55" s="42" t="str">
        <f aca="false">IF($A55="","",IF(ISNUMBER('Raw data'!J55),'Raw data'!J55*100,""))</f>
        <v/>
      </c>
      <c r="S55" s="41" t="str">
        <f aca="false">IF($A55="","",IF(ISNUMBER('Raw data'!K55),'Raw data'!K55*100,""))</f>
        <v/>
      </c>
      <c r="T55" s="41" t="str">
        <f aca="false">IF($A55="","",IF(ISNUMBER('Raw data'!L55),'Raw data'!L55*100,""))</f>
        <v/>
      </c>
      <c r="U55" s="41" t="str">
        <f aca="false">IF($A55="","",IF(ISNUMBER('Raw data'!M55),'Raw data'!M55*100,""))</f>
        <v/>
      </c>
      <c r="V55" s="41" t="str">
        <f aca="false">IF($A55="","",IF(ISNUMBER('Raw data'!N55),'Raw data'!N55*100,""))</f>
        <v/>
      </c>
      <c r="W55" s="41" t="str">
        <f aca="false">IF($A55="","",IF(ISNUMBER('Raw data'!O55),'Raw data'!O55*100,""))</f>
        <v/>
      </c>
      <c r="X55" s="41" t="str">
        <f aca="false">IF($A55="","",IF(ISNUMBER('Raw data'!P55),'Raw data'!P55*100,""))</f>
        <v/>
      </c>
      <c r="Y55" s="43" t="str">
        <f aca="false">IF($A55="","",IF(AND(ISNUMBER('Raw data'!J55),ISNUMBER('Raw data'!H55),ISNUMBER('Raw data'!L55),ISNUMBER('Raw data'!O55)),ROUND(('Raw data'!J55*'Raw data'!L55+(1-'Raw data'!J55)*'Raw data'!O55-'Raw data'!H55)*100,1),""))</f>
        <v/>
      </c>
    </row>
    <row r="56" customFormat="false" ht="15" hidden="false" customHeight="false" outlineLevel="0" collapsed="false">
      <c r="A56" s="36" t="str">
        <f aca="false">IF(TRIM('Raw data'!A56)="","",TRIM('Raw data'!A56))</f>
        <v/>
      </c>
      <c r="B56" s="36" t="str">
        <f aca="false">IF($A56="","",IF('Raw data'!B56="",UPPER(LEFT($A56,3)),'Raw data'!B56))</f>
        <v/>
      </c>
      <c r="C56" s="36" t="str">
        <f aca="false">IF($A56="","",'Raw data'!C56)</f>
        <v/>
      </c>
      <c r="D56" s="37" t="str">
        <f aca="false">IF(OR($A56="",'Raw data'!E56=""),"",'Raw data'!E56)</f>
        <v/>
      </c>
      <c r="E56" s="37" t="str">
        <f aca="false">IF(OR($A56="",'Raw data'!Q56=""),"",'Raw data'!Q56)</f>
        <v/>
      </c>
      <c r="F56" s="41" t="str">
        <f aca="false">IF($A56="","",IF(ISNUMBER('Raw data'!G56),'Raw data'!G56*100,""))</f>
        <v/>
      </c>
      <c r="G56" s="41" t="str">
        <f aca="false">IF($A56="","",IF(ISNUMBER('Raw data'!H56),'Raw data'!H56*100,""))</f>
        <v/>
      </c>
      <c r="H56" s="41" t="str">
        <f aca="false">IF($A56="","",IF(ISNUMBER('Raw data'!I56),'Raw data'!I56*100,""))</f>
        <v/>
      </c>
      <c r="I56" s="41" t="str">
        <f aca="false">IF($A56="","",IF(ISNUMBER('Raw data'!R56),'Raw data'!R56*100,""))</f>
        <v/>
      </c>
      <c r="J56" s="41" t="str">
        <f aca="false">IF($A56="","",IF(ISNUMBER('Raw data'!S56),'Raw data'!S56*100,""))</f>
        <v/>
      </c>
      <c r="K56" s="41" t="str">
        <f aca="false">IF($A56="","",IF(ISNUMBER('Raw data'!T56),'Raw data'!T56*100,""))</f>
        <v/>
      </c>
      <c r="L56" s="41" t="str">
        <f aca="false">IF($A56="","",IF('Raw data'!V56&lt;&gt;"",'Raw data'!V56*100,IF(AND(N('Raw data'!E56)&gt;0,'Raw data'!Q56&lt;&gt;""),'Raw data'!Q56*(1+N('Raw data'!S56))/('Raw data'!E56*(1+N('Raw data'!H56)))*100,"")))</f>
        <v/>
      </c>
      <c r="M56" s="41" t="str">
        <f aca="false">IF($A56="","",IF('Raw data'!U56&lt;&gt;"",'Raw data'!U56*100,IF(AND(N('Raw data'!E56)&gt;0,'Raw data'!Q56&lt;&gt;""),'Raw data'!Q56/'Raw data'!E56*100,"")))</f>
        <v/>
      </c>
      <c r="N56" s="42" t="str">
        <f aca="false">IF($A56="","",IF(ISNUMBER('Raw data'!W56),'Raw data'!W56,""))</f>
        <v/>
      </c>
      <c r="O56" s="42" t="str">
        <f aca="false">IF($A56="","",IF(ISNUMBER('Raw data'!X56),'Raw data'!X56,""))</f>
        <v/>
      </c>
      <c r="P56" s="42" t="str">
        <f aca="false">IF($A56="","",IF(ISNUMBER('Raw data'!Y56),'Raw data'!Y56,""))</f>
        <v/>
      </c>
      <c r="Q56" s="42" t="str">
        <f aca="false">IF($A56="","",IF(ISNUMBER('Raw data'!Z56),'Raw data'!Z56,""))</f>
        <v/>
      </c>
      <c r="R56" s="42" t="str">
        <f aca="false">IF($A56="","",IF(ISNUMBER('Raw data'!J56),'Raw data'!J56*100,""))</f>
        <v/>
      </c>
      <c r="S56" s="41" t="str">
        <f aca="false">IF($A56="","",IF(ISNUMBER('Raw data'!K56),'Raw data'!K56*100,""))</f>
        <v/>
      </c>
      <c r="T56" s="41" t="str">
        <f aca="false">IF($A56="","",IF(ISNUMBER('Raw data'!L56),'Raw data'!L56*100,""))</f>
        <v/>
      </c>
      <c r="U56" s="41" t="str">
        <f aca="false">IF($A56="","",IF(ISNUMBER('Raw data'!M56),'Raw data'!M56*100,""))</f>
        <v/>
      </c>
      <c r="V56" s="41" t="str">
        <f aca="false">IF($A56="","",IF(ISNUMBER('Raw data'!N56),'Raw data'!N56*100,""))</f>
        <v/>
      </c>
      <c r="W56" s="41" t="str">
        <f aca="false">IF($A56="","",IF(ISNUMBER('Raw data'!O56),'Raw data'!O56*100,""))</f>
        <v/>
      </c>
      <c r="X56" s="41" t="str">
        <f aca="false">IF($A56="","",IF(ISNUMBER('Raw data'!P56),'Raw data'!P56*100,""))</f>
        <v/>
      </c>
      <c r="Y56" s="43" t="str">
        <f aca="false">IF($A56="","",IF(AND(ISNUMBER('Raw data'!J56),ISNUMBER('Raw data'!H56),ISNUMBER('Raw data'!L56),ISNUMBER('Raw data'!O56)),ROUND(('Raw data'!J56*'Raw data'!L56+(1-'Raw data'!J56)*'Raw data'!O56-'Raw data'!H56)*100,1),""))</f>
        <v/>
      </c>
    </row>
    <row r="57" customFormat="false" ht="15" hidden="false" customHeight="false" outlineLevel="0" collapsed="false">
      <c r="A57" s="36" t="str">
        <f aca="false">IF(TRIM('Raw data'!A57)="","",TRIM('Raw data'!A57))</f>
        <v/>
      </c>
      <c r="B57" s="36" t="str">
        <f aca="false">IF($A57="","",IF('Raw data'!B57="",UPPER(LEFT($A57,3)),'Raw data'!B57))</f>
        <v/>
      </c>
      <c r="C57" s="36" t="str">
        <f aca="false">IF($A57="","",'Raw data'!C57)</f>
        <v/>
      </c>
      <c r="D57" s="37" t="str">
        <f aca="false">IF(OR($A57="",'Raw data'!E57=""),"",'Raw data'!E57)</f>
        <v/>
      </c>
      <c r="E57" s="37" t="str">
        <f aca="false">IF(OR($A57="",'Raw data'!Q57=""),"",'Raw data'!Q57)</f>
        <v/>
      </c>
      <c r="F57" s="41" t="str">
        <f aca="false">IF($A57="","",IF(ISNUMBER('Raw data'!G57),'Raw data'!G57*100,""))</f>
        <v/>
      </c>
      <c r="G57" s="41" t="str">
        <f aca="false">IF($A57="","",IF(ISNUMBER('Raw data'!H57),'Raw data'!H57*100,""))</f>
        <v/>
      </c>
      <c r="H57" s="41" t="str">
        <f aca="false">IF($A57="","",IF(ISNUMBER('Raw data'!I57),'Raw data'!I57*100,""))</f>
        <v/>
      </c>
      <c r="I57" s="41" t="str">
        <f aca="false">IF($A57="","",IF(ISNUMBER('Raw data'!R57),'Raw data'!R57*100,""))</f>
        <v/>
      </c>
      <c r="J57" s="41" t="str">
        <f aca="false">IF($A57="","",IF(ISNUMBER('Raw data'!S57),'Raw data'!S57*100,""))</f>
        <v/>
      </c>
      <c r="K57" s="41" t="str">
        <f aca="false">IF($A57="","",IF(ISNUMBER('Raw data'!T57),'Raw data'!T57*100,""))</f>
        <v/>
      </c>
      <c r="L57" s="41" t="str">
        <f aca="false">IF($A57="","",IF('Raw data'!V57&lt;&gt;"",'Raw data'!V57*100,IF(AND(N('Raw data'!E57)&gt;0,'Raw data'!Q57&lt;&gt;""),'Raw data'!Q57*(1+N('Raw data'!S57))/('Raw data'!E57*(1+N('Raw data'!H57)))*100,"")))</f>
        <v/>
      </c>
      <c r="M57" s="41" t="str">
        <f aca="false">IF($A57="","",IF('Raw data'!U57&lt;&gt;"",'Raw data'!U57*100,IF(AND(N('Raw data'!E57)&gt;0,'Raw data'!Q57&lt;&gt;""),'Raw data'!Q57/'Raw data'!E57*100,"")))</f>
        <v/>
      </c>
      <c r="N57" s="42" t="str">
        <f aca="false">IF($A57="","",IF(ISNUMBER('Raw data'!W57),'Raw data'!W57,""))</f>
        <v/>
      </c>
      <c r="O57" s="42" t="str">
        <f aca="false">IF($A57="","",IF(ISNUMBER('Raw data'!X57),'Raw data'!X57,""))</f>
        <v/>
      </c>
      <c r="P57" s="42" t="str">
        <f aca="false">IF($A57="","",IF(ISNUMBER('Raw data'!Y57),'Raw data'!Y57,""))</f>
        <v/>
      </c>
      <c r="Q57" s="42" t="str">
        <f aca="false">IF($A57="","",IF(ISNUMBER('Raw data'!Z57),'Raw data'!Z57,""))</f>
        <v/>
      </c>
      <c r="R57" s="42" t="str">
        <f aca="false">IF($A57="","",IF(ISNUMBER('Raw data'!J57),'Raw data'!J57*100,""))</f>
        <v/>
      </c>
      <c r="S57" s="41" t="str">
        <f aca="false">IF($A57="","",IF(ISNUMBER('Raw data'!K57),'Raw data'!K57*100,""))</f>
        <v/>
      </c>
      <c r="T57" s="41" t="str">
        <f aca="false">IF($A57="","",IF(ISNUMBER('Raw data'!L57),'Raw data'!L57*100,""))</f>
        <v/>
      </c>
      <c r="U57" s="41" t="str">
        <f aca="false">IF($A57="","",IF(ISNUMBER('Raw data'!M57),'Raw data'!M57*100,""))</f>
        <v/>
      </c>
      <c r="V57" s="41" t="str">
        <f aca="false">IF($A57="","",IF(ISNUMBER('Raw data'!N57),'Raw data'!N57*100,""))</f>
        <v/>
      </c>
      <c r="W57" s="41" t="str">
        <f aca="false">IF($A57="","",IF(ISNUMBER('Raw data'!O57),'Raw data'!O57*100,""))</f>
        <v/>
      </c>
      <c r="X57" s="41" t="str">
        <f aca="false">IF($A57="","",IF(ISNUMBER('Raw data'!P57),'Raw data'!P57*100,""))</f>
        <v/>
      </c>
      <c r="Y57" s="43" t="str">
        <f aca="false">IF($A57="","",IF(AND(ISNUMBER('Raw data'!J57),ISNUMBER('Raw data'!H57),ISNUMBER('Raw data'!L57),ISNUMBER('Raw data'!O57)),ROUND(('Raw data'!J57*'Raw data'!L57+(1-'Raw data'!J57)*'Raw data'!O57-'Raw data'!H57)*100,1),""))</f>
        <v/>
      </c>
    </row>
    <row r="58" customFormat="false" ht="15" hidden="false" customHeight="false" outlineLevel="0" collapsed="false">
      <c r="A58" s="36" t="str">
        <f aca="false">IF(TRIM('Raw data'!A58)="","",TRIM('Raw data'!A58))</f>
        <v/>
      </c>
      <c r="B58" s="36" t="str">
        <f aca="false">IF($A58="","",IF('Raw data'!B58="",UPPER(LEFT($A58,3)),'Raw data'!B58))</f>
        <v/>
      </c>
      <c r="C58" s="36" t="str">
        <f aca="false">IF($A58="","",'Raw data'!C58)</f>
        <v/>
      </c>
      <c r="D58" s="37" t="str">
        <f aca="false">IF(OR($A58="",'Raw data'!E58=""),"",'Raw data'!E58)</f>
        <v/>
      </c>
      <c r="E58" s="37" t="str">
        <f aca="false">IF(OR($A58="",'Raw data'!Q58=""),"",'Raw data'!Q58)</f>
        <v/>
      </c>
      <c r="F58" s="41" t="str">
        <f aca="false">IF($A58="","",IF(ISNUMBER('Raw data'!G58),'Raw data'!G58*100,""))</f>
        <v/>
      </c>
      <c r="G58" s="41" t="str">
        <f aca="false">IF($A58="","",IF(ISNUMBER('Raw data'!H58),'Raw data'!H58*100,""))</f>
        <v/>
      </c>
      <c r="H58" s="41" t="str">
        <f aca="false">IF($A58="","",IF(ISNUMBER('Raw data'!I58),'Raw data'!I58*100,""))</f>
        <v/>
      </c>
      <c r="I58" s="41" t="str">
        <f aca="false">IF($A58="","",IF(ISNUMBER('Raw data'!R58),'Raw data'!R58*100,""))</f>
        <v/>
      </c>
      <c r="J58" s="41" t="str">
        <f aca="false">IF($A58="","",IF(ISNUMBER('Raw data'!S58),'Raw data'!S58*100,""))</f>
        <v/>
      </c>
      <c r="K58" s="41" t="str">
        <f aca="false">IF($A58="","",IF(ISNUMBER('Raw data'!T58),'Raw data'!T58*100,""))</f>
        <v/>
      </c>
      <c r="L58" s="41" t="str">
        <f aca="false">IF($A58="","",IF('Raw data'!V58&lt;&gt;"",'Raw data'!V58*100,IF(AND(N('Raw data'!E58)&gt;0,'Raw data'!Q58&lt;&gt;""),'Raw data'!Q58*(1+N('Raw data'!S58))/('Raw data'!E58*(1+N('Raw data'!H58)))*100,"")))</f>
        <v/>
      </c>
      <c r="M58" s="41" t="str">
        <f aca="false">IF($A58="","",IF('Raw data'!U58&lt;&gt;"",'Raw data'!U58*100,IF(AND(N('Raw data'!E58)&gt;0,'Raw data'!Q58&lt;&gt;""),'Raw data'!Q58/'Raw data'!E58*100,"")))</f>
        <v/>
      </c>
      <c r="N58" s="42" t="str">
        <f aca="false">IF($A58="","",IF(ISNUMBER('Raw data'!W58),'Raw data'!W58,""))</f>
        <v/>
      </c>
      <c r="O58" s="42" t="str">
        <f aca="false">IF($A58="","",IF(ISNUMBER('Raw data'!X58),'Raw data'!X58,""))</f>
        <v/>
      </c>
      <c r="P58" s="42" t="str">
        <f aca="false">IF($A58="","",IF(ISNUMBER('Raw data'!Y58),'Raw data'!Y58,""))</f>
        <v/>
      </c>
      <c r="Q58" s="42" t="str">
        <f aca="false">IF($A58="","",IF(ISNUMBER('Raw data'!Z58),'Raw data'!Z58,""))</f>
        <v/>
      </c>
      <c r="R58" s="42" t="str">
        <f aca="false">IF($A58="","",IF(ISNUMBER('Raw data'!J58),'Raw data'!J58*100,""))</f>
        <v/>
      </c>
      <c r="S58" s="41" t="str">
        <f aca="false">IF($A58="","",IF(ISNUMBER('Raw data'!K58),'Raw data'!K58*100,""))</f>
        <v/>
      </c>
      <c r="T58" s="41" t="str">
        <f aca="false">IF($A58="","",IF(ISNUMBER('Raw data'!L58),'Raw data'!L58*100,""))</f>
        <v/>
      </c>
      <c r="U58" s="41" t="str">
        <f aca="false">IF($A58="","",IF(ISNUMBER('Raw data'!M58),'Raw data'!M58*100,""))</f>
        <v/>
      </c>
      <c r="V58" s="41" t="str">
        <f aca="false">IF($A58="","",IF(ISNUMBER('Raw data'!N58),'Raw data'!N58*100,""))</f>
        <v/>
      </c>
      <c r="W58" s="41" t="str">
        <f aca="false">IF($A58="","",IF(ISNUMBER('Raw data'!O58),'Raw data'!O58*100,""))</f>
        <v/>
      </c>
      <c r="X58" s="41" t="str">
        <f aca="false">IF($A58="","",IF(ISNUMBER('Raw data'!P58),'Raw data'!P58*100,""))</f>
        <v/>
      </c>
      <c r="Y58" s="43" t="str">
        <f aca="false">IF($A58="","",IF(AND(ISNUMBER('Raw data'!J58),ISNUMBER('Raw data'!H58),ISNUMBER('Raw data'!L58),ISNUMBER('Raw data'!O58)),ROUND(('Raw data'!J58*'Raw data'!L58+(1-'Raw data'!J58)*'Raw data'!O58-'Raw data'!H58)*100,1),""))</f>
        <v/>
      </c>
    </row>
    <row r="59" customFormat="false" ht="15" hidden="false" customHeight="false" outlineLevel="0" collapsed="false">
      <c r="A59" s="36" t="str">
        <f aca="false">IF(TRIM('Raw data'!A59)="","",TRIM('Raw data'!A59))</f>
        <v/>
      </c>
      <c r="B59" s="36" t="str">
        <f aca="false">IF($A59="","",IF('Raw data'!B59="",UPPER(LEFT($A59,3)),'Raw data'!B59))</f>
        <v/>
      </c>
      <c r="C59" s="36" t="str">
        <f aca="false">IF($A59="","",'Raw data'!C59)</f>
        <v/>
      </c>
      <c r="D59" s="37" t="str">
        <f aca="false">IF(OR($A59="",'Raw data'!E59=""),"",'Raw data'!E59)</f>
        <v/>
      </c>
      <c r="E59" s="37" t="str">
        <f aca="false">IF(OR($A59="",'Raw data'!Q59=""),"",'Raw data'!Q59)</f>
        <v/>
      </c>
      <c r="F59" s="41" t="str">
        <f aca="false">IF($A59="","",IF(ISNUMBER('Raw data'!G59),'Raw data'!G59*100,""))</f>
        <v/>
      </c>
      <c r="G59" s="41" t="str">
        <f aca="false">IF($A59="","",IF(ISNUMBER('Raw data'!H59),'Raw data'!H59*100,""))</f>
        <v/>
      </c>
      <c r="H59" s="41" t="str">
        <f aca="false">IF($A59="","",IF(ISNUMBER('Raw data'!I59),'Raw data'!I59*100,""))</f>
        <v/>
      </c>
      <c r="I59" s="41" t="str">
        <f aca="false">IF($A59="","",IF(ISNUMBER('Raw data'!R59),'Raw data'!R59*100,""))</f>
        <v/>
      </c>
      <c r="J59" s="41" t="str">
        <f aca="false">IF($A59="","",IF(ISNUMBER('Raw data'!S59),'Raw data'!S59*100,""))</f>
        <v/>
      </c>
      <c r="K59" s="41" t="str">
        <f aca="false">IF($A59="","",IF(ISNUMBER('Raw data'!T59),'Raw data'!T59*100,""))</f>
        <v/>
      </c>
      <c r="L59" s="41" t="str">
        <f aca="false">IF($A59="","",IF('Raw data'!V59&lt;&gt;"",'Raw data'!V59*100,IF(AND(N('Raw data'!E59)&gt;0,'Raw data'!Q59&lt;&gt;""),'Raw data'!Q59*(1+N('Raw data'!S59))/('Raw data'!E59*(1+N('Raw data'!H59)))*100,"")))</f>
        <v/>
      </c>
      <c r="M59" s="41" t="str">
        <f aca="false">IF($A59="","",IF('Raw data'!U59&lt;&gt;"",'Raw data'!U59*100,IF(AND(N('Raw data'!E59)&gt;0,'Raw data'!Q59&lt;&gt;""),'Raw data'!Q59/'Raw data'!E59*100,"")))</f>
        <v/>
      </c>
      <c r="N59" s="42" t="str">
        <f aca="false">IF($A59="","",IF(ISNUMBER('Raw data'!W59),'Raw data'!W59,""))</f>
        <v/>
      </c>
      <c r="O59" s="42" t="str">
        <f aca="false">IF($A59="","",IF(ISNUMBER('Raw data'!X59),'Raw data'!X59,""))</f>
        <v/>
      </c>
      <c r="P59" s="42" t="str">
        <f aca="false">IF($A59="","",IF(ISNUMBER('Raw data'!Y59),'Raw data'!Y59,""))</f>
        <v/>
      </c>
      <c r="Q59" s="42" t="str">
        <f aca="false">IF($A59="","",IF(ISNUMBER('Raw data'!Z59),'Raw data'!Z59,""))</f>
        <v/>
      </c>
      <c r="R59" s="42" t="str">
        <f aca="false">IF($A59="","",IF(ISNUMBER('Raw data'!J59),'Raw data'!J59*100,""))</f>
        <v/>
      </c>
      <c r="S59" s="41" t="str">
        <f aca="false">IF($A59="","",IF(ISNUMBER('Raw data'!K59),'Raw data'!K59*100,""))</f>
        <v/>
      </c>
      <c r="T59" s="41" t="str">
        <f aca="false">IF($A59="","",IF(ISNUMBER('Raw data'!L59),'Raw data'!L59*100,""))</f>
        <v/>
      </c>
      <c r="U59" s="41" t="str">
        <f aca="false">IF($A59="","",IF(ISNUMBER('Raw data'!M59),'Raw data'!M59*100,""))</f>
        <v/>
      </c>
      <c r="V59" s="41" t="str">
        <f aca="false">IF($A59="","",IF(ISNUMBER('Raw data'!N59),'Raw data'!N59*100,""))</f>
        <v/>
      </c>
      <c r="W59" s="41" t="str">
        <f aca="false">IF($A59="","",IF(ISNUMBER('Raw data'!O59),'Raw data'!O59*100,""))</f>
        <v/>
      </c>
      <c r="X59" s="41" t="str">
        <f aca="false">IF($A59="","",IF(ISNUMBER('Raw data'!P59),'Raw data'!P59*100,""))</f>
        <v/>
      </c>
      <c r="Y59" s="43" t="str">
        <f aca="false">IF($A59="","",IF(AND(ISNUMBER('Raw data'!J59),ISNUMBER('Raw data'!H59),ISNUMBER('Raw data'!L59),ISNUMBER('Raw data'!O59)),ROUND(('Raw data'!J59*'Raw data'!L59+(1-'Raw data'!J59)*'Raw data'!O59-'Raw data'!H59)*100,1),""))</f>
        <v/>
      </c>
    </row>
    <row r="60" customFormat="false" ht="15" hidden="false" customHeight="false" outlineLevel="0" collapsed="false">
      <c r="A60" s="36" t="str">
        <f aca="false">IF(TRIM('Raw data'!A60)="","",TRIM('Raw data'!A60))</f>
        <v/>
      </c>
      <c r="B60" s="36" t="str">
        <f aca="false">IF($A60="","",IF('Raw data'!B60="",UPPER(LEFT($A60,3)),'Raw data'!B60))</f>
        <v/>
      </c>
      <c r="C60" s="36" t="str">
        <f aca="false">IF($A60="","",'Raw data'!C60)</f>
        <v/>
      </c>
      <c r="D60" s="37" t="str">
        <f aca="false">IF(OR($A60="",'Raw data'!E60=""),"",'Raw data'!E60)</f>
        <v/>
      </c>
      <c r="E60" s="37" t="str">
        <f aca="false">IF(OR($A60="",'Raw data'!Q60=""),"",'Raw data'!Q60)</f>
        <v/>
      </c>
      <c r="F60" s="41" t="str">
        <f aca="false">IF($A60="","",IF(ISNUMBER('Raw data'!G60),'Raw data'!G60*100,""))</f>
        <v/>
      </c>
      <c r="G60" s="41" t="str">
        <f aca="false">IF($A60="","",IF(ISNUMBER('Raw data'!H60),'Raw data'!H60*100,""))</f>
        <v/>
      </c>
      <c r="H60" s="41" t="str">
        <f aca="false">IF($A60="","",IF(ISNUMBER('Raw data'!I60),'Raw data'!I60*100,""))</f>
        <v/>
      </c>
      <c r="I60" s="41" t="str">
        <f aca="false">IF($A60="","",IF(ISNUMBER('Raw data'!R60),'Raw data'!R60*100,""))</f>
        <v/>
      </c>
      <c r="J60" s="41" t="str">
        <f aca="false">IF($A60="","",IF(ISNUMBER('Raw data'!S60),'Raw data'!S60*100,""))</f>
        <v/>
      </c>
      <c r="K60" s="41" t="str">
        <f aca="false">IF($A60="","",IF(ISNUMBER('Raw data'!T60),'Raw data'!T60*100,""))</f>
        <v/>
      </c>
      <c r="L60" s="41" t="str">
        <f aca="false">IF($A60="","",IF('Raw data'!V60&lt;&gt;"",'Raw data'!V60*100,IF(AND(N('Raw data'!E60)&gt;0,'Raw data'!Q60&lt;&gt;""),'Raw data'!Q60*(1+N('Raw data'!S60))/('Raw data'!E60*(1+N('Raw data'!H60)))*100,"")))</f>
        <v/>
      </c>
      <c r="M60" s="41" t="str">
        <f aca="false">IF($A60="","",IF('Raw data'!U60&lt;&gt;"",'Raw data'!U60*100,IF(AND(N('Raw data'!E60)&gt;0,'Raw data'!Q60&lt;&gt;""),'Raw data'!Q60/'Raw data'!E60*100,"")))</f>
        <v/>
      </c>
      <c r="N60" s="42" t="str">
        <f aca="false">IF($A60="","",IF(ISNUMBER('Raw data'!W60),'Raw data'!W60,""))</f>
        <v/>
      </c>
      <c r="O60" s="42" t="str">
        <f aca="false">IF($A60="","",IF(ISNUMBER('Raw data'!X60),'Raw data'!X60,""))</f>
        <v/>
      </c>
      <c r="P60" s="42" t="str">
        <f aca="false">IF($A60="","",IF(ISNUMBER('Raw data'!Y60),'Raw data'!Y60,""))</f>
        <v/>
      </c>
      <c r="Q60" s="42" t="str">
        <f aca="false">IF($A60="","",IF(ISNUMBER('Raw data'!Z60),'Raw data'!Z60,""))</f>
        <v/>
      </c>
      <c r="R60" s="42" t="str">
        <f aca="false">IF($A60="","",IF(ISNUMBER('Raw data'!J60),'Raw data'!J60*100,""))</f>
        <v/>
      </c>
      <c r="S60" s="41" t="str">
        <f aca="false">IF($A60="","",IF(ISNUMBER('Raw data'!K60),'Raw data'!K60*100,""))</f>
        <v/>
      </c>
      <c r="T60" s="41" t="str">
        <f aca="false">IF($A60="","",IF(ISNUMBER('Raw data'!L60),'Raw data'!L60*100,""))</f>
        <v/>
      </c>
      <c r="U60" s="41" t="str">
        <f aca="false">IF($A60="","",IF(ISNUMBER('Raw data'!M60),'Raw data'!M60*100,""))</f>
        <v/>
      </c>
      <c r="V60" s="41" t="str">
        <f aca="false">IF($A60="","",IF(ISNUMBER('Raw data'!N60),'Raw data'!N60*100,""))</f>
        <v/>
      </c>
      <c r="W60" s="41" t="str">
        <f aca="false">IF($A60="","",IF(ISNUMBER('Raw data'!O60),'Raw data'!O60*100,""))</f>
        <v/>
      </c>
      <c r="X60" s="41" t="str">
        <f aca="false">IF($A60="","",IF(ISNUMBER('Raw data'!P60),'Raw data'!P60*100,""))</f>
        <v/>
      </c>
      <c r="Y60" s="43" t="str">
        <f aca="false">IF($A60="","",IF(AND(ISNUMBER('Raw data'!J60),ISNUMBER('Raw data'!H60),ISNUMBER('Raw data'!L60),ISNUMBER('Raw data'!O60)),ROUND(('Raw data'!J60*'Raw data'!L60+(1-'Raw data'!J60)*'Raw data'!O60-'Raw data'!H60)*100,1),""))</f>
        <v/>
      </c>
    </row>
    <row r="61" customFormat="false" ht="15" hidden="false" customHeight="false" outlineLevel="0" collapsed="false">
      <c r="A61" s="36" t="str">
        <f aca="false">IF(TRIM('Raw data'!A61)="","",TRIM('Raw data'!A61))</f>
        <v/>
      </c>
      <c r="B61" s="36" t="str">
        <f aca="false">IF($A61="","",IF('Raw data'!B61="",UPPER(LEFT($A61,3)),'Raw data'!B61))</f>
        <v/>
      </c>
      <c r="C61" s="36" t="str">
        <f aca="false">IF($A61="","",'Raw data'!C61)</f>
        <v/>
      </c>
      <c r="D61" s="37" t="str">
        <f aca="false">IF(OR($A61="",'Raw data'!E61=""),"",'Raw data'!E61)</f>
        <v/>
      </c>
      <c r="E61" s="37" t="str">
        <f aca="false">IF(OR($A61="",'Raw data'!Q61=""),"",'Raw data'!Q61)</f>
        <v/>
      </c>
      <c r="F61" s="41" t="str">
        <f aca="false">IF($A61="","",IF(ISNUMBER('Raw data'!G61),'Raw data'!G61*100,""))</f>
        <v/>
      </c>
      <c r="G61" s="41" t="str">
        <f aca="false">IF($A61="","",IF(ISNUMBER('Raw data'!H61),'Raw data'!H61*100,""))</f>
        <v/>
      </c>
      <c r="H61" s="41" t="str">
        <f aca="false">IF($A61="","",IF(ISNUMBER('Raw data'!I61),'Raw data'!I61*100,""))</f>
        <v/>
      </c>
      <c r="I61" s="41" t="str">
        <f aca="false">IF($A61="","",IF(ISNUMBER('Raw data'!R61),'Raw data'!R61*100,""))</f>
        <v/>
      </c>
      <c r="J61" s="41" t="str">
        <f aca="false">IF($A61="","",IF(ISNUMBER('Raw data'!S61),'Raw data'!S61*100,""))</f>
        <v/>
      </c>
      <c r="K61" s="41" t="str">
        <f aca="false">IF($A61="","",IF(ISNUMBER('Raw data'!T61),'Raw data'!T61*100,""))</f>
        <v/>
      </c>
      <c r="L61" s="41" t="str">
        <f aca="false">IF($A61="","",IF('Raw data'!V61&lt;&gt;"",'Raw data'!V61*100,IF(AND(N('Raw data'!E61)&gt;0,'Raw data'!Q61&lt;&gt;""),'Raw data'!Q61*(1+N('Raw data'!S61))/('Raw data'!E61*(1+N('Raw data'!H61)))*100,"")))</f>
        <v/>
      </c>
      <c r="M61" s="41" t="str">
        <f aca="false">IF($A61="","",IF('Raw data'!U61&lt;&gt;"",'Raw data'!U61*100,IF(AND(N('Raw data'!E61)&gt;0,'Raw data'!Q61&lt;&gt;""),'Raw data'!Q61/'Raw data'!E61*100,"")))</f>
        <v/>
      </c>
      <c r="N61" s="42" t="str">
        <f aca="false">IF($A61="","",IF(ISNUMBER('Raw data'!W61),'Raw data'!W61,""))</f>
        <v/>
      </c>
      <c r="O61" s="42" t="str">
        <f aca="false">IF($A61="","",IF(ISNUMBER('Raw data'!X61),'Raw data'!X61,""))</f>
        <v/>
      </c>
      <c r="P61" s="42" t="str">
        <f aca="false">IF($A61="","",IF(ISNUMBER('Raw data'!Y61),'Raw data'!Y61,""))</f>
        <v/>
      </c>
      <c r="Q61" s="42" t="str">
        <f aca="false">IF($A61="","",IF(ISNUMBER('Raw data'!Z61),'Raw data'!Z61,""))</f>
        <v/>
      </c>
      <c r="R61" s="42" t="str">
        <f aca="false">IF($A61="","",IF(ISNUMBER('Raw data'!J61),'Raw data'!J61*100,""))</f>
        <v/>
      </c>
      <c r="S61" s="41" t="str">
        <f aca="false">IF($A61="","",IF(ISNUMBER('Raw data'!K61),'Raw data'!K61*100,""))</f>
        <v/>
      </c>
      <c r="T61" s="41" t="str">
        <f aca="false">IF($A61="","",IF(ISNUMBER('Raw data'!L61),'Raw data'!L61*100,""))</f>
        <v/>
      </c>
      <c r="U61" s="41" t="str">
        <f aca="false">IF($A61="","",IF(ISNUMBER('Raw data'!M61),'Raw data'!M61*100,""))</f>
        <v/>
      </c>
      <c r="V61" s="41" t="str">
        <f aca="false">IF($A61="","",IF(ISNUMBER('Raw data'!N61),'Raw data'!N61*100,""))</f>
        <v/>
      </c>
      <c r="W61" s="41" t="str">
        <f aca="false">IF($A61="","",IF(ISNUMBER('Raw data'!O61),'Raw data'!O61*100,""))</f>
        <v/>
      </c>
      <c r="X61" s="41" t="str">
        <f aca="false">IF($A61="","",IF(ISNUMBER('Raw data'!P61),'Raw data'!P61*100,""))</f>
        <v/>
      </c>
      <c r="Y61" s="43" t="str">
        <f aca="false">IF($A61="","",IF(AND(ISNUMBER('Raw data'!J61),ISNUMBER('Raw data'!H61),ISNUMBER('Raw data'!L61),ISNUMBER('Raw data'!O61)),ROUND(('Raw data'!J61*'Raw data'!L61+(1-'Raw data'!J61)*'Raw data'!O61-'Raw data'!H61)*100,1),""))</f>
        <v/>
      </c>
    </row>
    <row r="62" customFormat="false" ht="15" hidden="false" customHeight="false" outlineLevel="0" collapsed="false">
      <c r="A62" s="36" t="str">
        <f aca="false">IF(TRIM('Raw data'!A62)="","",TRIM('Raw data'!A62))</f>
        <v/>
      </c>
      <c r="B62" s="36" t="str">
        <f aca="false">IF($A62="","",IF('Raw data'!B62="",UPPER(LEFT($A62,3)),'Raw data'!B62))</f>
        <v/>
      </c>
      <c r="C62" s="36" t="str">
        <f aca="false">IF($A62="","",'Raw data'!C62)</f>
        <v/>
      </c>
      <c r="D62" s="37" t="str">
        <f aca="false">IF(OR($A62="",'Raw data'!E62=""),"",'Raw data'!E62)</f>
        <v/>
      </c>
      <c r="E62" s="37" t="str">
        <f aca="false">IF(OR($A62="",'Raw data'!Q62=""),"",'Raw data'!Q62)</f>
        <v/>
      </c>
      <c r="F62" s="41" t="str">
        <f aca="false">IF($A62="","",IF(ISNUMBER('Raw data'!G62),'Raw data'!G62*100,""))</f>
        <v/>
      </c>
      <c r="G62" s="41" t="str">
        <f aca="false">IF($A62="","",IF(ISNUMBER('Raw data'!H62),'Raw data'!H62*100,""))</f>
        <v/>
      </c>
      <c r="H62" s="41" t="str">
        <f aca="false">IF($A62="","",IF(ISNUMBER('Raw data'!I62),'Raw data'!I62*100,""))</f>
        <v/>
      </c>
      <c r="I62" s="41" t="str">
        <f aca="false">IF($A62="","",IF(ISNUMBER('Raw data'!R62),'Raw data'!R62*100,""))</f>
        <v/>
      </c>
      <c r="J62" s="41" t="str">
        <f aca="false">IF($A62="","",IF(ISNUMBER('Raw data'!S62),'Raw data'!S62*100,""))</f>
        <v/>
      </c>
      <c r="K62" s="41" t="str">
        <f aca="false">IF($A62="","",IF(ISNUMBER('Raw data'!T62),'Raw data'!T62*100,""))</f>
        <v/>
      </c>
      <c r="L62" s="41" t="str">
        <f aca="false">IF($A62="","",IF('Raw data'!V62&lt;&gt;"",'Raw data'!V62*100,IF(AND(N('Raw data'!E62)&gt;0,'Raw data'!Q62&lt;&gt;""),'Raw data'!Q62*(1+N('Raw data'!S62))/('Raw data'!E62*(1+N('Raw data'!H62)))*100,"")))</f>
        <v/>
      </c>
      <c r="M62" s="41" t="str">
        <f aca="false">IF($A62="","",IF('Raw data'!U62&lt;&gt;"",'Raw data'!U62*100,IF(AND(N('Raw data'!E62)&gt;0,'Raw data'!Q62&lt;&gt;""),'Raw data'!Q62/'Raw data'!E62*100,"")))</f>
        <v/>
      </c>
      <c r="N62" s="42" t="str">
        <f aca="false">IF($A62="","",IF(ISNUMBER('Raw data'!W62),'Raw data'!W62,""))</f>
        <v/>
      </c>
      <c r="O62" s="42" t="str">
        <f aca="false">IF($A62="","",IF(ISNUMBER('Raw data'!X62),'Raw data'!X62,""))</f>
        <v/>
      </c>
      <c r="P62" s="42" t="str">
        <f aca="false">IF($A62="","",IF(ISNUMBER('Raw data'!Y62),'Raw data'!Y62,""))</f>
        <v/>
      </c>
      <c r="Q62" s="42" t="str">
        <f aca="false">IF($A62="","",IF(ISNUMBER('Raw data'!Z62),'Raw data'!Z62,""))</f>
        <v/>
      </c>
      <c r="R62" s="42" t="str">
        <f aca="false">IF($A62="","",IF(ISNUMBER('Raw data'!J62),'Raw data'!J62*100,""))</f>
        <v/>
      </c>
      <c r="S62" s="41" t="str">
        <f aca="false">IF($A62="","",IF(ISNUMBER('Raw data'!K62),'Raw data'!K62*100,""))</f>
        <v/>
      </c>
      <c r="T62" s="41" t="str">
        <f aca="false">IF($A62="","",IF(ISNUMBER('Raw data'!L62),'Raw data'!L62*100,""))</f>
        <v/>
      </c>
      <c r="U62" s="41" t="str">
        <f aca="false">IF($A62="","",IF(ISNUMBER('Raw data'!M62),'Raw data'!M62*100,""))</f>
        <v/>
      </c>
      <c r="V62" s="41" t="str">
        <f aca="false">IF($A62="","",IF(ISNUMBER('Raw data'!N62),'Raw data'!N62*100,""))</f>
        <v/>
      </c>
      <c r="W62" s="41" t="str">
        <f aca="false">IF($A62="","",IF(ISNUMBER('Raw data'!O62),'Raw data'!O62*100,""))</f>
        <v/>
      </c>
      <c r="X62" s="41" t="str">
        <f aca="false">IF($A62="","",IF(ISNUMBER('Raw data'!P62),'Raw data'!P62*100,""))</f>
        <v/>
      </c>
      <c r="Y62" s="43" t="str">
        <f aca="false">IF($A62="","",IF(AND(ISNUMBER('Raw data'!J62),ISNUMBER('Raw data'!H62),ISNUMBER('Raw data'!L62),ISNUMBER('Raw data'!O62)),ROUND(('Raw data'!J62*'Raw data'!L62+(1-'Raw data'!J62)*'Raw data'!O62-'Raw data'!H62)*100,1),""))</f>
        <v/>
      </c>
    </row>
    <row r="63" customFormat="false" ht="15" hidden="false" customHeight="false" outlineLevel="0" collapsed="false">
      <c r="A63" s="36" t="str">
        <f aca="false">IF(TRIM('Raw data'!A63)="","",TRIM('Raw data'!A63))</f>
        <v/>
      </c>
      <c r="B63" s="36" t="str">
        <f aca="false">IF($A63="","",IF('Raw data'!B63="",UPPER(LEFT($A63,3)),'Raw data'!B63))</f>
        <v/>
      </c>
      <c r="C63" s="36" t="str">
        <f aca="false">IF($A63="","",'Raw data'!C63)</f>
        <v/>
      </c>
      <c r="D63" s="37" t="str">
        <f aca="false">IF(OR($A63="",'Raw data'!E63=""),"",'Raw data'!E63)</f>
        <v/>
      </c>
      <c r="E63" s="37" t="str">
        <f aca="false">IF(OR($A63="",'Raw data'!Q63=""),"",'Raw data'!Q63)</f>
        <v/>
      </c>
      <c r="F63" s="41" t="str">
        <f aca="false">IF($A63="","",IF(ISNUMBER('Raw data'!G63),'Raw data'!G63*100,""))</f>
        <v/>
      </c>
      <c r="G63" s="41" t="str">
        <f aca="false">IF($A63="","",IF(ISNUMBER('Raw data'!H63),'Raw data'!H63*100,""))</f>
        <v/>
      </c>
      <c r="H63" s="41" t="str">
        <f aca="false">IF($A63="","",IF(ISNUMBER('Raw data'!I63),'Raw data'!I63*100,""))</f>
        <v/>
      </c>
      <c r="I63" s="41" t="str">
        <f aca="false">IF($A63="","",IF(ISNUMBER('Raw data'!R63),'Raw data'!R63*100,""))</f>
        <v/>
      </c>
      <c r="J63" s="41" t="str">
        <f aca="false">IF($A63="","",IF(ISNUMBER('Raw data'!S63),'Raw data'!S63*100,""))</f>
        <v/>
      </c>
      <c r="K63" s="41" t="str">
        <f aca="false">IF($A63="","",IF(ISNUMBER('Raw data'!T63),'Raw data'!T63*100,""))</f>
        <v/>
      </c>
      <c r="L63" s="41" t="str">
        <f aca="false">IF($A63="","",IF('Raw data'!V63&lt;&gt;"",'Raw data'!V63*100,IF(AND(N('Raw data'!E63)&gt;0,'Raw data'!Q63&lt;&gt;""),'Raw data'!Q63*(1+N('Raw data'!S63))/('Raw data'!E63*(1+N('Raw data'!H63)))*100,"")))</f>
        <v/>
      </c>
      <c r="M63" s="41" t="str">
        <f aca="false">IF($A63="","",IF('Raw data'!U63&lt;&gt;"",'Raw data'!U63*100,IF(AND(N('Raw data'!E63)&gt;0,'Raw data'!Q63&lt;&gt;""),'Raw data'!Q63/'Raw data'!E63*100,"")))</f>
        <v/>
      </c>
      <c r="N63" s="42" t="str">
        <f aca="false">IF($A63="","",IF(ISNUMBER('Raw data'!W63),'Raw data'!W63,""))</f>
        <v/>
      </c>
      <c r="O63" s="42" t="str">
        <f aca="false">IF($A63="","",IF(ISNUMBER('Raw data'!X63),'Raw data'!X63,""))</f>
        <v/>
      </c>
      <c r="P63" s="42" t="str">
        <f aca="false">IF($A63="","",IF(ISNUMBER('Raw data'!Y63),'Raw data'!Y63,""))</f>
        <v/>
      </c>
      <c r="Q63" s="42" t="str">
        <f aca="false">IF($A63="","",IF(ISNUMBER('Raw data'!Z63),'Raw data'!Z63,""))</f>
        <v/>
      </c>
      <c r="R63" s="42" t="str">
        <f aca="false">IF($A63="","",IF(ISNUMBER('Raw data'!J63),'Raw data'!J63*100,""))</f>
        <v/>
      </c>
      <c r="S63" s="41" t="str">
        <f aca="false">IF($A63="","",IF(ISNUMBER('Raw data'!K63),'Raw data'!K63*100,""))</f>
        <v/>
      </c>
      <c r="T63" s="41" t="str">
        <f aca="false">IF($A63="","",IF(ISNUMBER('Raw data'!L63),'Raw data'!L63*100,""))</f>
        <v/>
      </c>
      <c r="U63" s="41" t="str">
        <f aca="false">IF($A63="","",IF(ISNUMBER('Raw data'!M63),'Raw data'!M63*100,""))</f>
        <v/>
      </c>
      <c r="V63" s="41" t="str">
        <f aca="false">IF($A63="","",IF(ISNUMBER('Raw data'!N63),'Raw data'!N63*100,""))</f>
        <v/>
      </c>
      <c r="W63" s="41" t="str">
        <f aca="false">IF($A63="","",IF(ISNUMBER('Raw data'!O63),'Raw data'!O63*100,""))</f>
        <v/>
      </c>
      <c r="X63" s="41" t="str">
        <f aca="false">IF($A63="","",IF(ISNUMBER('Raw data'!P63),'Raw data'!P63*100,""))</f>
        <v/>
      </c>
      <c r="Y63" s="43" t="str">
        <f aca="false">IF($A63="","",IF(AND(ISNUMBER('Raw data'!J63),ISNUMBER('Raw data'!H63),ISNUMBER('Raw data'!L63),ISNUMBER('Raw data'!O63)),ROUND(('Raw data'!J63*'Raw data'!L63+(1-'Raw data'!J63)*'Raw data'!O63-'Raw data'!H63)*100,1),""))</f>
        <v/>
      </c>
    </row>
    <row r="64" customFormat="false" ht="15" hidden="false" customHeight="false" outlineLevel="0" collapsed="false">
      <c r="A64" s="36" t="str">
        <f aca="false">IF(TRIM('Raw data'!A64)="","",TRIM('Raw data'!A64))</f>
        <v/>
      </c>
      <c r="B64" s="36" t="str">
        <f aca="false">IF($A64="","",IF('Raw data'!B64="",UPPER(LEFT($A64,3)),'Raw data'!B64))</f>
        <v/>
      </c>
      <c r="C64" s="36" t="str">
        <f aca="false">IF($A64="","",'Raw data'!C64)</f>
        <v/>
      </c>
      <c r="D64" s="37" t="str">
        <f aca="false">IF(OR($A64="",'Raw data'!E64=""),"",'Raw data'!E64)</f>
        <v/>
      </c>
      <c r="E64" s="37" t="str">
        <f aca="false">IF(OR($A64="",'Raw data'!Q64=""),"",'Raw data'!Q64)</f>
        <v/>
      </c>
      <c r="F64" s="41" t="str">
        <f aca="false">IF($A64="","",IF(ISNUMBER('Raw data'!G64),'Raw data'!G64*100,""))</f>
        <v/>
      </c>
      <c r="G64" s="41" t="str">
        <f aca="false">IF($A64="","",IF(ISNUMBER('Raw data'!H64),'Raw data'!H64*100,""))</f>
        <v/>
      </c>
      <c r="H64" s="41" t="str">
        <f aca="false">IF($A64="","",IF(ISNUMBER('Raw data'!I64),'Raw data'!I64*100,""))</f>
        <v/>
      </c>
      <c r="I64" s="41" t="str">
        <f aca="false">IF($A64="","",IF(ISNUMBER('Raw data'!R64),'Raw data'!R64*100,""))</f>
        <v/>
      </c>
      <c r="J64" s="41" t="str">
        <f aca="false">IF($A64="","",IF(ISNUMBER('Raw data'!S64),'Raw data'!S64*100,""))</f>
        <v/>
      </c>
      <c r="K64" s="41" t="str">
        <f aca="false">IF($A64="","",IF(ISNUMBER('Raw data'!T64),'Raw data'!T64*100,""))</f>
        <v/>
      </c>
      <c r="L64" s="41" t="str">
        <f aca="false">IF($A64="","",IF('Raw data'!V64&lt;&gt;"",'Raw data'!V64*100,IF(AND(N('Raw data'!E64)&gt;0,'Raw data'!Q64&lt;&gt;""),'Raw data'!Q64*(1+N('Raw data'!S64))/('Raw data'!E64*(1+N('Raw data'!H64)))*100,"")))</f>
        <v/>
      </c>
      <c r="M64" s="41" t="str">
        <f aca="false">IF($A64="","",IF('Raw data'!U64&lt;&gt;"",'Raw data'!U64*100,IF(AND(N('Raw data'!E64)&gt;0,'Raw data'!Q64&lt;&gt;""),'Raw data'!Q64/'Raw data'!E64*100,"")))</f>
        <v/>
      </c>
      <c r="N64" s="42" t="str">
        <f aca="false">IF($A64="","",IF(ISNUMBER('Raw data'!W64),'Raw data'!W64,""))</f>
        <v/>
      </c>
      <c r="O64" s="42" t="str">
        <f aca="false">IF($A64="","",IF(ISNUMBER('Raw data'!X64),'Raw data'!X64,""))</f>
        <v/>
      </c>
      <c r="P64" s="42" t="str">
        <f aca="false">IF($A64="","",IF(ISNUMBER('Raw data'!Y64),'Raw data'!Y64,""))</f>
        <v/>
      </c>
      <c r="Q64" s="42" t="str">
        <f aca="false">IF($A64="","",IF(ISNUMBER('Raw data'!Z64),'Raw data'!Z64,""))</f>
        <v/>
      </c>
      <c r="R64" s="42" t="str">
        <f aca="false">IF($A64="","",IF(ISNUMBER('Raw data'!J64),'Raw data'!J64*100,""))</f>
        <v/>
      </c>
      <c r="S64" s="41" t="str">
        <f aca="false">IF($A64="","",IF(ISNUMBER('Raw data'!K64),'Raw data'!K64*100,""))</f>
        <v/>
      </c>
      <c r="T64" s="41" t="str">
        <f aca="false">IF($A64="","",IF(ISNUMBER('Raw data'!L64),'Raw data'!L64*100,""))</f>
        <v/>
      </c>
      <c r="U64" s="41" t="str">
        <f aca="false">IF($A64="","",IF(ISNUMBER('Raw data'!M64),'Raw data'!M64*100,""))</f>
        <v/>
      </c>
      <c r="V64" s="41" t="str">
        <f aca="false">IF($A64="","",IF(ISNUMBER('Raw data'!N64),'Raw data'!N64*100,""))</f>
        <v/>
      </c>
      <c r="W64" s="41" t="str">
        <f aca="false">IF($A64="","",IF(ISNUMBER('Raw data'!O64),'Raw data'!O64*100,""))</f>
        <v/>
      </c>
      <c r="X64" s="41" t="str">
        <f aca="false">IF($A64="","",IF(ISNUMBER('Raw data'!P64),'Raw data'!P64*100,""))</f>
        <v/>
      </c>
      <c r="Y64" s="43" t="str">
        <f aca="false">IF($A64="","",IF(AND(ISNUMBER('Raw data'!J64),ISNUMBER('Raw data'!H64),ISNUMBER('Raw data'!L64),ISNUMBER('Raw data'!O64)),ROUND(('Raw data'!J64*'Raw data'!L64+(1-'Raw data'!J64)*'Raw data'!O64-'Raw data'!H64)*100,1),""))</f>
        <v/>
      </c>
    </row>
    <row r="65" customFormat="false" ht="15" hidden="false" customHeight="false" outlineLevel="0" collapsed="false">
      <c r="A65" s="36" t="str">
        <f aca="false">IF(TRIM('Raw data'!A65)="","",TRIM('Raw data'!A65))</f>
        <v/>
      </c>
      <c r="B65" s="36" t="str">
        <f aca="false">IF($A65="","",IF('Raw data'!B65="",UPPER(LEFT($A65,3)),'Raw data'!B65))</f>
        <v/>
      </c>
      <c r="C65" s="36" t="str">
        <f aca="false">IF($A65="","",'Raw data'!C65)</f>
        <v/>
      </c>
      <c r="D65" s="37" t="str">
        <f aca="false">IF(OR($A65="",'Raw data'!E65=""),"",'Raw data'!E65)</f>
        <v/>
      </c>
      <c r="E65" s="37" t="str">
        <f aca="false">IF(OR($A65="",'Raw data'!Q65=""),"",'Raw data'!Q65)</f>
        <v/>
      </c>
      <c r="F65" s="41" t="str">
        <f aca="false">IF($A65="","",IF(ISNUMBER('Raw data'!G65),'Raw data'!G65*100,""))</f>
        <v/>
      </c>
      <c r="G65" s="41" t="str">
        <f aca="false">IF($A65="","",IF(ISNUMBER('Raw data'!H65),'Raw data'!H65*100,""))</f>
        <v/>
      </c>
      <c r="H65" s="41" t="str">
        <f aca="false">IF($A65="","",IF(ISNUMBER('Raw data'!I65),'Raw data'!I65*100,""))</f>
        <v/>
      </c>
      <c r="I65" s="41" t="str">
        <f aca="false">IF($A65="","",IF(ISNUMBER('Raw data'!R65),'Raw data'!R65*100,""))</f>
        <v/>
      </c>
      <c r="J65" s="41" t="str">
        <f aca="false">IF($A65="","",IF(ISNUMBER('Raw data'!S65),'Raw data'!S65*100,""))</f>
        <v/>
      </c>
      <c r="K65" s="41" t="str">
        <f aca="false">IF($A65="","",IF(ISNUMBER('Raw data'!T65),'Raw data'!T65*100,""))</f>
        <v/>
      </c>
      <c r="L65" s="41" t="str">
        <f aca="false">IF($A65="","",IF('Raw data'!V65&lt;&gt;"",'Raw data'!V65*100,IF(AND(N('Raw data'!E65)&gt;0,'Raw data'!Q65&lt;&gt;""),'Raw data'!Q65*(1+N('Raw data'!S65))/('Raw data'!E65*(1+N('Raw data'!H65)))*100,"")))</f>
        <v/>
      </c>
      <c r="M65" s="41" t="str">
        <f aca="false">IF($A65="","",IF('Raw data'!U65&lt;&gt;"",'Raw data'!U65*100,IF(AND(N('Raw data'!E65)&gt;0,'Raw data'!Q65&lt;&gt;""),'Raw data'!Q65/'Raw data'!E65*100,"")))</f>
        <v/>
      </c>
      <c r="N65" s="42" t="str">
        <f aca="false">IF($A65="","",IF(ISNUMBER('Raw data'!W65),'Raw data'!W65,""))</f>
        <v/>
      </c>
      <c r="O65" s="42" t="str">
        <f aca="false">IF($A65="","",IF(ISNUMBER('Raw data'!X65),'Raw data'!X65,""))</f>
        <v/>
      </c>
      <c r="P65" s="42" t="str">
        <f aca="false">IF($A65="","",IF(ISNUMBER('Raw data'!Y65),'Raw data'!Y65,""))</f>
        <v/>
      </c>
      <c r="Q65" s="42" t="str">
        <f aca="false">IF($A65="","",IF(ISNUMBER('Raw data'!Z65),'Raw data'!Z65,""))</f>
        <v/>
      </c>
      <c r="R65" s="42" t="str">
        <f aca="false">IF($A65="","",IF(ISNUMBER('Raw data'!J65),'Raw data'!J65*100,""))</f>
        <v/>
      </c>
      <c r="S65" s="41" t="str">
        <f aca="false">IF($A65="","",IF(ISNUMBER('Raw data'!K65),'Raw data'!K65*100,""))</f>
        <v/>
      </c>
      <c r="T65" s="41" t="str">
        <f aca="false">IF($A65="","",IF(ISNUMBER('Raw data'!L65),'Raw data'!L65*100,""))</f>
        <v/>
      </c>
      <c r="U65" s="41" t="str">
        <f aca="false">IF($A65="","",IF(ISNUMBER('Raw data'!M65),'Raw data'!M65*100,""))</f>
        <v/>
      </c>
      <c r="V65" s="41" t="str">
        <f aca="false">IF($A65="","",IF(ISNUMBER('Raw data'!N65),'Raw data'!N65*100,""))</f>
        <v/>
      </c>
      <c r="W65" s="41" t="str">
        <f aca="false">IF($A65="","",IF(ISNUMBER('Raw data'!O65),'Raw data'!O65*100,""))</f>
        <v/>
      </c>
      <c r="X65" s="41" t="str">
        <f aca="false">IF($A65="","",IF(ISNUMBER('Raw data'!P65),'Raw data'!P65*100,""))</f>
        <v/>
      </c>
      <c r="Y65" s="43" t="str">
        <f aca="false">IF($A65="","",IF(AND(ISNUMBER('Raw data'!J65),ISNUMBER('Raw data'!H65),ISNUMBER('Raw data'!L65),ISNUMBER('Raw data'!O65)),ROUND(('Raw data'!J65*'Raw data'!L65+(1-'Raw data'!J65)*'Raw data'!O65-'Raw data'!H65)*100,1),""))</f>
        <v/>
      </c>
    </row>
  </sheetData>
  <conditionalFormatting sqref="Y6:Y65">
    <cfRule type="expression" priority="2" aboveAverage="0" equalAverage="0" bottom="0" percent="0" rank="0" text="" dxfId="0">
      <formula>AND(ISNUMBER(Y6),ABS(Y6)&gt;0.5)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2026-10-09T12:04:18Z</dcterms:created>
  <dc:creator>openpyxl</dc:creator>
  <dc:description/>
  <dc:language>en-US</dc:language>
  <cp:lastModifiedBy/>
  <dcterms:modified xsi:type="dcterms:W3CDTF">2026-10-09T12:04:19Z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