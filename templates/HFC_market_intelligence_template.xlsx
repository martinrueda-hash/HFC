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E5" authorId="0">
      <text>
        <r>
          <rPr>
            <sz val="10"/>
            <rFont val="Arial"/>
            <family val="2"/>
          </rPr>
          <t xml:space="preserve">HFC addressable market in the base year (your estimate, not total construction output)</t>
        </r>
      </text>
    </comment>
    <comment ref="F5" authorId="0">
      <text>
        <r>
          <rPr>
            <sz val="10"/>
            <rFont val="Arial"/>
            <family val="2"/>
          </rPr>
          <t xml:space="preserve">From Market levels (Oxford Economics, 2023 prices)</t>
        </r>
      </text>
    </comment>
    <comment ref="G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K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T5" authorId="0">
      <text>
        <r>
          <rPr>
            <sz val="10"/>
            <rFont val="Arial"/>
            <family val="2"/>
          </rPr>
          <t xml:space="preserve">Business plan</t>
        </r>
      </text>
    </comment>
    <comment ref="U5" authorId="0">
      <text>
        <r>
          <rPr>
            <sz val="10"/>
            <rFont val="Arial"/>
            <family val="2"/>
          </rPr>
          <t xml:space="preserve">Leave empty to use HFC sales / addressable market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W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X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Y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Z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<sst xmlns="http://schemas.openxmlformats.org/spreadsheetml/2006/main" count="3506" uniqueCount="254">
  <si>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</si>
  <si>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</si>
  <si>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</si>
  <si>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</si>
  <si>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</si>
  <si>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</si>
  <si>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 and end market. Update the blue cells: addressable market,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</si>
  <si>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</si>
  <si>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</si>
  <si>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</si>
  <si>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</si>
  <si>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</si>
  <si>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</si>
  <si>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</si>
  <si>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</si>
  <si>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</si>
  <si>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</si>
  <si>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</si>
  <si>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</si>
  <si>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</si>
  <si>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</si>
  <si>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</si>
  <si>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</si>
  <si>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</si>
  <si>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Addressable market</t>
  </si>
  <si>
    <t xml:space="preserve">Your estimate of the HFC addressable market in EUR m (not total construction output). Used for market size and market share.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</si>
  <si>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</si>
  <si>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</si>
  <si>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</si>
  <si>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</si>
  <si>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</si>
  <si>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</si>
  <si>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</si>
  <si>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</si>
  <si>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</si>
  <si>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</si>
  <si>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</si>
  <si>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</si>
  <si>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60 rows in Raw data (for example 30 countries x 2 end markets). Empty rows are ignored.</t>
  </si>
  <si>
    <t xml:space="preserve">Market growth is real Oxford Economics data. Addressable market,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</si>
  <si>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</si>
  <si>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</si>
  <si>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</si>
  <si>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</si>
  <si>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</si>
  <si>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</si>
  <si>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</si>
  <si>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</si>
  <si>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</si>
  <si>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</si>
  <si>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</si>
  <si>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</si>
  <si>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</si>
  <si>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</si>
  <si>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</si>
  <si>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</si>
  <si>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</si>
  <si>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addressable market size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</si>
  <si>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</si>
  <si>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</si>
  <si>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</si>
  <si>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</si>
  <si>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</si>
  <si>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</si>
  <si>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</si>
  <si>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</si>
  <si>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</si>
  <si>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</si>
  <si>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</si>
  <si>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</si>
  <si>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</si>
  <si>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</si>
  <si>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</si>
  <si>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</si>
  <si>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</si>
  <si>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</si>
  <si>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</si>
  <si>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</si>
  <si>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</si>
  <si>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</si>
  <si>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</si>
  <si>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</si>
  <si>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</si>
  <si>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</si>
  <si>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</si>
  <si>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</si>
  <si>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</si>
  <si>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</si>
  <si>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</si>
  <si>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</si>
  <si>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</si>
  <si>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</si>
  <si>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</si>
  <si>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</si>
  <si>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</si>
  <si>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</si>
  <si>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</si>
  <si>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</si>
  <si>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</si>
  <si>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</si>
  <si>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</si>
  <si>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</si>
  <si>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</si>
  <si>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</si>
  <si>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</si>
  <si>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</si>
  <si>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</si>
  <si>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</si>
  <si>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</si>
  <si>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</si>
  <si>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</si>
  <si>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</si>
  <si>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</si>
  <si>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</si>
  <si>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</si>
  <si>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</si>
  <si>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</si>
  <si>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</si>
  <si>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</si>
  <si>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</si>
  <si>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</si>
  <si>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</si>
  <si>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</si>
  <si>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</si>
  <si>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</si>
  <si>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</si>
  <si>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</si>
  <si>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</si>
  <si>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</si>
  <si>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</si>
  <si>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</si>
  <si>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</si>
  <si>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</si>
  <si>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</si>
  <si>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</si>
  <si>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</si>
  <si>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</si>
  <si>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</si>
  <si>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</si>
  <si>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</si>
  <si>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</si>
  <si>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</si>
  <si>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</si>
  <si>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</si>
  <si>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</si>
  <si>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</si>
  <si>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</si>
  <si>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</si>
  <si>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</si>
  <si>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</si>
  <si>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</si>
  <si>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</si>
  <si>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</si>
  <si>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</si>
  <si>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</si>
  <si>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</si>
  <si>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</si>
  <si>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</si>
  <si>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</si>
  <si>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</si>
  <si>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</si>
  <si>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</si>
  <si>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</si>
  <si>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</si>
  <si>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</si>
  <si>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</si>
  <si>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</si>
  <si>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</si>
  <si>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</si>
  <si>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</si>
  <si>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</si>
  <si>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</si>
  <si>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</si>
  <si>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</si>
  <si>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</si>
  <si>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</si>
  <si>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</si>
  <si>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</si>
  <si>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</si>
  <si>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</si>
  <si>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</si>
  <si>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Addressable market, HFC figures and scores in the sample rows are ILLUSTRATIVE: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</si>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</sst>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8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2" customFormat="false" ht="15" hidden="false" customHeight="false" outlineLevel="0" collapsed="false">
      <c r="B22" s="4" t="s">
        <v>30</v>
      </c>
    </row>
    <row r="23" customFormat="false" ht="31.5" hidden="false" customHeight="true" outlineLevel="0" collapsed="false">
      <c r="B23" s="8" t="s">
        <v>31</v>
      </c>
      <c r="C23" s="6" t="s">
        <v>32</v>
      </c>
      <c r="D23" s="6"/>
      <c r="E23" s="6"/>
      <c r="F23" s="6"/>
      <c r="G23" s="6"/>
      <c r="H23" s="6"/>
    </row>
    <row r="24" customFormat="false" ht="31.5" hidden="false" customHeight="true" outlineLevel="0" collapsed="false">
      <c r="B24" s="9" t="s">
        <v>33</v>
      </c>
      <c r="C24" s="6" t="s">
        <v>34</v>
      </c>
      <c r="D24" s="6"/>
      <c r="E24" s="6"/>
      <c r="F24" s="6"/>
      <c r="G24" s="6"/>
      <c r="H24" s="6"/>
    </row>
    <row r="25" customFormat="false" ht="31.5" hidden="false" customHeight="true" outlineLevel="0" collapsed="false">
      <c r="B25" s="7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7" t="s">
        <v>37</v>
      </c>
      <c r="C26" s="6" t="s">
        <v>38</v>
      </c>
      <c r="D26" s="6"/>
      <c r="E26" s="6"/>
      <c r="F26" s="6"/>
      <c r="G26" s="6"/>
      <c r="H26" s="6"/>
    </row>
    <row r="28" customFormat="false" ht="15" hidden="false" customHeight="false" outlineLevel="0" collapsed="false">
      <c r="B28" s="10" t="s">
        <v>39</v>
      </c>
    </row>
  </sheetData>
  <mergeCells count="17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3:H23"/>
    <mergeCell ref="C24:H24"/>
    <mergeCell ref="C25:H25"/>
    <mergeCell ref="C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40</v>
      </c>
      <c r="B1" s="2"/>
      <c r="C1" s="2"/>
      <c r="D1" s="2"/>
    </row>
    <row r="2" customFormat="false" ht="18" hidden="false" customHeight="true" outlineLevel="0" collapsed="false">
      <c r="A2" s="3" t="s">
        <v>41</v>
      </c>
      <c r="B2" s="2"/>
      <c r="C2" s="2"/>
      <c r="D2" s="2"/>
    </row>
    <row r="4" customFormat="false" ht="15" hidden="false" customHeight="false" outlineLevel="0" collapsed="false">
      <c r="A4" s="11" t="s">
        <v>42</v>
      </c>
      <c r="B4" s="11" t="s">
        <v>43</v>
      </c>
      <c r="C4" s="11" t="s">
        <v>44</v>
      </c>
      <c r="D4" s="11" t="s">
        <v>45</v>
      </c>
    </row>
    <row r="5" customFormat="false" ht="15" hidden="false" customHeight="false" outlineLevel="0" collapsed="false">
      <c r="A5" s="12" t="s">
        <v>46</v>
      </c>
    </row>
    <row r="6" customFormat="false" ht="15" hidden="false" customHeight="false" outlineLevel="0" collapsed="false">
      <c r="A6" s="13" t="s">
        <v>47</v>
      </c>
      <c r="B6" s="14" t="s">
        <v>48</v>
      </c>
      <c r="C6" s="15" t="s">
        <v>49</v>
      </c>
      <c r="D6" s="16" t="s">
        <v>50</v>
      </c>
    </row>
    <row r="7" customFormat="false" ht="22.35" hidden="false" customHeight="false" outlineLevel="0" collapsed="false">
      <c r="A7" s="13" t="s">
        <v>51</v>
      </c>
      <c r="B7" s="17" t="n">
        <v>2026</v>
      </c>
      <c r="C7" s="15" t="s">
        <v>52</v>
      </c>
      <c r="D7" s="16" t="s">
        <v>53</v>
      </c>
    </row>
    <row r="8" customFormat="false" ht="15" hidden="false" customHeight="false" outlineLevel="0" collapsed="false">
      <c r="A8" s="13" t="s">
        <v>54</v>
      </c>
      <c r="B8" s="14" t="s">
        <v>55</v>
      </c>
      <c r="C8" s="15" t="s">
        <v>56</v>
      </c>
      <c r="D8" s="16" t="s">
        <v>57</v>
      </c>
    </row>
    <row r="10" customFormat="false" ht="15" hidden="false" customHeight="false" outlineLevel="0" collapsed="false">
      <c r="A10" s="12" t="s">
        <v>58</v>
      </c>
    </row>
    <row r="11" customFormat="false" ht="15" hidden="false" customHeight="false" outlineLevel="0" collapsed="false">
      <c r="A11" s="13" t="s">
        <v>59</v>
      </c>
      <c r="B11" s="14" t="s">
        <v>60</v>
      </c>
      <c r="C11" s="15" t="s">
        <v>61</v>
      </c>
      <c r="D11" s="16" t="s">
        <v>62</v>
      </c>
    </row>
    <row r="12" customFormat="false" ht="15" hidden="false" customHeight="false" outlineLevel="0" collapsed="false">
      <c r="A12" s="13" t="s">
        <v>63</v>
      </c>
      <c r="B12" s="14" t="s">
        <v>64</v>
      </c>
      <c r="C12" s="15" t="s">
        <v>65</v>
      </c>
      <c r="D12" s="16"/>
    </row>
    <row r="13" customFormat="false" ht="15" hidden="false" customHeight="false" outlineLevel="0" collapsed="false">
      <c r="A13" s="13" t="s">
        <v>66</v>
      </c>
      <c r="B13" s="14" t="s">
        <v>67</v>
      </c>
      <c r="C13" s="15" t="s">
        <v>68</v>
      </c>
      <c r="D13" s="16" t="s">
        <v>69</v>
      </c>
    </row>
    <row r="14" customFormat="false" ht="15" hidden="false" customHeight="false" outlineLevel="0" collapsed="false">
      <c r="A14" s="13" t="s">
        <v>70</v>
      </c>
      <c r="B14" s="14" t="s">
        <v>71</v>
      </c>
      <c r="C14" s="15" t="s">
        <v>72</v>
      </c>
      <c r="D14" s="16"/>
    </row>
    <row r="15" customFormat="false" ht="22.35" hidden="false" customHeight="false" outlineLevel="0" collapsed="false">
      <c r="A15" s="13" t="s">
        <v>73</v>
      </c>
      <c r="B15" s="14" t="s">
        <v>74</v>
      </c>
      <c r="C15" s="15" t="s">
        <v>75</v>
      </c>
      <c r="D15" s="16" t="s">
        <v>76</v>
      </c>
    </row>
    <row r="16" customFormat="false" ht="15" hidden="false" customHeight="false" outlineLevel="0" collapsed="false">
      <c r="A16" s="13" t="s">
        <v>77</v>
      </c>
      <c r="B16" s="14" t="s">
        <v>78</v>
      </c>
      <c r="C16" s="15" t="s">
        <v>79</v>
      </c>
      <c r="D16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82</v>
      </c>
    </row>
    <row r="4" customFormat="false" ht="15" hidden="false" customHeight="false" outlineLevel="0" collapsed="false">
      <c r="A4" s="18" t="s">
        <v>83</v>
      </c>
    </row>
    <row r="6" customFormat="false" ht="32.8" hidden="false" customHeight="false" outlineLevel="0" collapsed="false">
      <c r="A6" s="19" t="s">
        <v>84</v>
      </c>
      <c r="B6" s="19" t="s">
        <v>85</v>
      </c>
      <c r="C6" s="19" t="s">
        <v>86</v>
      </c>
      <c r="D6" s="19" t="s">
        <v>87</v>
      </c>
      <c r="E6" s="19" t="s">
        <v>88</v>
      </c>
      <c r="F6" s="19" t="s">
        <v>89</v>
      </c>
      <c r="G6" s="19" t="s">
        <v>90</v>
      </c>
      <c r="H6" s="19" t="s">
        <v>91</v>
      </c>
      <c r="I6" s="19" t="s">
        <v>92</v>
      </c>
      <c r="J6" s="19" t="s">
        <v>93</v>
      </c>
      <c r="K6" s="19" t="s">
        <v>94</v>
      </c>
      <c r="L6" s="19" t="s">
        <v>95</v>
      </c>
      <c r="M6" s="19" t="s">
        <v>96</v>
      </c>
      <c r="N6" s="19" t="s">
        <v>97</v>
      </c>
      <c r="O6" s="19" t="s">
        <v>98</v>
      </c>
      <c r="P6" s="19" t="s">
        <v>99</v>
      </c>
      <c r="Q6" s="19" t="s">
        <v>100</v>
      </c>
      <c r="R6" s="19" t="s">
        <v>101</v>
      </c>
      <c r="S6" s="19" t="s">
        <v>102</v>
      </c>
      <c r="T6" s="19" t="s">
        <v>103</v>
      </c>
      <c r="U6" s="19" t="s">
        <v>104</v>
      </c>
      <c r="V6" s="19" t="s">
        <v>105</v>
      </c>
      <c r="W6" s="19" t="s">
        <v>106</v>
      </c>
      <c r="X6" s="19" t="s">
        <v>107</v>
      </c>
      <c r="Y6" s="19" t="s">
        <v>108</v>
      </c>
      <c r="Z6" s="19" t="s">
        <v>109</v>
      </c>
      <c r="AA6" s="19" t="s">
        <v>110</v>
      </c>
      <c r="AB6" s="19" t="s">
        <v>111</v>
      </c>
      <c r="AC6" s="19" t="s">
        <v>112</v>
      </c>
      <c r="AD6" s="19" t="s">
        <v>113</v>
      </c>
      <c r="AE6" s="19" t="s">
        <v>114</v>
      </c>
    </row>
    <row r="7" customFormat="false" ht="15" hidden="false" customHeight="false" outlineLevel="0" collapsed="false">
      <c r="A7" s="20" t="s">
        <v>115</v>
      </c>
      <c r="B7" s="20" t="s">
        <v>116</v>
      </c>
      <c r="C7" s="20" t="s">
        <v>117</v>
      </c>
      <c r="D7" s="20" t="s">
        <v>118</v>
      </c>
      <c r="E7" s="20" t="s">
        <v>119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120</v>
      </c>
      <c r="W7" s="20" t="s">
        <v>92</v>
      </c>
      <c r="X7" s="20"/>
      <c r="Y7" s="20" t="s">
        <v>93</v>
      </c>
      <c r="Z7" s="20" t="s">
        <v>121</v>
      </c>
      <c r="AA7" s="20" t="s">
        <v>122</v>
      </c>
      <c r="AB7" s="20" t="s">
        <v>123</v>
      </c>
      <c r="AC7" s="20" t="s">
        <v>124</v>
      </c>
      <c r="AD7" s="20" t="s">
        <v>125</v>
      </c>
      <c r="AE7" s="20" t="s">
        <v>126</v>
      </c>
    </row>
    <row r="8" customFormat="false" ht="15" hidden="false" customHeight="false" outlineLevel="0" collapsed="false">
      <c r="A8" s="20" t="s">
        <v>115</v>
      </c>
      <c r="B8" s="20" t="s">
        <v>127</v>
      </c>
      <c r="C8" s="20" t="s">
        <v>117</v>
      </c>
      <c r="D8" s="20" t="s">
        <v>118</v>
      </c>
      <c r="E8" s="20" t="s">
        <v>119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120</v>
      </c>
      <c r="W8" s="20" t="s">
        <v>92</v>
      </c>
      <c r="X8" s="20"/>
      <c r="Y8" s="20" t="s">
        <v>93</v>
      </c>
      <c r="Z8" s="20" t="s">
        <v>121</v>
      </c>
      <c r="AA8" s="20" t="s">
        <v>122</v>
      </c>
      <c r="AB8" s="20" t="s">
        <v>123</v>
      </c>
      <c r="AC8" s="20" t="s">
        <v>124</v>
      </c>
      <c r="AD8" s="20" t="s">
        <v>125</v>
      </c>
      <c r="AE8" s="20" t="s">
        <v>128</v>
      </c>
    </row>
    <row r="9" customFormat="false" ht="15" hidden="false" customHeight="false" outlineLevel="0" collapsed="false">
      <c r="A9" s="20" t="s">
        <v>115</v>
      </c>
      <c r="B9" s="20" t="s">
        <v>129</v>
      </c>
      <c r="C9" s="20" t="s">
        <v>117</v>
      </c>
      <c r="D9" s="20" t="s">
        <v>118</v>
      </c>
      <c r="E9" s="20" t="s">
        <v>119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120</v>
      </c>
      <c r="W9" s="20" t="s">
        <v>92</v>
      </c>
      <c r="X9" s="20"/>
      <c r="Y9" s="20" t="s">
        <v>93</v>
      </c>
      <c r="Z9" s="20" t="s">
        <v>121</v>
      </c>
      <c r="AA9" s="20" t="s">
        <v>122</v>
      </c>
      <c r="AB9" s="20" t="s">
        <v>123</v>
      </c>
      <c r="AC9" s="20" t="s">
        <v>124</v>
      </c>
      <c r="AD9" s="20" t="s">
        <v>125</v>
      </c>
      <c r="AE9" s="20" t="s">
        <v>130</v>
      </c>
    </row>
    <row r="10" customFormat="false" ht="15" hidden="false" customHeight="false" outlineLevel="0" collapsed="false">
      <c r="A10" s="20" t="s">
        <v>115</v>
      </c>
      <c r="B10" s="20" t="s">
        <v>131</v>
      </c>
      <c r="C10" s="20" t="s">
        <v>117</v>
      </c>
      <c r="D10" s="20" t="s">
        <v>118</v>
      </c>
      <c r="E10" s="20" t="s">
        <v>119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120</v>
      </c>
      <c r="W10" s="20" t="s">
        <v>92</v>
      </c>
      <c r="X10" s="20"/>
      <c r="Y10" s="20" t="s">
        <v>93</v>
      </c>
      <c r="Z10" s="20" t="s">
        <v>121</v>
      </c>
      <c r="AA10" s="20" t="s">
        <v>122</v>
      </c>
      <c r="AB10" s="20" t="s">
        <v>123</v>
      </c>
      <c r="AC10" s="20" t="s">
        <v>124</v>
      </c>
      <c r="AD10" s="20" t="s">
        <v>125</v>
      </c>
      <c r="AE10" s="20" t="s">
        <v>132</v>
      </c>
    </row>
    <row r="11" customFormat="false" ht="15" hidden="false" customHeight="false" outlineLevel="0" collapsed="false">
      <c r="A11" s="20" t="s">
        <v>115</v>
      </c>
      <c r="B11" s="20" t="s">
        <v>60</v>
      </c>
      <c r="C11" s="20" t="s">
        <v>117</v>
      </c>
      <c r="D11" s="20" t="s">
        <v>118</v>
      </c>
      <c r="E11" s="20" t="s">
        <v>119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120</v>
      </c>
      <c r="W11" s="20" t="s">
        <v>92</v>
      </c>
      <c r="X11" s="20"/>
      <c r="Y11" s="20" t="s">
        <v>93</v>
      </c>
      <c r="Z11" s="20" t="s">
        <v>121</v>
      </c>
      <c r="AA11" s="20" t="s">
        <v>122</v>
      </c>
      <c r="AB11" s="20" t="s">
        <v>123</v>
      </c>
      <c r="AC11" s="20" t="s">
        <v>124</v>
      </c>
      <c r="AD11" s="20" t="s">
        <v>125</v>
      </c>
      <c r="AE11" s="20" t="s">
        <v>133</v>
      </c>
    </row>
    <row r="12" customFormat="false" ht="15" hidden="false" customHeight="false" outlineLevel="0" collapsed="false">
      <c r="A12" s="20" t="s">
        <v>115</v>
      </c>
      <c r="B12" s="20" t="s">
        <v>134</v>
      </c>
      <c r="C12" s="20" t="s">
        <v>117</v>
      </c>
      <c r="D12" s="20" t="s">
        <v>118</v>
      </c>
      <c r="E12" s="20" t="s">
        <v>119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120</v>
      </c>
      <c r="W12" s="20" t="s">
        <v>92</v>
      </c>
      <c r="X12" s="20"/>
      <c r="Y12" s="20" t="s">
        <v>93</v>
      </c>
      <c r="Z12" s="20" t="s">
        <v>121</v>
      </c>
      <c r="AA12" s="20" t="s">
        <v>122</v>
      </c>
      <c r="AB12" s="20" t="s">
        <v>123</v>
      </c>
      <c r="AC12" s="20" t="s">
        <v>124</v>
      </c>
      <c r="AD12" s="20" t="s">
        <v>125</v>
      </c>
      <c r="AE12" s="20" t="s">
        <v>135</v>
      </c>
    </row>
    <row r="13" customFormat="false" ht="15" hidden="false" customHeight="false" outlineLevel="0" collapsed="false">
      <c r="A13" s="20" t="s">
        <v>115</v>
      </c>
      <c r="B13" s="20" t="s">
        <v>67</v>
      </c>
      <c r="C13" s="20" t="s">
        <v>117</v>
      </c>
      <c r="D13" s="20" t="s">
        <v>118</v>
      </c>
      <c r="E13" s="20" t="s">
        <v>119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120</v>
      </c>
      <c r="W13" s="20" t="s">
        <v>92</v>
      </c>
      <c r="X13" s="20"/>
      <c r="Y13" s="20" t="s">
        <v>93</v>
      </c>
      <c r="Z13" s="20" t="s">
        <v>121</v>
      </c>
      <c r="AA13" s="20" t="s">
        <v>122</v>
      </c>
      <c r="AB13" s="20" t="s">
        <v>123</v>
      </c>
      <c r="AC13" s="20" t="s">
        <v>124</v>
      </c>
      <c r="AD13" s="20" t="s">
        <v>125</v>
      </c>
      <c r="AE13" s="20" t="s">
        <v>136</v>
      </c>
    </row>
    <row r="14" customFormat="false" ht="15" hidden="false" customHeight="false" outlineLevel="0" collapsed="false">
      <c r="A14" s="20" t="s">
        <v>115</v>
      </c>
      <c r="B14" s="20" t="s">
        <v>64</v>
      </c>
      <c r="C14" s="20" t="s">
        <v>117</v>
      </c>
      <c r="D14" s="20" t="s">
        <v>118</v>
      </c>
      <c r="E14" s="20" t="s">
        <v>119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120</v>
      </c>
      <c r="W14" s="20" t="s">
        <v>92</v>
      </c>
      <c r="X14" s="20"/>
      <c r="Y14" s="20" t="s">
        <v>93</v>
      </c>
      <c r="Z14" s="20" t="s">
        <v>121</v>
      </c>
      <c r="AA14" s="20" t="s">
        <v>122</v>
      </c>
      <c r="AB14" s="20" t="s">
        <v>123</v>
      </c>
      <c r="AC14" s="20" t="s">
        <v>124</v>
      </c>
      <c r="AD14" s="20" t="s">
        <v>125</v>
      </c>
      <c r="AE14" s="20" t="s">
        <v>137</v>
      </c>
    </row>
    <row r="15" customFormat="false" ht="15" hidden="false" customHeight="false" outlineLevel="0" collapsed="false">
      <c r="A15" s="20" t="s">
        <v>115</v>
      </c>
      <c r="B15" s="20" t="s">
        <v>74</v>
      </c>
      <c r="C15" s="20" t="s">
        <v>117</v>
      </c>
      <c r="D15" s="20" t="s">
        <v>118</v>
      </c>
      <c r="E15" s="20" t="s">
        <v>119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120</v>
      </c>
      <c r="W15" s="20" t="s">
        <v>92</v>
      </c>
      <c r="X15" s="20"/>
      <c r="Y15" s="20" t="s">
        <v>93</v>
      </c>
      <c r="Z15" s="20" t="s">
        <v>121</v>
      </c>
      <c r="AA15" s="20" t="s">
        <v>122</v>
      </c>
      <c r="AB15" s="20" t="s">
        <v>123</v>
      </c>
      <c r="AC15" s="20" t="s">
        <v>124</v>
      </c>
      <c r="AD15" s="20" t="s">
        <v>125</v>
      </c>
      <c r="AE15" s="20" t="s">
        <v>138</v>
      </c>
    </row>
    <row r="16" customFormat="false" ht="15" hidden="false" customHeight="false" outlineLevel="0" collapsed="false">
      <c r="A16" s="20" t="s">
        <v>115</v>
      </c>
      <c r="B16" s="20" t="s">
        <v>71</v>
      </c>
      <c r="C16" s="20" t="s">
        <v>117</v>
      </c>
      <c r="D16" s="20" t="s">
        <v>118</v>
      </c>
      <c r="E16" s="20" t="s">
        <v>119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120</v>
      </c>
      <c r="W16" s="20" t="s">
        <v>92</v>
      </c>
      <c r="X16" s="20"/>
      <c r="Y16" s="20" t="s">
        <v>93</v>
      </c>
      <c r="Z16" s="20" t="s">
        <v>121</v>
      </c>
      <c r="AA16" s="20" t="s">
        <v>122</v>
      </c>
      <c r="AB16" s="20" t="s">
        <v>123</v>
      </c>
      <c r="AC16" s="20" t="s">
        <v>124</v>
      </c>
      <c r="AD16" s="20" t="s">
        <v>125</v>
      </c>
      <c r="AE16" s="20" t="s">
        <v>139</v>
      </c>
    </row>
    <row r="17" customFormat="false" ht="15" hidden="false" customHeight="false" outlineLevel="0" collapsed="false">
      <c r="A17" s="20" t="s">
        <v>115</v>
      </c>
      <c r="B17" s="20" t="s">
        <v>78</v>
      </c>
      <c r="C17" s="20" t="s">
        <v>117</v>
      </c>
      <c r="D17" s="20" t="s">
        <v>118</v>
      </c>
      <c r="E17" s="20" t="s">
        <v>119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120</v>
      </c>
      <c r="W17" s="20" t="s">
        <v>92</v>
      </c>
      <c r="X17" s="20"/>
      <c r="Y17" s="20" t="s">
        <v>93</v>
      </c>
      <c r="Z17" s="20" t="s">
        <v>121</v>
      </c>
      <c r="AA17" s="20" t="s">
        <v>122</v>
      </c>
      <c r="AB17" s="20" t="s">
        <v>123</v>
      </c>
      <c r="AC17" s="20" t="s">
        <v>124</v>
      </c>
      <c r="AD17" s="20" t="s">
        <v>125</v>
      </c>
      <c r="AE17" s="20" t="s">
        <v>140</v>
      </c>
    </row>
    <row r="18" customFormat="false" ht="15" hidden="false" customHeight="false" outlineLevel="0" collapsed="false">
      <c r="A18" s="20" t="s">
        <v>115</v>
      </c>
      <c r="B18" s="20" t="s">
        <v>141</v>
      </c>
      <c r="C18" s="20" t="s">
        <v>117</v>
      </c>
      <c r="D18" s="20" t="s">
        <v>118</v>
      </c>
      <c r="E18" s="20" t="s">
        <v>119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120</v>
      </c>
      <c r="W18" s="20" t="s">
        <v>92</v>
      </c>
      <c r="X18" s="20"/>
      <c r="Y18" s="20" t="s">
        <v>93</v>
      </c>
      <c r="Z18" s="20" t="s">
        <v>121</v>
      </c>
      <c r="AA18" s="20" t="s">
        <v>122</v>
      </c>
      <c r="AB18" s="20" t="s">
        <v>123</v>
      </c>
      <c r="AC18" s="20" t="s">
        <v>124</v>
      </c>
      <c r="AD18" s="20" t="s">
        <v>125</v>
      </c>
      <c r="AE18" s="20" t="s">
        <v>142</v>
      </c>
    </row>
    <row r="19" customFormat="false" ht="15" hidden="false" customHeight="false" outlineLevel="0" collapsed="false">
      <c r="A19" s="20" t="s">
        <v>143</v>
      </c>
      <c r="B19" s="20" t="s">
        <v>116</v>
      </c>
      <c r="C19" s="20" t="s">
        <v>117</v>
      </c>
      <c r="D19" s="20" t="s">
        <v>118</v>
      </c>
      <c r="E19" s="20" t="s">
        <v>119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120</v>
      </c>
      <c r="W19" s="20" t="s">
        <v>92</v>
      </c>
      <c r="X19" s="20"/>
      <c r="Y19" s="20" t="s">
        <v>93</v>
      </c>
      <c r="Z19" s="20" t="s">
        <v>121</v>
      </c>
      <c r="AA19" s="20" t="s">
        <v>122</v>
      </c>
      <c r="AB19" s="20" t="s">
        <v>123</v>
      </c>
      <c r="AC19" s="20" t="s">
        <v>124</v>
      </c>
      <c r="AD19" s="20" t="s">
        <v>144</v>
      </c>
      <c r="AE19" s="20" t="s">
        <v>126</v>
      </c>
    </row>
    <row r="20" customFormat="false" ht="15" hidden="false" customHeight="false" outlineLevel="0" collapsed="false">
      <c r="A20" s="20" t="s">
        <v>143</v>
      </c>
      <c r="B20" s="20" t="s">
        <v>127</v>
      </c>
      <c r="C20" s="20" t="s">
        <v>117</v>
      </c>
      <c r="D20" s="20" t="s">
        <v>118</v>
      </c>
      <c r="E20" s="20" t="s">
        <v>119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120</v>
      </c>
      <c r="W20" s="20" t="s">
        <v>92</v>
      </c>
      <c r="X20" s="20"/>
      <c r="Y20" s="20" t="s">
        <v>93</v>
      </c>
      <c r="Z20" s="20" t="s">
        <v>121</v>
      </c>
      <c r="AA20" s="20" t="s">
        <v>122</v>
      </c>
      <c r="AB20" s="20" t="s">
        <v>123</v>
      </c>
      <c r="AC20" s="20" t="s">
        <v>124</v>
      </c>
      <c r="AD20" s="20" t="s">
        <v>144</v>
      </c>
      <c r="AE20" s="20" t="s">
        <v>128</v>
      </c>
    </row>
    <row r="21" customFormat="false" ht="15" hidden="false" customHeight="false" outlineLevel="0" collapsed="false">
      <c r="A21" s="20" t="s">
        <v>143</v>
      </c>
      <c r="B21" s="20" t="s">
        <v>129</v>
      </c>
      <c r="C21" s="20" t="s">
        <v>117</v>
      </c>
      <c r="D21" s="20" t="s">
        <v>118</v>
      </c>
      <c r="E21" s="20" t="s">
        <v>119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120</v>
      </c>
      <c r="W21" s="20" t="s">
        <v>92</v>
      </c>
      <c r="X21" s="20"/>
      <c r="Y21" s="20" t="s">
        <v>93</v>
      </c>
      <c r="Z21" s="20" t="s">
        <v>121</v>
      </c>
      <c r="AA21" s="20" t="s">
        <v>122</v>
      </c>
      <c r="AB21" s="20" t="s">
        <v>123</v>
      </c>
      <c r="AC21" s="20" t="s">
        <v>124</v>
      </c>
      <c r="AD21" s="20" t="s">
        <v>144</v>
      </c>
      <c r="AE21" s="20" t="s">
        <v>130</v>
      </c>
    </row>
    <row r="22" customFormat="false" ht="15" hidden="false" customHeight="false" outlineLevel="0" collapsed="false">
      <c r="A22" s="20" t="s">
        <v>143</v>
      </c>
      <c r="B22" s="20" t="s">
        <v>131</v>
      </c>
      <c r="C22" s="20" t="s">
        <v>117</v>
      </c>
      <c r="D22" s="20" t="s">
        <v>118</v>
      </c>
      <c r="E22" s="20" t="s">
        <v>119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120</v>
      </c>
      <c r="W22" s="20" t="s">
        <v>92</v>
      </c>
      <c r="X22" s="20"/>
      <c r="Y22" s="20" t="s">
        <v>93</v>
      </c>
      <c r="Z22" s="20" t="s">
        <v>121</v>
      </c>
      <c r="AA22" s="20" t="s">
        <v>122</v>
      </c>
      <c r="AB22" s="20" t="s">
        <v>123</v>
      </c>
      <c r="AC22" s="20" t="s">
        <v>124</v>
      </c>
      <c r="AD22" s="20" t="s">
        <v>144</v>
      </c>
      <c r="AE22" s="20" t="s">
        <v>132</v>
      </c>
    </row>
    <row r="23" customFormat="false" ht="15" hidden="false" customHeight="false" outlineLevel="0" collapsed="false">
      <c r="A23" s="20" t="s">
        <v>143</v>
      </c>
      <c r="B23" s="20" t="s">
        <v>60</v>
      </c>
      <c r="C23" s="20" t="s">
        <v>117</v>
      </c>
      <c r="D23" s="20" t="s">
        <v>118</v>
      </c>
      <c r="E23" s="20" t="s">
        <v>119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120</v>
      </c>
      <c r="W23" s="20" t="s">
        <v>92</v>
      </c>
      <c r="X23" s="20"/>
      <c r="Y23" s="20" t="s">
        <v>93</v>
      </c>
      <c r="Z23" s="20" t="s">
        <v>121</v>
      </c>
      <c r="AA23" s="20" t="s">
        <v>122</v>
      </c>
      <c r="AB23" s="20" t="s">
        <v>123</v>
      </c>
      <c r="AC23" s="20" t="s">
        <v>124</v>
      </c>
      <c r="AD23" s="20" t="s">
        <v>144</v>
      </c>
      <c r="AE23" s="20" t="s">
        <v>133</v>
      </c>
    </row>
    <row r="24" customFormat="false" ht="15" hidden="false" customHeight="false" outlineLevel="0" collapsed="false">
      <c r="A24" s="20" t="s">
        <v>143</v>
      </c>
      <c r="B24" s="20" t="s">
        <v>134</v>
      </c>
      <c r="C24" s="20" t="s">
        <v>117</v>
      </c>
      <c r="D24" s="20" t="s">
        <v>118</v>
      </c>
      <c r="E24" s="20" t="s">
        <v>119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120</v>
      </c>
      <c r="W24" s="20" t="s">
        <v>92</v>
      </c>
      <c r="X24" s="20"/>
      <c r="Y24" s="20" t="s">
        <v>93</v>
      </c>
      <c r="Z24" s="20" t="s">
        <v>121</v>
      </c>
      <c r="AA24" s="20" t="s">
        <v>122</v>
      </c>
      <c r="AB24" s="20" t="s">
        <v>123</v>
      </c>
      <c r="AC24" s="20" t="s">
        <v>124</v>
      </c>
      <c r="AD24" s="20" t="s">
        <v>144</v>
      </c>
      <c r="AE24" s="20" t="s">
        <v>135</v>
      </c>
    </row>
    <row r="25" customFormat="false" ht="15" hidden="false" customHeight="false" outlineLevel="0" collapsed="false">
      <c r="A25" s="20" t="s">
        <v>143</v>
      </c>
      <c r="B25" s="20" t="s">
        <v>67</v>
      </c>
      <c r="C25" s="20" t="s">
        <v>117</v>
      </c>
      <c r="D25" s="20" t="s">
        <v>118</v>
      </c>
      <c r="E25" s="20" t="s">
        <v>119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120</v>
      </c>
      <c r="W25" s="20" t="s">
        <v>92</v>
      </c>
      <c r="X25" s="20"/>
      <c r="Y25" s="20" t="s">
        <v>93</v>
      </c>
      <c r="Z25" s="20" t="s">
        <v>121</v>
      </c>
      <c r="AA25" s="20" t="s">
        <v>122</v>
      </c>
      <c r="AB25" s="20" t="s">
        <v>123</v>
      </c>
      <c r="AC25" s="20" t="s">
        <v>124</v>
      </c>
      <c r="AD25" s="20" t="s">
        <v>144</v>
      </c>
      <c r="AE25" s="20" t="s">
        <v>136</v>
      </c>
    </row>
    <row r="26" customFormat="false" ht="15" hidden="false" customHeight="false" outlineLevel="0" collapsed="false">
      <c r="A26" s="20" t="s">
        <v>143</v>
      </c>
      <c r="B26" s="20" t="s">
        <v>64</v>
      </c>
      <c r="C26" s="20" t="s">
        <v>117</v>
      </c>
      <c r="D26" s="20" t="s">
        <v>118</v>
      </c>
      <c r="E26" s="20" t="s">
        <v>119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120</v>
      </c>
      <c r="W26" s="20" t="s">
        <v>92</v>
      </c>
      <c r="X26" s="20"/>
      <c r="Y26" s="20" t="s">
        <v>93</v>
      </c>
      <c r="Z26" s="20" t="s">
        <v>121</v>
      </c>
      <c r="AA26" s="20" t="s">
        <v>122</v>
      </c>
      <c r="AB26" s="20" t="s">
        <v>123</v>
      </c>
      <c r="AC26" s="20" t="s">
        <v>124</v>
      </c>
      <c r="AD26" s="20" t="s">
        <v>144</v>
      </c>
      <c r="AE26" s="20" t="s">
        <v>137</v>
      </c>
    </row>
    <row r="27" customFormat="false" ht="15" hidden="false" customHeight="false" outlineLevel="0" collapsed="false">
      <c r="A27" s="20" t="s">
        <v>143</v>
      </c>
      <c r="B27" s="20" t="s">
        <v>74</v>
      </c>
      <c r="C27" s="20" t="s">
        <v>117</v>
      </c>
      <c r="D27" s="20" t="s">
        <v>118</v>
      </c>
      <c r="E27" s="20" t="s">
        <v>119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120</v>
      </c>
      <c r="W27" s="20" t="s">
        <v>92</v>
      </c>
      <c r="X27" s="20"/>
      <c r="Y27" s="20" t="s">
        <v>93</v>
      </c>
      <c r="Z27" s="20" t="s">
        <v>121</v>
      </c>
      <c r="AA27" s="20" t="s">
        <v>122</v>
      </c>
      <c r="AB27" s="20" t="s">
        <v>123</v>
      </c>
      <c r="AC27" s="20" t="s">
        <v>124</v>
      </c>
      <c r="AD27" s="20" t="s">
        <v>144</v>
      </c>
      <c r="AE27" s="20" t="s">
        <v>138</v>
      </c>
    </row>
    <row r="28" customFormat="false" ht="15" hidden="false" customHeight="false" outlineLevel="0" collapsed="false">
      <c r="A28" s="20" t="s">
        <v>143</v>
      </c>
      <c r="B28" s="20" t="s">
        <v>71</v>
      </c>
      <c r="C28" s="20" t="s">
        <v>117</v>
      </c>
      <c r="D28" s="20" t="s">
        <v>118</v>
      </c>
      <c r="E28" s="20" t="s">
        <v>119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120</v>
      </c>
      <c r="W28" s="20" t="s">
        <v>92</v>
      </c>
      <c r="X28" s="20"/>
      <c r="Y28" s="20" t="s">
        <v>93</v>
      </c>
      <c r="Z28" s="20" t="s">
        <v>121</v>
      </c>
      <c r="AA28" s="20" t="s">
        <v>122</v>
      </c>
      <c r="AB28" s="20" t="s">
        <v>123</v>
      </c>
      <c r="AC28" s="20" t="s">
        <v>124</v>
      </c>
      <c r="AD28" s="20" t="s">
        <v>144</v>
      </c>
      <c r="AE28" s="20" t="s">
        <v>139</v>
      </c>
    </row>
    <row r="29" customFormat="false" ht="15" hidden="false" customHeight="false" outlineLevel="0" collapsed="false">
      <c r="A29" s="20" t="s">
        <v>143</v>
      </c>
      <c r="B29" s="20" t="s">
        <v>78</v>
      </c>
      <c r="C29" s="20" t="s">
        <v>117</v>
      </c>
      <c r="D29" s="20" t="s">
        <v>118</v>
      </c>
      <c r="E29" s="20" t="s">
        <v>119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120</v>
      </c>
      <c r="W29" s="20" t="s">
        <v>92</v>
      </c>
      <c r="X29" s="20"/>
      <c r="Y29" s="20" t="s">
        <v>93</v>
      </c>
      <c r="Z29" s="20" t="s">
        <v>121</v>
      </c>
      <c r="AA29" s="20" t="s">
        <v>122</v>
      </c>
      <c r="AB29" s="20" t="s">
        <v>123</v>
      </c>
      <c r="AC29" s="20" t="s">
        <v>124</v>
      </c>
      <c r="AD29" s="20" t="s">
        <v>144</v>
      </c>
      <c r="AE29" s="20" t="s">
        <v>140</v>
      </c>
    </row>
    <row r="30" customFormat="false" ht="15" hidden="false" customHeight="false" outlineLevel="0" collapsed="false">
      <c r="A30" s="20" t="s">
        <v>143</v>
      </c>
      <c r="B30" s="20" t="s">
        <v>141</v>
      </c>
      <c r="C30" s="20" t="s">
        <v>117</v>
      </c>
      <c r="D30" s="20" t="s">
        <v>118</v>
      </c>
      <c r="E30" s="20" t="s">
        <v>119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120</v>
      </c>
      <c r="W30" s="20" t="s">
        <v>92</v>
      </c>
      <c r="X30" s="20"/>
      <c r="Y30" s="20" t="s">
        <v>93</v>
      </c>
      <c r="Z30" s="20" t="s">
        <v>121</v>
      </c>
      <c r="AA30" s="20" t="s">
        <v>122</v>
      </c>
      <c r="AB30" s="20" t="s">
        <v>123</v>
      </c>
      <c r="AC30" s="20" t="s">
        <v>124</v>
      </c>
      <c r="AD30" s="20" t="s">
        <v>144</v>
      </c>
      <c r="AE30" s="20" t="s">
        <v>142</v>
      </c>
    </row>
    <row r="31" customFormat="false" ht="15" hidden="false" customHeight="false" outlineLevel="0" collapsed="false">
      <c r="A31" s="20" t="s">
        <v>145</v>
      </c>
      <c r="B31" s="20" t="s">
        <v>116</v>
      </c>
      <c r="C31" s="20" t="s">
        <v>117</v>
      </c>
      <c r="D31" s="20" t="s">
        <v>118</v>
      </c>
      <c r="E31" s="20" t="s">
        <v>119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120</v>
      </c>
      <c r="W31" s="20" t="s">
        <v>92</v>
      </c>
      <c r="X31" s="20"/>
      <c r="Y31" s="20" t="s">
        <v>93</v>
      </c>
      <c r="Z31" s="20" t="s">
        <v>121</v>
      </c>
      <c r="AA31" s="20" t="s">
        <v>122</v>
      </c>
      <c r="AB31" s="20" t="s">
        <v>123</v>
      </c>
      <c r="AC31" s="20" t="s">
        <v>124</v>
      </c>
      <c r="AD31" s="20" t="s">
        <v>146</v>
      </c>
      <c r="AE31" s="20" t="s">
        <v>126</v>
      </c>
    </row>
    <row r="32" customFormat="false" ht="15" hidden="false" customHeight="false" outlineLevel="0" collapsed="false">
      <c r="A32" s="20" t="s">
        <v>145</v>
      </c>
      <c r="B32" s="20" t="s">
        <v>127</v>
      </c>
      <c r="C32" s="20" t="s">
        <v>117</v>
      </c>
      <c r="D32" s="20" t="s">
        <v>118</v>
      </c>
      <c r="E32" s="20" t="s">
        <v>119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120</v>
      </c>
      <c r="W32" s="20" t="s">
        <v>92</v>
      </c>
      <c r="X32" s="20"/>
      <c r="Y32" s="20" t="s">
        <v>93</v>
      </c>
      <c r="Z32" s="20" t="s">
        <v>121</v>
      </c>
      <c r="AA32" s="20" t="s">
        <v>122</v>
      </c>
      <c r="AB32" s="20" t="s">
        <v>123</v>
      </c>
      <c r="AC32" s="20" t="s">
        <v>124</v>
      </c>
      <c r="AD32" s="20" t="s">
        <v>146</v>
      </c>
      <c r="AE32" s="20" t="s">
        <v>128</v>
      </c>
    </row>
    <row r="33" customFormat="false" ht="15" hidden="false" customHeight="false" outlineLevel="0" collapsed="false">
      <c r="A33" s="20" t="s">
        <v>145</v>
      </c>
      <c r="B33" s="20" t="s">
        <v>129</v>
      </c>
      <c r="C33" s="20" t="s">
        <v>117</v>
      </c>
      <c r="D33" s="20" t="s">
        <v>118</v>
      </c>
      <c r="E33" s="20" t="s">
        <v>119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120</v>
      </c>
      <c r="W33" s="20" t="s">
        <v>92</v>
      </c>
      <c r="X33" s="20"/>
      <c r="Y33" s="20" t="s">
        <v>93</v>
      </c>
      <c r="Z33" s="20" t="s">
        <v>121</v>
      </c>
      <c r="AA33" s="20" t="s">
        <v>122</v>
      </c>
      <c r="AB33" s="20" t="s">
        <v>123</v>
      </c>
      <c r="AC33" s="20" t="s">
        <v>124</v>
      </c>
      <c r="AD33" s="20" t="s">
        <v>146</v>
      </c>
      <c r="AE33" s="20" t="s">
        <v>130</v>
      </c>
    </row>
    <row r="34" customFormat="false" ht="15" hidden="false" customHeight="false" outlineLevel="0" collapsed="false">
      <c r="A34" s="20" t="s">
        <v>145</v>
      </c>
      <c r="B34" s="20" t="s">
        <v>131</v>
      </c>
      <c r="C34" s="20" t="s">
        <v>117</v>
      </c>
      <c r="D34" s="20" t="s">
        <v>118</v>
      </c>
      <c r="E34" s="20" t="s">
        <v>119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120</v>
      </c>
      <c r="W34" s="20" t="s">
        <v>92</v>
      </c>
      <c r="X34" s="20"/>
      <c r="Y34" s="20" t="s">
        <v>93</v>
      </c>
      <c r="Z34" s="20" t="s">
        <v>121</v>
      </c>
      <c r="AA34" s="20" t="s">
        <v>122</v>
      </c>
      <c r="AB34" s="20" t="s">
        <v>123</v>
      </c>
      <c r="AC34" s="20" t="s">
        <v>124</v>
      </c>
      <c r="AD34" s="20" t="s">
        <v>146</v>
      </c>
      <c r="AE34" s="20" t="s">
        <v>132</v>
      </c>
    </row>
    <row r="35" customFormat="false" ht="15" hidden="false" customHeight="false" outlineLevel="0" collapsed="false">
      <c r="A35" s="20" t="s">
        <v>145</v>
      </c>
      <c r="B35" s="20" t="s">
        <v>60</v>
      </c>
      <c r="C35" s="20" t="s">
        <v>117</v>
      </c>
      <c r="D35" s="20" t="s">
        <v>118</v>
      </c>
      <c r="E35" s="20" t="s">
        <v>119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120</v>
      </c>
      <c r="W35" s="20" t="s">
        <v>92</v>
      </c>
      <c r="X35" s="20"/>
      <c r="Y35" s="20" t="s">
        <v>93</v>
      </c>
      <c r="Z35" s="20" t="s">
        <v>121</v>
      </c>
      <c r="AA35" s="20" t="s">
        <v>122</v>
      </c>
      <c r="AB35" s="20" t="s">
        <v>123</v>
      </c>
      <c r="AC35" s="20" t="s">
        <v>124</v>
      </c>
      <c r="AD35" s="20" t="s">
        <v>146</v>
      </c>
      <c r="AE35" s="20" t="s">
        <v>133</v>
      </c>
    </row>
    <row r="36" customFormat="false" ht="15" hidden="false" customHeight="false" outlineLevel="0" collapsed="false">
      <c r="A36" s="20" t="s">
        <v>145</v>
      </c>
      <c r="B36" s="20" t="s">
        <v>134</v>
      </c>
      <c r="C36" s="20" t="s">
        <v>117</v>
      </c>
      <c r="D36" s="20" t="s">
        <v>118</v>
      </c>
      <c r="E36" s="20" t="s">
        <v>119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120</v>
      </c>
      <c r="W36" s="20" t="s">
        <v>92</v>
      </c>
      <c r="X36" s="20"/>
      <c r="Y36" s="20" t="s">
        <v>93</v>
      </c>
      <c r="Z36" s="20" t="s">
        <v>121</v>
      </c>
      <c r="AA36" s="20" t="s">
        <v>122</v>
      </c>
      <c r="AB36" s="20" t="s">
        <v>123</v>
      </c>
      <c r="AC36" s="20" t="s">
        <v>124</v>
      </c>
      <c r="AD36" s="20" t="s">
        <v>146</v>
      </c>
      <c r="AE36" s="20" t="s">
        <v>135</v>
      </c>
    </row>
    <row r="37" customFormat="false" ht="15" hidden="false" customHeight="false" outlineLevel="0" collapsed="false">
      <c r="A37" s="20" t="s">
        <v>145</v>
      </c>
      <c r="B37" s="20" t="s">
        <v>67</v>
      </c>
      <c r="C37" s="20" t="s">
        <v>117</v>
      </c>
      <c r="D37" s="20" t="s">
        <v>118</v>
      </c>
      <c r="E37" s="20" t="s">
        <v>119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120</v>
      </c>
      <c r="W37" s="20" t="s">
        <v>92</v>
      </c>
      <c r="X37" s="20"/>
      <c r="Y37" s="20" t="s">
        <v>93</v>
      </c>
      <c r="Z37" s="20" t="s">
        <v>121</v>
      </c>
      <c r="AA37" s="20" t="s">
        <v>122</v>
      </c>
      <c r="AB37" s="20" t="s">
        <v>123</v>
      </c>
      <c r="AC37" s="20" t="s">
        <v>124</v>
      </c>
      <c r="AD37" s="20" t="s">
        <v>146</v>
      </c>
      <c r="AE37" s="20" t="s">
        <v>136</v>
      </c>
    </row>
    <row r="38" customFormat="false" ht="15" hidden="false" customHeight="false" outlineLevel="0" collapsed="false">
      <c r="A38" s="20" t="s">
        <v>145</v>
      </c>
      <c r="B38" s="20" t="s">
        <v>64</v>
      </c>
      <c r="C38" s="20" t="s">
        <v>117</v>
      </c>
      <c r="D38" s="20" t="s">
        <v>118</v>
      </c>
      <c r="E38" s="20" t="s">
        <v>119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120</v>
      </c>
      <c r="W38" s="20" t="s">
        <v>92</v>
      </c>
      <c r="X38" s="20"/>
      <c r="Y38" s="20" t="s">
        <v>93</v>
      </c>
      <c r="Z38" s="20" t="s">
        <v>121</v>
      </c>
      <c r="AA38" s="20" t="s">
        <v>122</v>
      </c>
      <c r="AB38" s="20" t="s">
        <v>123</v>
      </c>
      <c r="AC38" s="20" t="s">
        <v>124</v>
      </c>
      <c r="AD38" s="20" t="s">
        <v>146</v>
      </c>
      <c r="AE38" s="20" t="s">
        <v>137</v>
      </c>
    </row>
    <row r="39" customFormat="false" ht="15" hidden="false" customHeight="false" outlineLevel="0" collapsed="false">
      <c r="A39" s="20" t="s">
        <v>145</v>
      </c>
      <c r="B39" s="20" t="s">
        <v>74</v>
      </c>
      <c r="C39" s="20" t="s">
        <v>117</v>
      </c>
      <c r="D39" s="20" t="s">
        <v>118</v>
      </c>
      <c r="E39" s="20" t="s">
        <v>119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120</v>
      </c>
      <c r="W39" s="20" t="s">
        <v>92</v>
      </c>
      <c r="X39" s="20"/>
      <c r="Y39" s="20" t="s">
        <v>93</v>
      </c>
      <c r="Z39" s="20" t="s">
        <v>121</v>
      </c>
      <c r="AA39" s="20" t="s">
        <v>122</v>
      </c>
      <c r="AB39" s="20" t="s">
        <v>123</v>
      </c>
      <c r="AC39" s="20" t="s">
        <v>124</v>
      </c>
      <c r="AD39" s="20" t="s">
        <v>146</v>
      </c>
      <c r="AE39" s="20" t="s">
        <v>138</v>
      </c>
    </row>
    <row r="40" customFormat="false" ht="15" hidden="false" customHeight="false" outlineLevel="0" collapsed="false">
      <c r="A40" s="20" t="s">
        <v>145</v>
      </c>
      <c r="B40" s="20" t="s">
        <v>71</v>
      </c>
      <c r="C40" s="20" t="s">
        <v>117</v>
      </c>
      <c r="D40" s="20" t="s">
        <v>118</v>
      </c>
      <c r="E40" s="20" t="s">
        <v>119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120</v>
      </c>
      <c r="W40" s="20" t="s">
        <v>92</v>
      </c>
      <c r="X40" s="20"/>
      <c r="Y40" s="20" t="s">
        <v>93</v>
      </c>
      <c r="Z40" s="20" t="s">
        <v>121</v>
      </c>
      <c r="AA40" s="20" t="s">
        <v>122</v>
      </c>
      <c r="AB40" s="20" t="s">
        <v>123</v>
      </c>
      <c r="AC40" s="20" t="s">
        <v>124</v>
      </c>
      <c r="AD40" s="20" t="s">
        <v>146</v>
      </c>
      <c r="AE40" s="20" t="s">
        <v>139</v>
      </c>
    </row>
    <row r="41" customFormat="false" ht="15" hidden="false" customHeight="false" outlineLevel="0" collapsed="false">
      <c r="A41" s="20" t="s">
        <v>145</v>
      </c>
      <c r="B41" s="20" t="s">
        <v>78</v>
      </c>
      <c r="C41" s="20" t="s">
        <v>117</v>
      </c>
      <c r="D41" s="20" t="s">
        <v>118</v>
      </c>
      <c r="E41" s="20" t="s">
        <v>119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120</v>
      </c>
      <c r="W41" s="20" t="s">
        <v>92</v>
      </c>
      <c r="X41" s="20"/>
      <c r="Y41" s="20" t="s">
        <v>93</v>
      </c>
      <c r="Z41" s="20" t="s">
        <v>121</v>
      </c>
      <c r="AA41" s="20" t="s">
        <v>122</v>
      </c>
      <c r="AB41" s="20" t="s">
        <v>123</v>
      </c>
      <c r="AC41" s="20" t="s">
        <v>124</v>
      </c>
      <c r="AD41" s="20" t="s">
        <v>146</v>
      </c>
      <c r="AE41" s="20" t="s">
        <v>140</v>
      </c>
    </row>
    <row r="42" customFormat="false" ht="15" hidden="false" customHeight="false" outlineLevel="0" collapsed="false">
      <c r="A42" s="20" t="s">
        <v>145</v>
      </c>
      <c r="B42" s="20" t="s">
        <v>141</v>
      </c>
      <c r="C42" s="20" t="s">
        <v>117</v>
      </c>
      <c r="D42" s="20" t="s">
        <v>118</v>
      </c>
      <c r="E42" s="20" t="s">
        <v>119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120</v>
      </c>
      <c r="W42" s="20" t="s">
        <v>92</v>
      </c>
      <c r="X42" s="20"/>
      <c r="Y42" s="20" t="s">
        <v>93</v>
      </c>
      <c r="Z42" s="20" t="s">
        <v>121</v>
      </c>
      <c r="AA42" s="20" t="s">
        <v>122</v>
      </c>
      <c r="AB42" s="20" t="s">
        <v>123</v>
      </c>
      <c r="AC42" s="20" t="s">
        <v>124</v>
      </c>
      <c r="AD42" s="20" t="s">
        <v>146</v>
      </c>
      <c r="AE42" s="20" t="s">
        <v>142</v>
      </c>
    </row>
    <row r="43" customFormat="false" ht="15" hidden="false" customHeight="false" outlineLevel="0" collapsed="false">
      <c r="A43" s="20" t="s">
        <v>147</v>
      </c>
      <c r="B43" s="20" t="s">
        <v>116</v>
      </c>
      <c r="C43" s="20" t="s">
        <v>117</v>
      </c>
      <c r="D43" s="20" t="s">
        <v>118</v>
      </c>
      <c r="E43" s="20" t="s">
        <v>119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120</v>
      </c>
      <c r="W43" s="20" t="s">
        <v>92</v>
      </c>
      <c r="X43" s="20"/>
      <c r="Y43" s="20" t="s">
        <v>93</v>
      </c>
      <c r="Z43" s="20" t="s">
        <v>121</v>
      </c>
      <c r="AA43" s="20" t="s">
        <v>122</v>
      </c>
      <c r="AB43" s="20" t="s">
        <v>123</v>
      </c>
      <c r="AC43" s="20" t="s">
        <v>124</v>
      </c>
      <c r="AD43" s="20" t="s">
        <v>148</v>
      </c>
      <c r="AE43" s="20" t="s">
        <v>126</v>
      </c>
    </row>
    <row r="44" customFormat="false" ht="15" hidden="false" customHeight="false" outlineLevel="0" collapsed="false">
      <c r="A44" s="20" t="s">
        <v>147</v>
      </c>
      <c r="B44" s="20" t="s">
        <v>127</v>
      </c>
      <c r="C44" s="20" t="s">
        <v>117</v>
      </c>
      <c r="D44" s="20" t="s">
        <v>118</v>
      </c>
      <c r="E44" s="20" t="s">
        <v>119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120</v>
      </c>
      <c r="W44" s="20" t="s">
        <v>92</v>
      </c>
      <c r="X44" s="20"/>
      <c r="Y44" s="20" t="s">
        <v>93</v>
      </c>
      <c r="Z44" s="20" t="s">
        <v>121</v>
      </c>
      <c r="AA44" s="20" t="s">
        <v>122</v>
      </c>
      <c r="AB44" s="20" t="s">
        <v>123</v>
      </c>
      <c r="AC44" s="20" t="s">
        <v>124</v>
      </c>
      <c r="AD44" s="20" t="s">
        <v>148</v>
      </c>
      <c r="AE44" s="20" t="s">
        <v>128</v>
      </c>
    </row>
    <row r="45" customFormat="false" ht="15" hidden="false" customHeight="false" outlineLevel="0" collapsed="false">
      <c r="A45" s="20" t="s">
        <v>147</v>
      </c>
      <c r="B45" s="20" t="s">
        <v>129</v>
      </c>
      <c r="C45" s="20" t="s">
        <v>117</v>
      </c>
      <c r="D45" s="20" t="s">
        <v>118</v>
      </c>
      <c r="E45" s="20" t="s">
        <v>119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120</v>
      </c>
      <c r="W45" s="20" t="s">
        <v>92</v>
      </c>
      <c r="X45" s="20"/>
      <c r="Y45" s="20" t="s">
        <v>93</v>
      </c>
      <c r="Z45" s="20" t="s">
        <v>121</v>
      </c>
      <c r="AA45" s="20" t="s">
        <v>122</v>
      </c>
      <c r="AB45" s="20" t="s">
        <v>123</v>
      </c>
      <c r="AC45" s="20" t="s">
        <v>124</v>
      </c>
      <c r="AD45" s="20" t="s">
        <v>148</v>
      </c>
      <c r="AE45" s="20" t="s">
        <v>130</v>
      </c>
    </row>
    <row r="46" customFormat="false" ht="15" hidden="false" customHeight="false" outlineLevel="0" collapsed="false">
      <c r="A46" s="20" t="s">
        <v>147</v>
      </c>
      <c r="B46" s="20" t="s">
        <v>131</v>
      </c>
      <c r="C46" s="20" t="s">
        <v>117</v>
      </c>
      <c r="D46" s="20" t="s">
        <v>118</v>
      </c>
      <c r="E46" s="20" t="s">
        <v>119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120</v>
      </c>
      <c r="W46" s="20" t="s">
        <v>92</v>
      </c>
      <c r="X46" s="20"/>
      <c r="Y46" s="20" t="s">
        <v>93</v>
      </c>
      <c r="Z46" s="20" t="s">
        <v>121</v>
      </c>
      <c r="AA46" s="20" t="s">
        <v>122</v>
      </c>
      <c r="AB46" s="20" t="s">
        <v>123</v>
      </c>
      <c r="AC46" s="20" t="s">
        <v>124</v>
      </c>
      <c r="AD46" s="20" t="s">
        <v>148</v>
      </c>
      <c r="AE46" s="20" t="s">
        <v>132</v>
      </c>
    </row>
    <row r="47" customFormat="false" ht="15" hidden="false" customHeight="false" outlineLevel="0" collapsed="false">
      <c r="A47" s="20" t="s">
        <v>147</v>
      </c>
      <c r="B47" s="20" t="s">
        <v>60</v>
      </c>
      <c r="C47" s="20" t="s">
        <v>117</v>
      </c>
      <c r="D47" s="20" t="s">
        <v>118</v>
      </c>
      <c r="E47" s="20" t="s">
        <v>119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120</v>
      </c>
      <c r="W47" s="20" t="s">
        <v>92</v>
      </c>
      <c r="X47" s="20"/>
      <c r="Y47" s="20" t="s">
        <v>93</v>
      </c>
      <c r="Z47" s="20" t="s">
        <v>121</v>
      </c>
      <c r="AA47" s="20" t="s">
        <v>122</v>
      </c>
      <c r="AB47" s="20" t="s">
        <v>123</v>
      </c>
      <c r="AC47" s="20" t="s">
        <v>124</v>
      </c>
      <c r="AD47" s="20" t="s">
        <v>148</v>
      </c>
      <c r="AE47" s="20" t="s">
        <v>133</v>
      </c>
    </row>
    <row r="48" customFormat="false" ht="15" hidden="false" customHeight="false" outlineLevel="0" collapsed="false">
      <c r="A48" s="20" t="s">
        <v>147</v>
      </c>
      <c r="B48" s="20" t="s">
        <v>134</v>
      </c>
      <c r="C48" s="20" t="s">
        <v>117</v>
      </c>
      <c r="D48" s="20" t="s">
        <v>118</v>
      </c>
      <c r="E48" s="20" t="s">
        <v>119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120</v>
      </c>
      <c r="W48" s="20" t="s">
        <v>92</v>
      </c>
      <c r="X48" s="20"/>
      <c r="Y48" s="20" t="s">
        <v>93</v>
      </c>
      <c r="Z48" s="20" t="s">
        <v>121</v>
      </c>
      <c r="AA48" s="20" t="s">
        <v>122</v>
      </c>
      <c r="AB48" s="20" t="s">
        <v>123</v>
      </c>
      <c r="AC48" s="20" t="s">
        <v>124</v>
      </c>
      <c r="AD48" s="20" t="s">
        <v>148</v>
      </c>
      <c r="AE48" s="20" t="s">
        <v>135</v>
      </c>
    </row>
    <row r="49" customFormat="false" ht="15" hidden="false" customHeight="false" outlineLevel="0" collapsed="false">
      <c r="A49" s="20" t="s">
        <v>147</v>
      </c>
      <c r="B49" s="20" t="s">
        <v>67</v>
      </c>
      <c r="C49" s="20" t="s">
        <v>117</v>
      </c>
      <c r="D49" s="20" t="s">
        <v>118</v>
      </c>
      <c r="E49" s="20" t="s">
        <v>119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120</v>
      </c>
      <c r="W49" s="20" t="s">
        <v>92</v>
      </c>
      <c r="X49" s="20"/>
      <c r="Y49" s="20" t="s">
        <v>93</v>
      </c>
      <c r="Z49" s="20" t="s">
        <v>121</v>
      </c>
      <c r="AA49" s="20" t="s">
        <v>122</v>
      </c>
      <c r="AB49" s="20" t="s">
        <v>123</v>
      </c>
      <c r="AC49" s="20" t="s">
        <v>124</v>
      </c>
      <c r="AD49" s="20" t="s">
        <v>148</v>
      </c>
      <c r="AE49" s="20" t="s">
        <v>136</v>
      </c>
    </row>
    <row r="50" customFormat="false" ht="15" hidden="false" customHeight="false" outlineLevel="0" collapsed="false">
      <c r="A50" s="20" t="s">
        <v>147</v>
      </c>
      <c r="B50" s="20" t="s">
        <v>64</v>
      </c>
      <c r="C50" s="20" t="s">
        <v>117</v>
      </c>
      <c r="D50" s="20" t="s">
        <v>118</v>
      </c>
      <c r="E50" s="20" t="s">
        <v>119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120</v>
      </c>
      <c r="W50" s="20" t="s">
        <v>92</v>
      </c>
      <c r="X50" s="20"/>
      <c r="Y50" s="20" t="s">
        <v>93</v>
      </c>
      <c r="Z50" s="20" t="s">
        <v>121</v>
      </c>
      <c r="AA50" s="20" t="s">
        <v>122</v>
      </c>
      <c r="AB50" s="20" t="s">
        <v>123</v>
      </c>
      <c r="AC50" s="20" t="s">
        <v>124</v>
      </c>
      <c r="AD50" s="20" t="s">
        <v>148</v>
      </c>
      <c r="AE50" s="20" t="s">
        <v>137</v>
      </c>
    </row>
    <row r="51" customFormat="false" ht="15" hidden="false" customHeight="false" outlineLevel="0" collapsed="false">
      <c r="A51" s="20" t="s">
        <v>147</v>
      </c>
      <c r="B51" s="20" t="s">
        <v>74</v>
      </c>
      <c r="C51" s="20" t="s">
        <v>117</v>
      </c>
      <c r="D51" s="20" t="s">
        <v>118</v>
      </c>
      <c r="E51" s="20" t="s">
        <v>119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120</v>
      </c>
      <c r="W51" s="20" t="s">
        <v>92</v>
      </c>
      <c r="X51" s="20"/>
      <c r="Y51" s="20" t="s">
        <v>93</v>
      </c>
      <c r="Z51" s="20" t="s">
        <v>121</v>
      </c>
      <c r="AA51" s="20" t="s">
        <v>122</v>
      </c>
      <c r="AB51" s="20" t="s">
        <v>123</v>
      </c>
      <c r="AC51" s="20" t="s">
        <v>124</v>
      </c>
      <c r="AD51" s="20" t="s">
        <v>148</v>
      </c>
      <c r="AE51" s="20" t="s">
        <v>138</v>
      </c>
    </row>
    <row r="52" customFormat="false" ht="15" hidden="false" customHeight="false" outlineLevel="0" collapsed="false">
      <c r="A52" s="20" t="s">
        <v>147</v>
      </c>
      <c r="B52" s="20" t="s">
        <v>71</v>
      </c>
      <c r="C52" s="20" t="s">
        <v>117</v>
      </c>
      <c r="D52" s="20" t="s">
        <v>118</v>
      </c>
      <c r="E52" s="20" t="s">
        <v>119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120</v>
      </c>
      <c r="W52" s="20" t="s">
        <v>92</v>
      </c>
      <c r="X52" s="20"/>
      <c r="Y52" s="20" t="s">
        <v>93</v>
      </c>
      <c r="Z52" s="20" t="s">
        <v>121</v>
      </c>
      <c r="AA52" s="20" t="s">
        <v>122</v>
      </c>
      <c r="AB52" s="20" t="s">
        <v>123</v>
      </c>
      <c r="AC52" s="20" t="s">
        <v>124</v>
      </c>
      <c r="AD52" s="20" t="s">
        <v>148</v>
      </c>
      <c r="AE52" s="20" t="s">
        <v>139</v>
      </c>
    </row>
    <row r="53" customFormat="false" ht="15" hidden="false" customHeight="false" outlineLevel="0" collapsed="false">
      <c r="A53" s="20" t="s">
        <v>147</v>
      </c>
      <c r="B53" s="20" t="s">
        <v>78</v>
      </c>
      <c r="C53" s="20" t="s">
        <v>117</v>
      </c>
      <c r="D53" s="20" t="s">
        <v>118</v>
      </c>
      <c r="E53" s="20" t="s">
        <v>119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120</v>
      </c>
      <c r="W53" s="20" t="s">
        <v>92</v>
      </c>
      <c r="X53" s="20"/>
      <c r="Y53" s="20" t="s">
        <v>93</v>
      </c>
      <c r="Z53" s="20" t="s">
        <v>121</v>
      </c>
      <c r="AA53" s="20" t="s">
        <v>122</v>
      </c>
      <c r="AB53" s="20" t="s">
        <v>123</v>
      </c>
      <c r="AC53" s="20" t="s">
        <v>124</v>
      </c>
      <c r="AD53" s="20" t="s">
        <v>148</v>
      </c>
      <c r="AE53" s="20" t="s">
        <v>140</v>
      </c>
    </row>
    <row r="54" customFormat="false" ht="15" hidden="false" customHeight="false" outlineLevel="0" collapsed="false">
      <c r="A54" s="20" t="s">
        <v>147</v>
      </c>
      <c r="B54" s="20" t="s">
        <v>141</v>
      </c>
      <c r="C54" s="20" t="s">
        <v>117</v>
      </c>
      <c r="D54" s="20" t="s">
        <v>118</v>
      </c>
      <c r="E54" s="20" t="s">
        <v>119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120</v>
      </c>
      <c r="W54" s="20" t="s">
        <v>92</v>
      </c>
      <c r="X54" s="20"/>
      <c r="Y54" s="20" t="s">
        <v>93</v>
      </c>
      <c r="Z54" s="20" t="s">
        <v>121</v>
      </c>
      <c r="AA54" s="20" t="s">
        <v>122</v>
      </c>
      <c r="AB54" s="20" t="s">
        <v>123</v>
      </c>
      <c r="AC54" s="20" t="s">
        <v>124</v>
      </c>
      <c r="AD54" s="20" t="s">
        <v>148</v>
      </c>
      <c r="AE54" s="20" t="s">
        <v>142</v>
      </c>
    </row>
    <row r="55" customFormat="false" ht="15" hidden="false" customHeight="false" outlineLevel="0" collapsed="false">
      <c r="A55" s="20" t="s">
        <v>149</v>
      </c>
      <c r="B55" s="20" t="s">
        <v>116</v>
      </c>
      <c r="C55" s="20" t="s">
        <v>117</v>
      </c>
      <c r="D55" s="20" t="s">
        <v>118</v>
      </c>
      <c r="E55" s="20" t="s">
        <v>119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120</v>
      </c>
      <c r="W55" s="20" t="s">
        <v>92</v>
      </c>
      <c r="X55" s="20"/>
      <c r="Y55" s="20" t="s">
        <v>93</v>
      </c>
      <c r="Z55" s="20" t="s">
        <v>121</v>
      </c>
      <c r="AA55" s="20" t="s">
        <v>122</v>
      </c>
      <c r="AB55" s="20" t="s">
        <v>123</v>
      </c>
      <c r="AC55" s="20" t="s">
        <v>124</v>
      </c>
      <c r="AD55" s="20" t="s">
        <v>150</v>
      </c>
      <c r="AE55" s="20" t="s">
        <v>126</v>
      </c>
    </row>
    <row r="56" customFormat="false" ht="15" hidden="false" customHeight="false" outlineLevel="0" collapsed="false">
      <c r="A56" s="20" t="s">
        <v>149</v>
      </c>
      <c r="B56" s="20" t="s">
        <v>127</v>
      </c>
      <c r="C56" s="20" t="s">
        <v>117</v>
      </c>
      <c r="D56" s="20" t="s">
        <v>118</v>
      </c>
      <c r="E56" s="20" t="s">
        <v>119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120</v>
      </c>
      <c r="W56" s="20" t="s">
        <v>92</v>
      </c>
      <c r="X56" s="20"/>
      <c r="Y56" s="20" t="s">
        <v>93</v>
      </c>
      <c r="Z56" s="20" t="s">
        <v>121</v>
      </c>
      <c r="AA56" s="20" t="s">
        <v>122</v>
      </c>
      <c r="AB56" s="20" t="s">
        <v>123</v>
      </c>
      <c r="AC56" s="20" t="s">
        <v>124</v>
      </c>
      <c r="AD56" s="20" t="s">
        <v>150</v>
      </c>
      <c r="AE56" s="20" t="s">
        <v>128</v>
      </c>
    </row>
    <row r="57" customFormat="false" ht="15" hidden="false" customHeight="false" outlineLevel="0" collapsed="false">
      <c r="A57" s="20" t="s">
        <v>149</v>
      </c>
      <c r="B57" s="20" t="s">
        <v>129</v>
      </c>
      <c r="C57" s="20" t="s">
        <v>117</v>
      </c>
      <c r="D57" s="20" t="s">
        <v>118</v>
      </c>
      <c r="E57" s="20" t="s">
        <v>119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120</v>
      </c>
      <c r="W57" s="20" t="s">
        <v>92</v>
      </c>
      <c r="X57" s="20"/>
      <c r="Y57" s="20" t="s">
        <v>93</v>
      </c>
      <c r="Z57" s="20" t="s">
        <v>121</v>
      </c>
      <c r="AA57" s="20" t="s">
        <v>122</v>
      </c>
      <c r="AB57" s="20" t="s">
        <v>123</v>
      </c>
      <c r="AC57" s="20" t="s">
        <v>124</v>
      </c>
      <c r="AD57" s="20" t="s">
        <v>150</v>
      </c>
      <c r="AE57" s="20" t="s">
        <v>130</v>
      </c>
    </row>
    <row r="58" customFormat="false" ht="15" hidden="false" customHeight="false" outlineLevel="0" collapsed="false">
      <c r="A58" s="20" t="s">
        <v>149</v>
      </c>
      <c r="B58" s="20" t="s">
        <v>131</v>
      </c>
      <c r="C58" s="20" t="s">
        <v>117</v>
      </c>
      <c r="D58" s="20" t="s">
        <v>118</v>
      </c>
      <c r="E58" s="20" t="s">
        <v>119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120</v>
      </c>
      <c r="W58" s="20" t="s">
        <v>92</v>
      </c>
      <c r="X58" s="20"/>
      <c r="Y58" s="20" t="s">
        <v>93</v>
      </c>
      <c r="Z58" s="20" t="s">
        <v>121</v>
      </c>
      <c r="AA58" s="20" t="s">
        <v>122</v>
      </c>
      <c r="AB58" s="20" t="s">
        <v>123</v>
      </c>
      <c r="AC58" s="20" t="s">
        <v>124</v>
      </c>
      <c r="AD58" s="20" t="s">
        <v>150</v>
      </c>
      <c r="AE58" s="20" t="s">
        <v>132</v>
      </c>
    </row>
    <row r="59" customFormat="false" ht="15" hidden="false" customHeight="false" outlineLevel="0" collapsed="false">
      <c r="A59" s="20" t="s">
        <v>149</v>
      </c>
      <c r="B59" s="20" t="s">
        <v>60</v>
      </c>
      <c r="C59" s="20" t="s">
        <v>117</v>
      </c>
      <c r="D59" s="20" t="s">
        <v>118</v>
      </c>
      <c r="E59" s="20" t="s">
        <v>119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120</v>
      </c>
      <c r="W59" s="20" t="s">
        <v>92</v>
      </c>
      <c r="X59" s="20"/>
      <c r="Y59" s="20" t="s">
        <v>93</v>
      </c>
      <c r="Z59" s="20" t="s">
        <v>121</v>
      </c>
      <c r="AA59" s="20" t="s">
        <v>122</v>
      </c>
      <c r="AB59" s="20" t="s">
        <v>123</v>
      </c>
      <c r="AC59" s="20" t="s">
        <v>124</v>
      </c>
      <c r="AD59" s="20" t="s">
        <v>150</v>
      </c>
      <c r="AE59" s="20" t="s">
        <v>133</v>
      </c>
    </row>
    <row r="60" customFormat="false" ht="15" hidden="false" customHeight="false" outlineLevel="0" collapsed="false">
      <c r="A60" s="20" t="s">
        <v>149</v>
      </c>
      <c r="B60" s="20" t="s">
        <v>134</v>
      </c>
      <c r="C60" s="20" t="s">
        <v>117</v>
      </c>
      <c r="D60" s="20" t="s">
        <v>118</v>
      </c>
      <c r="E60" s="20" t="s">
        <v>119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120</v>
      </c>
      <c r="W60" s="20" t="s">
        <v>92</v>
      </c>
      <c r="X60" s="20"/>
      <c r="Y60" s="20" t="s">
        <v>93</v>
      </c>
      <c r="Z60" s="20" t="s">
        <v>121</v>
      </c>
      <c r="AA60" s="20" t="s">
        <v>122</v>
      </c>
      <c r="AB60" s="20" t="s">
        <v>123</v>
      </c>
      <c r="AC60" s="20" t="s">
        <v>124</v>
      </c>
      <c r="AD60" s="20" t="s">
        <v>150</v>
      </c>
      <c r="AE60" s="20" t="s">
        <v>135</v>
      </c>
    </row>
    <row r="61" customFormat="false" ht="15" hidden="false" customHeight="false" outlineLevel="0" collapsed="false">
      <c r="A61" s="20" t="s">
        <v>149</v>
      </c>
      <c r="B61" s="20" t="s">
        <v>67</v>
      </c>
      <c r="C61" s="20" t="s">
        <v>117</v>
      </c>
      <c r="D61" s="20" t="s">
        <v>118</v>
      </c>
      <c r="E61" s="20" t="s">
        <v>119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120</v>
      </c>
      <c r="W61" s="20" t="s">
        <v>92</v>
      </c>
      <c r="X61" s="20"/>
      <c r="Y61" s="20" t="s">
        <v>93</v>
      </c>
      <c r="Z61" s="20" t="s">
        <v>121</v>
      </c>
      <c r="AA61" s="20" t="s">
        <v>122</v>
      </c>
      <c r="AB61" s="20" t="s">
        <v>123</v>
      </c>
      <c r="AC61" s="20" t="s">
        <v>124</v>
      </c>
      <c r="AD61" s="20" t="s">
        <v>150</v>
      </c>
      <c r="AE61" s="20" t="s">
        <v>136</v>
      </c>
    </row>
    <row r="62" customFormat="false" ht="15" hidden="false" customHeight="false" outlineLevel="0" collapsed="false">
      <c r="A62" s="20" t="s">
        <v>149</v>
      </c>
      <c r="B62" s="20" t="s">
        <v>64</v>
      </c>
      <c r="C62" s="20" t="s">
        <v>117</v>
      </c>
      <c r="D62" s="20" t="s">
        <v>118</v>
      </c>
      <c r="E62" s="20" t="s">
        <v>119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120</v>
      </c>
      <c r="W62" s="20" t="s">
        <v>92</v>
      </c>
      <c r="X62" s="20"/>
      <c r="Y62" s="20" t="s">
        <v>93</v>
      </c>
      <c r="Z62" s="20" t="s">
        <v>121</v>
      </c>
      <c r="AA62" s="20" t="s">
        <v>122</v>
      </c>
      <c r="AB62" s="20" t="s">
        <v>123</v>
      </c>
      <c r="AC62" s="20" t="s">
        <v>124</v>
      </c>
      <c r="AD62" s="20" t="s">
        <v>150</v>
      </c>
      <c r="AE62" s="20" t="s">
        <v>137</v>
      </c>
    </row>
    <row r="63" customFormat="false" ht="15" hidden="false" customHeight="false" outlineLevel="0" collapsed="false">
      <c r="A63" s="20" t="s">
        <v>149</v>
      </c>
      <c r="B63" s="20" t="s">
        <v>74</v>
      </c>
      <c r="C63" s="20" t="s">
        <v>117</v>
      </c>
      <c r="D63" s="20" t="s">
        <v>118</v>
      </c>
      <c r="E63" s="20" t="s">
        <v>119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120</v>
      </c>
      <c r="W63" s="20" t="s">
        <v>92</v>
      </c>
      <c r="X63" s="20"/>
      <c r="Y63" s="20" t="s">
        <v>93</v>
      </c>
      <c r="Z63" s="20" t="s">
        <v>121</v>
      </c>
      <c r="AA63" s="20" t="s">
        <v>122</v>
      </c>
      <c r="AB63" s="20" t="s">
        <v>123</v>
      </c>
      <c r="AC63" s="20" t="s">
        <v>124</v>
      </c>
      <c r="AD63" s="20" t="s">
        <v>150</v>
      </c>
      <c r="AE63" s="20" t="s">
        <v>138</v>
      </c>
    </row>
    <row r="64" customFormat="false" ht="15" hidden="false" customHeight="false" outlineLevel="0" collapsed="false">
      <c r="A64" s="20" t="s">
        <v>149</v>
      </c>
      <c r="B64" s="20" t="s">
        <v>71</v>
      </c>
      <c r="C64" s="20" t="s">
        <v>117</v>
      </c>
      <c r="D64" s="20" t="s">
        <v>118</v>
      </c>
      <c r="E64" s="20" t="s">
        <v>119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120</v>
      </c>
      <c r="W64" s="20" t="s">
        <v>92</v>
      </c>
      <c r="X64" s="20"/>
      <c r="Y64" s="20" t="s">
        <v>93</v>
      </c>
      <c r="Z64" s="20" t="s">
        <v>121</v>
      </c>
      <c r="AA64" s="20" t="s">
        <v>122</v>
      </c>
      <c r="AB64" s="20" t="s">
        <v>123</v>
      </c>
      <c r="AC64" s="20" t="s">
        <v>124</v>
      </c>
      <c r="AD64" s="20" t="s">
        <v>150</v>
      </c>
      <c r="AE64" s="20" t="s">
        <v>139</v>
      </c>
    </row>
    <row r="65" customFormat="false" ht="15" hidden="false" customHeight="false" outlineLevel="0" collapsed="false">
      <c r="A65" s="20" t="s">
        <v>149</v>
      </c>
      <c r="B65" s="20" t="s">
        <v>78</v>
      </c>
      <c r="C65" s="20" t="s">
        <v>117</v>
      </c>
      <c r="D65" s="20" t="s">
        <v>118</v>
      </c>
      <c r="E65" s="20" t="s">
        <v>119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120</v>
      </c>
      <c r="W65" s="20" t="s">
        <v>92</v>
      </c>
      <c r="X65" s="20"/>
      <c r="Y65" s="20" t="s">
        <v>93</v>
      </c>
      <c r="Z65" s="20" t="s">
        <v>121</v>
      </c>
      <c r="AA65" s="20" t="s">
        <v>122</v>
      </c>
      <c r="AB65" s="20" t="s">
        <v>123</v>
      </c>
      <c r="AC65" s="20" t="s">
        <v>124</v>
      </c>
      <c r="AD65" s="20" t="s">
        <v>150</v>
      </c>
      <c r="AE65" s="20" t="s">
        <v>140</v>
      </c>
    </row>
    <row r="66" customFormat="false" ht="15" hidden="false" customHeight="false" outlineLevel="0" collapsed="false">
      <c r="A66" s="20" t="s">
        <v>149</v>
      </c>
      <c r="B66" s="20" t="s">
        <v>141</v>
      </c>
      <c r="C66" s="20" t="s">
        <v>117</v>
      </c>
      <c r="D66" s="20" t="s">
        <v>118</v>
      </c>
      <c r="E66" s="20" t="s">
        <v>119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120</v>
      </c>
      <c r="W66" s="20" t="s">
        <v>92</v>
      </c>
      <c r="X66" s="20"/>
      <c r="Y66" s="20" t="s">
        <v>93</v>
      </c>
      <c r="Z66" s="20" t="s">
        <v>121</v>
      </c>
      <c r="AA66" s="20" t="s">
        <v>122</v>
      </c>
      <c r="AB66" s="20" t="s">
        <v>123</v>
      </c>
      <c r="AC66" s="20" t="s">
        <v>124</v>
      </c>
      <c r="AD66" s="20" t="s">
        <v>150</v>
      </c>
      <c r="AE66" s="20" t="s">
        <v>142</v>
      </c>
    </row>
    <row r="67" customFormat="false" ht="15" hidden="false" customHeight="false" outlineLevel="0" collapsed="false">
      <c r="A67" s="20" t="s">
        <v>151</v>
      </c>
      <c r="B67" s="20" t="s">
        <v>116</v>
      </c>
      <c r="C67" s="20" t="s">
        <v>117</v>
      </c>
      <c r="D67" s="20" t="s">
        <v>118</v>
      </c>
      <c r="E67" s="20" t="s">
        <v>119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120</v>
      </c>
      <c r="W67" s="20" t="s">
        <v>92</v>
      </c>
      <c r="X67" s="20"/>
      <c r="Y67" s="20" t="s">
        <v>93</v>
      </c>
      <c r="Z67" s="20" t="s">
        <v>121</v>
      </c>
      <c r="AA67" s="20" t="s">
        <v>122</v>
      </c>
      <c r="AB67" s="20" t="s">
        <v>123</v>
      </c>
      <c r="AC67" s="20" t="s">
        <v>124</v>
      </c>
      <c r="AD67" s="20" t="s">
        <v>152</v>
      </c>
      <c r="AE67" s="20" t="s">
        <v>126</v>
      </c>
    </row>
    <row r="68" customFormat="false" ht="15" hidden="false" customHeight="false" outlineLevel="0" collapsed="false">
      <c r="A68" s="20" t="s">
        <v>151</v>
      </c>
      <c r="B68" s="20" t="s">
        <v>127</v>
      </c>
      <c r="C68" s="20" t="s">
        <v>117</v>
      </c>
      <c r="D68" s="20" t="s">
        <v>118</v>
      </c>
      <c r="E68" s="20" t="s">
        <v>119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120</v>
      </c>
      <c r="W68" s="20" t="s">
        <v>92</v>
      </c>
      <c r="X68" s="20"/>
      <c r="Y68" s="20" t="s">
        <v>93</v>
      </c>
      <c r="Z68" s="20" t="s">
        <v>121</v>
      </c>
      <c r="AA68" s="20" t="s">
        <v>122</v>
      </c>
      <c r="AB68" s="20" t="s">
        <v>123</v>
      </c>
      <c r="AC68" s="20" t="s">
        <v>124</v>
      </c>
      <c r="AD68" s="20" t="s">
        <v>152</v>
      </c>
      <c r="AE68" s="20" t="s">
        <v>128</v>
      </c>
    </row>
    <row r="69" customFormat="false" ht="15" hidden="false" customHeight="false" outlineLevel="0" collapsed="false">
      <c r="A69" s="20" t="s">
        <v>151</v>
      </c>
      <c r="B69" s="20" t="s">
        <v>129</v>
      </c>
      <c r="C69" s="20" t="s">
        <v>117</v>
      </c>
      <c r="D69" s="20" t="s">
        <v>118</v>
      </c>
      <c r="E69" s="20" t="s">
        <v>119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120</v>
      </c>
      <c r="W69" s="20" t="s">
        <v>92</v>
      </c>
      <c r="X69" s="20"/>
      <c r="Y69" s="20" t="s">
        <v>93</v>
      </c>
      <c r="Z69" s="20" t="s">
        <v>121</v>
      </c>
      <c r="AA69" s="20" t="s">
        <v>122</v>
      </c>
      <c r="AB69" s="20" t="s">
        <v>123</v>
      </c>
      <c r="AC69" s="20" t="s">
        <v>124</v>
      </c>
      <c r="AD69" s="20" t="s">
        <v>152</v>
      </c>
      <c r="AE69" s="20" t="s">
        <v>130</v>
      </c>
    </row>
    <row r="70" customFormat="false" ht="15" hidden="false" customHeight="false" outlineLevel="0" collapsed="false">
      <c r="A70" s="20" t="s">
        <v>151</v>
      </c>
      <c r="B70" s="20" t="s">
        <v>131</v>
      </c>
      <c r="C70" s="20" t="s">
        <v>117</v>
      </c>
      <c r="D70" s="20" t="s">
        <v>118</v>
      </c>
      <c r="E70" s="20" t="s">
        <v>119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120</v>
      </c>
      <c r="W70" s="20" t="s">
        <v>92</v>
      </c>
      <c r="X70" s="20"/>
      <c r="Y70" s="20" t="s">
        <v>93</v>
      </c>
      <c r="Z70" s="20" t="s">
        <v>121</v>
      </c>
      <c r="AA70" s="20" t="s">
        <v>122</v>
      </c>
      <c r="AB70" s="20" t="s">
        <v>123</v>
      </c>
      <c r="AC70" s="20" t="s">
        <v>124</v>
      </c>
      <c r="AD70" s="20" t="s">
        <v>152</v>
      </c>
      <c r="AE70" s="20" t="s">
        <v>132</v>
      </c>
    </row>
    <row r="71" customFormat="false" ht="15" hidden="false" customHeight="false" outlineLevel="0" collapsed="false">
      <c r="A71" s="20" t="s">
        <v>151</v>
      </c>
      <c r="B71" s="20" t="s">
        <v>60</v>
      </c>
      <c r="C71" s="20" t="s">
        <v>117</v>
      </c>
      <c r="D71" s="20" t="s">
        <v>118</v>
      </c>
      <c r="E71" s="20" t="s">
        <v>119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120</v>
      </c>
      <c r="W71" s="20" t="s">
        <v>92</v>
      </c>
      <c r="X71" s="20"/>
      <c r="Y71" s="20" t="s">
        <v>93</v>
      </c>
      <c r="Z71" s="20" t="s">
        <v>121</v>
      </c>
      <c r="AA71" s="20" t="s">
        <v>122</v>
      </c>
      <c r="AB71" s="20" t="s">
        <v>123</v>
      </c>
      <c r="AC71" s="20" t="s">
        <v>124</v>
      </c>
      <c r="AD71" s="20" t="s">
        <v>152</v>
      </c>
      <c r="AE71" s="20" t="s">
        <v>133</v>
      </c>
    </row>
    <row r="72" customFormat="false" ht="15" hidden="false" customHeight="false" outlineLevel="0" collapsed="false">
      <c r="A72" s="20" t="s">
        <v>151</v>
      </c>
      <c r="B72" s="20" t="s">
        <v>134</v>
      </c>
      <c r="C72" s="20" t="s">
        <v>117</v>
      </c>
      <c r="D72" s="20" t="s">
        <v>118</v>
      </c>
      <c r="E72" s="20" t="s">
        <v>119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120</v>
      </c>
      <c r="W72" s="20" t="s">
        <v>92</v>
      </c>
      <c r="X72" s="20"/>
      <c r="Y72" s="20" t="s">
        <v>93</v>
      </c>
      <c r="Z72" s="20" t="s">
        <v>121</v>
      </c>
      <c r="AA72" s="20" t="s">
        <v>122</v>
      </c>
      <c r="AB72" s="20" t="s">
        <v>123</v>
      </c>
      <c r="AC72" s="20" t="s">
        <v>124</v>
      </c>
      <c r="AD72" s="20" t="s">
        <v>152</v>
      </c>
      <c r="AE72" s="20" t="s">
        <v>135</v>
      </c>
    </row>
    <row r="73" customFormat="false" ht="15" hidden="false" customHeight="false" outlineLevel="0" collapsed="false">
      <c r="A73" s="20" t="s">
        <v>151</v>
      </c>
      <c r="B73" s="20" t="s">
        <v>67</v>
      </c>
      <c r="C73" s="20" t="s">
        <v>117</v>
      </c>
      <c r="D73" s="20" t="s">
        <v>118</v>
      </c>
      <c r="E73" s="20" t="s">
        <v>119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120</v>
      </c>
      <c r="W73" s="20" t="s">
        <v>92</v>
      </c>
      <c r="X73" s="20"/>
      <c r="Y73" s="20" t="s">
        <v>93</v>
      </c>
      <c r="Z73" s="20" t="s">
        <v>121</v>
      </c>
      <c r="AA73" s="20" t="s">
        <v>122</v>
      </c>
      <c r="AB73" s="20" t="s">
        <v>123</v>
      </c>
      <c r="AC73" s="20" t="s">
        <v>124</v>
      </c>
      <c r="AD73" s="20" t="s">
        <v>152</v>
      </c>
      <c r="AE73" s="20" t="s">
        <v>136</v>
      </c>
    </row>
    <row r="74" customFormat="false" ht="15" hidden="false" customHeight="false" outlineLevel="0" collapsed="false">
      <c r="A74" s="20" t="s">
        <v>151</v>
      </c>
      <c r="B74" s="20" t="s">
        <v>64</v>
      </c>
      <c r="C74" s="20" t="s">
        <v>117</v>
      </c>
      <c r="D74" s="20" t="s">
        <v>118</v>
      </c>
      <c r="E74" s="20" t="s">
        <v>119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120</v>
      </c>
      <c r="W74" s="20" t="s">
        <v>92</v>
      </c>
      <c r="X74" s="20"/>
      <c r="Y74" s="20" t="s">
        <v>93</v>
      </c>
      <c r="Z74" s="20" t="s">
        <v>121</v>
      </c>
      <c r="AA74" s="20" t="s">
        <v>122</v>
      </c>
      <c r="AB74" s="20" t="s">
        <v>123</v>
      </c>
      <c r="AC74" s="20" t="s">
        <v>124</v>
      </c>
      <c r="AD74" s="20" t="s">
        <v>152</v>
      </c>
      <c r="AE74" s="20" t="s">
        <v>137</v>
      </c>
    </row>
    <row r="75" customFormat="false" ht="15" hidden="false" customHeight="false" outlineLevel="0" collapsed="false">
      <c r="A75" s="20" t="s">
        <v>151</v>
      </c>
      <c r="B75" s="20" t="s">
        <v>74</v>
      </c>
      <c r="C75" s="20" t="s">
        <v>117</v>
      </c>
      <c r="D75" s="20" t="s">
        <v>118</v>
      </c>
      <c r="E75" s="20" t="s">
        <v>119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120</v>
      </c>
      <c r="W75" s="20" t="s">
        <v>92</v>
      </c>
      <c r="X75" s="20"/>
      <c r="Y75" s="20" t="s">
        <v>93</v>
      </c>
      <c r="Z75" s="20" t="s">
        <v>121</v>
      </c>
      <c r="AA75" s="20" t="s">
        <v>122</v>
      </c>
      <c r="AB75" s="20" t="s">
        <v>123</v>
      </c>
      <c r="AC75" s="20" t="s">
        <v>124</v>
      </c>
      <c r="AD75" s="20" t="s">
        <v>152</v>
      </c>
      <c r="AE75" s="20" t="s">
        <v>138</v>
      </c>
    </row>
    <row r="76" customFormat="false" ht="15" hidden="false" customHeight="false" outlineLevel="0" collapsed="false">
      <c r="A76" s="20" t="s">
        <v>151</v>
      </c>
      <c r="B76" s="20" t="s">
        <v>71</v>
      </c>
      <c r="C76" s="20" t="s">
        <v>117</v>
      </c>
      <c r="D76" s="20" t="s">
        <v>118</v>
      </c>
      <c r="E76" s="20" t="s">
        <v>119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120</v>
      </c>
      <c r="W76" s="20" t="s">
        <v>92</v>
      </c>
      <c r="X76" s="20"/>
      <c r="Y76" s="20" t="s">
        <v>93</v>
      </c>
      <c r="Z76" s="20" t="s">
        <v>121</v>
      </c>
      <c r="AA76" s="20" t="s">
        <v>122</v>
      </c>
      <c r="AB76" s="20" t="s">
        <v>123</v>
      </c>
      <c r="AC76" s="20" t="s">
        <v>124</v>
      </c>
      <c r="AD76" s="20" t="s">
        <v>152</v>
      </c>
      <c r="AE76" s="20" t="s">
        <v>139</v>
      </c>
    </row>
    <row r="77" customFormat="false" ht="15" hidden="false" customHeight="false" outlineLevel="0" collapsed="false">
      <c r="A77" s="20" t="s">
        <v>151</v>
      </c>
      <c r="B77" s="20" t="s">
        <v>78</v>
      </c>
      <c r="C77" s="20" t="s">
        <v>117</v>
      </c>
      <c r="D77" s="20" t="s">
        <v>118</v>
      </c>
      <c r="E77" s="20" t="s">
        <v>119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120</v>
      </c>
      <c r="W77" s="20" t="s">
        <v>92</v>
      </c>
      <c r="X77" s="20"/>
      <c r="Y77" s="20" t="s">
        <v>93</v>
      </c>
      <c r="Z77" s="20" t="s">
        <v>121</v>
      </c>
      <c r="AA77" s="20" t="s">
        <v>122</v>
      </c>
      <c r="AB77" s="20" t="s">
        <v>123</v>
      </c>
      <c r="AC77" s="20" t="s">
        <v>124</v>
      </c>
      <c r="AD77" s="20" t="s">
        <v>152</v>
      </c>
      <c r="AE77" s="20" t="s">
        <v>140</v>
      </c>
    </row>
    <row r="78" customFormat="false" ht="15" hidden="false" customHeight="false" outlineLevel="0" collapsed="false">
      <c r="A78" s="20" t="s">
        <v>151</v>
      </c>
      <c r="B78" s="20" t="s">
        <v>141</v>
      </c>
      <c r="C78" s="20" t="s">
        <v>117</v>
      </c>
      <c r="D78" s="20" t="s">
        <v>118</v>
      </c>
      <c r="E78" s="20" t="s">
        <v>119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120</v>
      </c>
      <c r="W78" s="20" t="s">
        <v>92</v>
      </c>
      <c r="X78" s="20"/>
      <c r="Y78" s="20" t="s">
        <v>93</v>
      </c>
      <c r="Z78" s="20" t="s">
        <v>121</v>
      </c>
      <c r="AA78" s="20" t="s">
        <v>122</v>
      </c>
      <c r="AB78" s="20" t="s">
        <v>123</v>
      </c>
      <c r="AC78" s="20" t="s">
        <v>124</v>
      </c>
      <c r="AD78" s="20" t="s">
        <v>152</v>
      </c>
      <c r="AE78" s="20" t="s">
        <v>142</v>
      </c>
    </row>
    <row r="79" customFormat="false" ht="15" hidden="false" customHeight="false" outlineLevel="0" collapsed="false">
      <c r="A79" s="20" t="s">
        <v>153</v>
      </c>
      <c r="B79" s="20" t="s">
        <v>116</v>
      </c>
      <c r="C79" s="20" t="s">
        <v>117</v>
      </c>
      <c r="D79" s="20" t="s">
        <v>118</v>
      </c>
      <c r="E79" s="20" t="s">
        <v>119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120</v>
      </c>
      <c r="W79" s="20" t="s">
        <v>92</v>
      </c>
      <c r="X79" s="20"/>
      <c r="Y79" s="20" t="s">
        <v>93</v>
      </c>
      <c r="Z79" s="20" t="s">
        <v>121</v>
      </c>
      <c r="AA79" s="20" t="s">
        <v>122</v>
      </c>
      <c r="AB79" s="20" t="s">
        <v>123</v>
      </c>
      <c r="AC79" s="20" t="s">
        <v>124</v>
      </c>
      <c r="AD79" s="20" t="s">
        <v>154</v>
      </c>
      <c r="AE79" s="20" t="s">
        <v>126</v>
      </c>
    </row>
    <row r="80" customFormat="false" ht="15" hidden="false" customHeight="false" outlineLevel="0" collapsed="false">
      <c r="A80" s="20" t="s">
        <v>153</v>
      </c>
      <c r="B80" s="20" t="s">
        <v>127</v>
      </c>
      <c r="C80" s="20" t="s">
        <v>117</v>
      </c>
      <c r="D80" s="20" t="s">
        <v>118</v>
      </c>
      <c r="E80" s="20" t="s">
        <v>119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120</v>
      </c>
      <c r="W80" s="20" t="s">
        <v>92</v>
      </c>
      <c r="X80" s="20"/>
      <c r="Y80" s="20" t="s">
        <v>93</v>
      </c>
      <c r="Z80" s="20" t="s">
        <v>121</v>
      </c>
      <c r="AA80" s="20" t="s">
        <v>122</v>
      </c>
      <c r="AB80" s="20" t="s">
        <v>123</v>
      </c>
      <c r="AC80" s="20" t="s">
        <v>124</v>
      </c>
      <c r="AD80" s="20" t="s">
        <v>154</v>
      </c>
      <c r="AE80" s="20" t="s">
        <v>128</v>
      </c>
    </row>
    <row r="81" customFormat="false" ht="15" hidden="false" customHeight="false" outlineLevel="0" collapsed="false">
      <c r="A81" s="20" t="s">
        <v>153</v>
      </c>
      <c r="B81" s="20" t="s">
        <v>129</v>
      </c>
      <c r="C81" s="20" t="s">
        <v>117</v>
      </c>
      <c r="D81" s="20" t="s">
        <v>118</v>
      </c>
      <c r="E81" s="20" t="s">
        <v>119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120</v>
      </c>
      <c r="W81" s="20" t="s">
        <v>92</v>
      </c>
      <c r="X81" s="20"/>
      <c r="Y81" s="20" t="s">
        <v>93</v>
      </c>
      <c r="Z81" s="20" t="s">
        <v>121</v>
      </c>
      <c r="AA81" s="20" t="s">
        <v>122</v>
      </c>
      <c r="AB81" s="20" t="s">
        <v>123</v>
      </c>
      <c r="AC81" s="20" t="s">
        <v>124</v>
      </c>
      <c r="AD81" s="20" t="s">
        <v>154</v>
      </c>
      <c r="AE81" s="20" t="s">
        <v>130</v>
      </c>
    </row>
    <row r="82" customFormat="false" ht="15" hidden="false" customHeight="false" outlineLevel="0" collapsed="false">
      <c r="A82" s="20" t="s">
        <v>153</v>
      </c>
      <c r="B82" s="20" t="s">
        <v>131</v>
      </c>
      <c r="C82" s="20" t="s">
        <v>117</v>
      </c>
      <c r="D82" s="20" t="s">
        <v>118</v>
      </c>
      <c r="E82" s="20" t="s">
        <v>119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120</v>
      </c>
      <c r="W82" s="20" t="s">
        <v>92</v>
      </c>
      <c r="X82" s="20"/>
      <c r="Y82" s="20" t="s">
        <v>93</v>
      </c>
      <c r="Z82" s="20" t="s">
        <v>121</v>
      </c>
      <c r="AA82" s="20" t="s">
        <v>122</v>
      </c>
      <c r="AB82" s="20" t="s">
        <v>123</v>
      </c>
      <c r="AC82" s="20" t="s">
        <v>124</v>
      </c>
      <c r="AD82" s="20" t="s">
        <v>154</v>
      </c>
      <c r="AE82" s="20" t="s">
        <v>132</v>
      </c>
    </row>
    <row r="83" customFormat="false" ht="15" hidden="false" customHeight="false" outlineLevel="0" collapsed="false">
      <c r="A83" s="20" t="s">
        <v>153</v>
      </c>
      <c r="B83" s="20" t="s">
        <v>60</v>
      </c>
      <c r="C83" s="20" t="s">
        <v>117</v>
      </c>
      <c r="D83" s="20" t="s">
        <v>118</v>
      </c>
      <c r="E83" s="20" t="s">
        <v>119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120</v>
      </c>
      <c r="W83" s="20" t="s">
        <v>92</v>
      </c>
      <c r="X83" s="20"/>
      <c r="Y83" s="20" t="s">
        <v>93</v>
      </c>
      <c r="Z83" s="20" t="s">
        <v>121</v>
      </c>
      <c r="AA83" s="20" t="s">
        <v>122</v>
      </c>
      <c r="AB83" s="20" t="s">
        <v>123</v>
      </c>
      <c r="AC83" s="20" t="s">
        <v>124</v>
      </c>
      <c r="AD83" s="20" t="s">
        <v>154</v>
      </c>
      <c r="AE83" s="20" t="s">
        <v>133</v>
      </c>
    </row>
    <row r="84" customFormat="false" ht="15" hidden="false" customHeight="false" outlineLevel="0" collapsed="false">
      <c r="A84" s="20" t="s">
        <v>153</v>
      </c>
      <c r="B84" s="20" t="s">
        <v>134</v>
      </c>
      <c r="C84" s="20" t="s">
        <v>117</v>
      </c>
      <c r="D84" s="20" t="s">
        <v>118</v>
      </c>
      <c r="E84" s="20" t="s">
        <v>119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120</v>
      </c>
      <c r="W84" s="20" t="s">
        <v>92</v>
      </c>
      <c r="X84" s="20"/>
      <c r="Y84" s="20" t="s">
        <v>93</v>
      </c>
      <c r="Z84" s="20" t="s">
        <v>121</v>
      </c>
      <c r="AA84" s="20" t="s">
        <v>122</v>
      </c>
      <c r="AB84" s="20" t="s">
        <v>123</v>
      </c>
      <c r="AC84" s="20" t="s">
        <v>124</v>
      </c>
      <c r="AD84" s="20" t="s">
        <v>154</v>
      </c>
      <c r="AE84" s="20" t="s">
        <v>135</v>
      </c>
    </row>
    <row r="85" customFormat="false" ht="15" hidden="false" customHeight="false" outlineLevel="0" collapsed="false">
      <c r="A85" s="20" t="s">
        <v>153</v>
      </c>
      <c r="B85" s="20" t="s">
        <v>67</v>
      </c>
      <c r="C85" s="20" t="s">
        <v>117</v>
      </c>
      <c r="D85" s="20" t="s">
        <v>118</v>
      </c>
      <c r="E85" s="20" t="s">
        <v>119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120</v>
      </c>
      <c r="W85" s="20" t="s">
        <v>92</v>
      </c>
      <c r="X85" s="20"/>
      <c r="Y85" s="20" t="s">
        <v>93</v>
      </c>
      <c r="Z85" s="20" t="s">
        <v>121</v>
      </c>
      <c r="AA85" s="20" t="s">
        <v>122</v>
      </c>
      <c r="AB85" s="20" t="s">
        <v>123</v>
      </c>
      <c r="AC85" s="20" t="s">
        <v>124</v>
      </c>
      <c r="AD85" s="20" t="s">
        <v>154</v>
      </c>
      <c r="AE85" s="20" t="s">
        <v>136</v>
      </c>
    </row>
    <row r="86" customFormat="false" ht="15" hidden="false" customHeight="false" outlineLevel="0" collapsed="false">
      <c r="A86" s="20" t="s">
        <v>153</v>
      </c>
      <c r="B86" s="20" t="s">
        <v>64</v>
      </c>
      <c r="C86" s="20" t="s">
        <v>117</v>
      </c>
      <c r="D86" s="20" t="s">
        <v>118</v>
      </c>
      <c r="E86" s="20" t="s">
        <v>119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120</v>
      </c>
      <c r="W86" s="20" t="s">
        <v>92</v>
      </c>
      <c r="X86" s="20"/>
      <c r="Y86" s="20" t="s">
        <v>93</v>
      </c>
      <c r="Z86" s="20" t="s">
        <v>121</v>
      </c>
      <c r="AA86" s="20" t="s">
        <v>122</v>
      </c>
      <c r="AB86" s="20" t="s">
        <v>123</v>
      </c>
      <c r="AC86" s="20" t="s">
        <v>124</v>
      </c>
      <c r="AD86" s="20" t="s">
        <v>154</v>
      </c>
      <c r="AE86" s="20" t="s">
        <v>137</v>
      </c>
    </row>
    <row r="87" customFormat="false" ht="15" hidden="false" customHeight="false" outlineLevel="0" collapsed="false">
      <c r="A87" s="20" t="s">
        <v>153</v>
      </c>
      <c r="B87" s="20" t="s">
        <v>74</v>
      </c>
      <c r="C87" s="20" t="s">
        <v>117</v>
      </c>
      <c r="D87" s="20" t="s">
        <v>118</v>
      </c>
      <c r="E87" s="20" t="s">
        <v>119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120</v>
      </c>
      <c r="W87" s="20" t="s">
        <v>92</v>
      </c>
      <c r="X87" s="20"/>
      <c r="Y87" s="20" t="s">
        <v>93</v>
      </c>
      <c r="Z87" s="20" t="s">
        <v>121</v>
      </c>
      <c r="AA87" s="20" t="s">
        <v>122</v>
      </c>
      <c r="AB87" s="20" t="s">
        <v>123</v>
      </c>
      <c r="AC87" s="20" t="s">
        <v>124</v>
      </c>
      <c r="AD87" s="20" t="s">
        <v>154</v>
      </c>
      <c r="AE87" s="20" t="s">
        <v>138</v>
      </c>
    </row>
    <row r="88" customFormat="false" ht="15" hidden="false" customHeight="false" outlineLevel="0" collapsed="false">
      <c r="A88" s="20" t="s">
        <v>153</v>
      </c>
      <c r="B88" s="20" t="s">
        <v>71</v>
      </c>
      <c r="C88" s="20" t="s">
        <v>117</v>
      </c>
      <c r="D88" s="20" t="s">
        <v>118</v>
      </c>
      <c r="E88" s="20" t="s">
        <v>119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120</v>
      </c>
      <c r="W88" s="20" t="s">
        <v>92</v>
      </c>
      <c r="X88" s="20"/>
      <c r="Y88" s="20" t="s">
        <v>93</v>
      </c>
      <c r="Z88" s="20" t="s">
        <v>121</v>
      </c>
      <c r="AA88" s="20" t="s">
        <v>122</v>
      </c>
      <c r="AB88" s="20" t="s">
        <v>123</v>
      </c>
      <c r="AC88" s="20" t="s">
        <v>124</v>
      </c>
      <c r="AD88" s="20" t="s">
        <v>154</v>
      </c>
      <c r="AE88" s="20" t="s">
        <v>139</v>
      </c>
    </row>
    <row r="89" customFormat="false" ht="15" hidden="false" customHeight="false" outlineLevel="0" collapsed="false">
      <c r="A89" s="20" t="s">
        <v>153</v>
      </c>
      <c r="B89" s="20" t="s">
        <v>78</v>
      </c>
      <c r="C89" s="20" t="s">
        <v>117</v>
      </c>
      <c r="D89" s="20" t="s">
        <v>118</v>
      </c>
      <c r="E89" s="20" t="s">
        <v>119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120</v>
      </c>
      <c r="W89" s="20" t="s">
        <v>92</v>
      </c>
      <c r="X89" s="20"/>
      <c r="Y89" s="20" t="s">
        <v>93</v>
      </c>
      <c r="Z89" s="20" t="s">
        <v>121</v>
      </c>
      <c r="AA89" s="20" t="s">
        <v>122</v>
      </c>
      <c r="AB89" s="20" t="s">
        <v>123</v>
      </c>
      <c r="AC89" s="20" t="s">
        <v>124</v>
      </c>
      <c r="AD89" s="20" t="s">
        <v>154</v>
      </c>
      <c r="AE89" s="20" t="s">
        <v>140</v>
      </c>
    </row>
    <row r="90" customFormat="false" ht="15" hidden="false" customHeight="false" outlineLevel="0" collapsed="false">
      <c r="A90" s="20" t="s">
        <v>153</v>
      </c>
      <c r="B90" s="20" t="s">
        <v>141</v>
      </c>
      <c r="C90" s="20" t="s">
        <v>117</v>
      </c>
      <c r="D90" s="20" t="s">
        <v>118</v>
      </c>
      <c r="E90" s="20" t="s">
        <v>119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120</v>
      </c>
      <c r="W90" s="20" t="s">
        <v>92</v>
      </c>
      <c r="X90" s="20"/>
      <c r="Y90" s="20" t="s">
        <v>93</v>
      </c>
      <c r="Z90" s="20" t="s">
        <v>121</v>
      </c>
      <c r="AA90" s="20" t="s">
        <v>122</v>
      </c>
      <c r="AB90" s="20" t="s">
        <v>123</v>
      </c>
      <c r="AC90" s="20" t="s">
        <v>124</v>
      </c>
      <c r="AD90" s="20" t="s">
        <v>154</v>
      </c>
      <c r="AE90" s="20" t="s">
        <v>142</v>
      </c>
    </row>
    <row r="91" customFormat="false" ht="15" hidden="false" customHeight="false" outlineLevel="0" collapsed="false">
      <c r="A91" s="20" t="s">
        <v>155</v>
      </c>
      <c r="B91" s="20" t="s">
        <v>116</v>
      </c>
      <c r="C91" s="20" t="s">
        <v>117</v>
      </c>
      <c r="D91" s="20" t="s">
        <v>118</v>
      </c>
      <c r="E91" s="20" t="s">
        <v>119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120</v>
      </c>
      <c r="W91" s="20" t="s">
        <v>92</v>
      </c>
      <c r="X91" s="20"/>
      <c r="Y91" s="20" t="s">
        <v>93</v>
      </c>
      <c r="Z91" s="20" t="s">
        <v>121</v>
      </c>
      <c r="AA91" s="20" t="s">
        <v>122</v>
      </c>
      <c r="AB91" s="20" t="s">
        <v>123</v>
      </c>
      <c r="AC91" s="20" t="s">
        <v>124</v>
      </c>
      <c r="AD91" s="20" t="s">
        <v>156</v>
      </c>
      <c r="AE91" s="20" t="s">
        <v>126</v>
      </c>
    </row>
    <row r="92" customFormat="false" ht="15" hidden="false" customHeight="false" outlineLevel="0" collapsed="false">
      <c r="A92" s="20" t="s">
        <v>155</v>
      </c>
      <c r="B92" s="20" t="s">
        <v>127</v>
      </c>
      <c r="C92" s="20" t="s">
        <v>117</v>
      </c>
      <c r="D92" s="20" t="s">
        <v>118</v>
      </c>
      <c r="E92" s="20" t="s">
        <v>119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120</v>
      </c>
      <c r="W92" s="20" t="s">
        <v>92</v>
      </c>
      <c r="X92" s="20"/>
      <c r="Y92" s="20" t="s">
        <v>93</v>
      </c>
      <c r="Z92" s="20" t="s">
        <v>121</v>
      </c>
      <c r="AA92" s="20" t="s">
        <v>122</v>
      </c>
      <c r="AB92" s="20" t="s">
        <v>123</v>
      </c>
      <c r="AC92" s="20" t="s">
        <v>124</v>
      </c>
      <c r="AD92" s="20" t="s">
        <v>156</v>
      </c>
      <c r="AE92" s="20" t="s">
        <v>128</v>
      </c>
    </row>
    <row r="93" customFormat="false" ht="15" hidden="false" customHeight="false" outlineLevel="0" collapsed="false">
      <c r="A93" s="20" t="s">
        <v>155</v>
      </c>
      <c r="B93" s="20" t="s">
        <v>129</v>
      </c>
      <c r="C93" s="20" t="s">
        <v>117</v>
      </c>
      <c r="D93" s="20" t="s">
        <v>118</v>
      </c>
      <c r="E93" s="20" t="s">
        <v>119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120</v>
      </c>
      <c r="W93" s="20" t="s">
        <v>92</v>
      </c>
      <c r="X93" s="20"/>
      <c r="Y93" s="20" t="s">
        <v>93</v>
      </c>
      <c r="Z93" s="20" t="s">
        <v>121</v>
      </c>
      <c r="AA93" s="20" t="s">
        <v>122</v>
      </c>
      <c r="AB93" s="20" t="s">
        <v>123</v>
      </c>
      <c r="AC93" s="20" t="s">
        <v>124</v>
      </c>
      <c r="AD93" s="20" t="s">
        <v>156</v>
      </c>
      <c r="AE93" s="20" t="s">
        <v>130</v>
      </c>
    </row>
    <row r="94" customFormat="false" ht="15" hidden="false" customHeight="false" outlineLevel="0" collapsed="false">
      <c r="A94" s="20" t="s">
        <v>155</v>
      </c>
      <c r="B94" s="20" t="s">
        <v>131</v>
      </c>
      <c r="C94" s="20" t="s">
        <v>117</v>
      </c>
      <c r="D94" s="20" t="s">
        <v>118</v>
      </c>
      <c r="E94" s="20" t="s">
        <v>119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120</v>
      </c>
      <c r="W94" s="20" t="s">
        <v>92</v>
      </c>
      <c r="X94" s="20"/>
      <c r="Y94" s="20" t="s">
        <v>93</v>
      </c>
      <c r="Z94" s="20" t="s">
        <v>121</v>
      </c>
      <c r="AA94" s="20" t="s">
        <v>122</v>
      </c>
      <c r="AB94" s="20" t="s">
        <v>123</v>
      </c>
      <c r="AC94" s="20" t="s">
        <v>124</v>
      </c>
      <c r="AD94" s="20" t="s">
        <v>156</v>
      </c>
      <c r="AE94" s="20" t="s">
        <v>132</v>
      </c>
    </row>
    <row r="95" customFormat="false" ht="15" hidden="false" customHeight="false" outlineLevel="0" collapsed="false">
      <c r="A95" s="20" t="s">
        <v>155</v>
      </c>
      <c r="B95" s="20" t="s">
        <v>60</v>
      </c>
      <c r="C95" s="20" t="s">
        <v>117</v>
      </c>
      <c r="D95" s="20" t="s">
        <v>118</v>
      </c>
      <c r="E95" s="20" t="s">
        <v>119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120</v>
      </c>
      <c r="W95" s="20" t="s">
        <v>92</v>
      </c>
      <c r="X95" s="20"/>
      <c r="Y95" s="20" t="s">
        <v>93</v>
      </c>
      <c r="Z95" s="20" t="s">
        <v>121</v>
      </c>
      <c r="AA95" s="20" t="s">
        <v>122</v>
      </c>
      <c r="AB95" s="20" t="s">
        <v>123</v>
      </c>
      <c r="AC95" s="20" t="s">
        <v>124</v>
      </c>
      <c r="AD95" s="20" t="s">
        <v>156</v>
      </c>
      <c r="AE95" s="20" t="s">
        <v>133</v>
      </c>
    </row>
    <row r="96" customFormat="false" ht="15" hidden="false" customHeight="false" outlineLevel="0" collapsed="false">
      <c r="A96" s="20" t="s">
        <v>155</v>
      </c>
      <c r="B96" s="20" t="s">
        <v>134</v>
      </c>
      <c r="C96" s="20" t="s">
        <v>117</v>
      </c>
      <c r="D96" s="20" t="s">
        <v>118</v>
      </c>
      <c r="E96" s="20" t="s">
        <v>119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120</v>
      </c>
      <c r="W96" s="20" t="s">
        <v>92</v>
      </c>
      <c r="X96" s="20"/>
      <c r="Y96" s="20" t="s">
        <v>93</v>
      </c>
      <c r="Z96" s="20" t="s">
        <v>121</v>
      </c>
      <c r="AA96" s="20" t="s">
        <v>122</v>
      </c>
      <c r="AB96" s="20" t="s">
        <v>123</v>
      </c>
      <c r="AC96" s="20" t="s">
        <v>124</v>
      </c>
      <c r="AD96" s="20" t="s">
        <v>156</v>
      </c>
      <c r="AE96" s="20" t="s">
        <v>135</v>
      </c>
    </row>
    <row r="97" customFormat="false" ht="15" hidden="false" customHeight="false" outlineLevel="0" collapsed="false">
      <c r="A97" s="20" t="s">
        <v>155</v>
      </c>
      <c r="B97" s="20" t="s">
        <v>67</v>
      </c>
      <c r="C97" s="20" t="s">
        <v>117</v>
      </c>
      <c r="D97" s="20" t="s">
        <v>118</v>
      </c>
      <c r="E97" s="20" t="s">
        <v>119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120</v>
      </c>
      <c r="W97" s="20" t="s">
        <v>92</v>
      </c>
      <c r="X97" s="20"/>
      <c r="Y97" s="20" t="s">
        <v>93</v>
      </c>
      <c r="Z97" s="20" t="s">
        <v>121</v>
      </c>
      <c r="AA97" s="20" t="s">
        <v>122</v>
      </c>
      <c r="AB97" s="20" t="s">
        <v>123</v>
      </c>
      <c r="AC97" s="20" t="s">
        <v>124</v>
      </c>
      <c r="AD97" s="20" t="s">
        <v>156</v>
      </c>
      <c r="AE97" s="20" t="s">
        <v>136</v>
      </c>
    </row>
    <row r="98" customFormat="false" ht="15" hidden="false" customHeight="false" outlineLevel="0" collapsed="false">
      <c r="A98" s="20" t="s">
        <v>155</v>
      </c>
      <c r="B98" s="20" t="s">
        <v>64</v>
      </c>
      <c r="C98" s="20" t="s">
        <v>117</v>
      </c>
      <c r="D98" s="20" t="s">
        <v>118</v>
      </c>
      <c r="E98" s="20" t="s">
        <v>119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120</v>
      </c>
      <c r="W98" s="20" t="s">
        <v>92</v>
      </c>
      <c r="X98" s="20"/>
      <c r="Y98" s="20" t="s">
        <v>93</v>
      </c>
      <c r="Z98" s="20" t="s">
        <v>121</v>
      </c>
      <c r="AA98" s="20" t="s">
        <v>122</v>
      </c>
      <c r="AB98" s="20" t="s">
        <v>123</v>
      </c>
      <c r="AC98" s="20" t="s">
        <v>124</v>
      </c>
      <c r="AD98" s="20" t="s">
        <v>156</v>
      </c>
      <c r="AE98" s="20" t="s">
        <v>137</v>
      </c>
    </row>
    <row r="99" customFormat="false" ht="15" hidden="false" customHeight="false" outlineLevel="0" collapsed="false">
      <c r="A99" s="20" t="s">
        <v>155</v>
      </c>
      <c r="B99" s="20" t="s">
        <v>74</v>
      </c>
      <c r="C99" s="20" t="s">
        <v>117</v>
      </c>
      <c r="D99" s="20" t="s">
        <v>118</v>
      </c>
      <c r="E99" s="20" t="s">
        <v>119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120</v>
      </c>
      <c r="W99" s="20" t="s">
        <v>92</v>
      </c>
      <c r="X99" s="20"/>
      <c r="Y99" s="20" t="s">
        <v>93</v>
      </c>
      <c r="Z99" s="20" t="s">
        <v>121</v>
      </c>
      <c r="AA99" s="20" t="s">
        <v>122</v>
      </c>
      <c r="AB99" s="20" t="s">
        <v>123</v>
      </c>
      <c r="AC99" s="20" t="s">
        <v>124</v>
      </c>
      <c r="AD99" s="20" t="s">
        <v>156</v>
      </c>
      <c r="AE99" s="20" t="s">
        <v>138</v>
      </c>
    </row>
    <row r="100" customFormat="false" ht="15" hidden="false" customHeight="false" outlineLevel="0" collapsed="false">
      <c r="A100" s="20" t="s">
        <v>155</v>
      </c>
      <c r="B100" s="20" t="s">
        <v>71</v>
      </c>
      <c r="C100" s="20" t="s">
        <v>117</v>
      </c>
      <c r="D100" s="20" t="s">
        <v>118</v>
      </c>
      <c r="E100" s="20" t="s">
        <v>119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120</v>
      </c>
      <c r="W100" s="20" t="s">
        <v>92</v>
      </c>
      <c r="X100" s="20"/>
      <c r="Y100" s="20" t="s">
        <v>93</v>
      </c>
      <c r="Z100" s="20" t="s">
        <v>121</v>
      </c>
      <c r="AA100" s="20" t="s">
        <v>122</v>
      </c>
      <c r="AB100" s="20" t="s">
        <v>123</v>
      </c>
      <c r="AC100" s="20" t="s">
        <v>124</v>
      </c>
      <c r="AD100" s="20" t="s">
        <v>156</v>
      </c>
      <c r="AE100" s="20" t="s">
        <v>139</v>
      </c>
    </row>
    <row r="101" customFormat="false" ht="15" hidden="false" customHeight="false" outlineLevel="0" collapsed="false">
      <c r="A101" s="20" t="s">
        <v>155</v>
      </c>
      <c r="B101" s="20" t="s">
        <v>78</v>
      </c>
      <c r="C101" s="20" t="s">
        <v>117</v>
      </c>
      <c r="D101" s="20" t="s">
        <v>118</v>
      </c>
      <c r="E101" s="20" t="s">
        <v>119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120</v>
      </c>
      <c r="W101" s="20" t="s">
        <v>92</v>
      </c>
      <c r="X101" s="20"/>
      <c r="Y101" s="20" t="s">
        <v>93</v>
      </c>
      <c r="Z101" s="20" t="s">
        <v>121</v>
      </c>
      <c r="AA101" s="20" t="s">
        <v>122</v>
      </c>
      <c r="AB101" s="20" t="s">
        <v>123</v>
      </c>
      <c r="AC101" s="20" t="s">
        <v>124</v>
      </c>
      <c r="AD101" s="20" t="s">
        <v>156</v>
      </c>
      <c r="AE101" s="20" t="s">
        <v>140</v>
      </c>
    </row>
    <row r="102" customFormat="false" ht="15" hidden="false" customHeight="false" outlineLevel="0" collapsed="false">
      <c r="A102" s="20" t="s">
        <v>155</v>
      </c>
      <c r="B102" s="20" t="s">
        <v>141</v>
      </c>
      <c r="C102" s="20" t="s">
        <v>117</v>
      </c>
      <c r="D102" s="20" t="s">
        <v>118</v>
      </c>
      <c r="E102" s="20" t="s">
        <v>119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120</v>
      </c>
      <c r="W102" s="20" t="s">
        <v>92</v>
      </c>
      <c r="X102" s="20"/>
      <c r="Y102" s="20" t="s">
        <v>93</v>
      </c>
      <c r="Z102" s="20" t="s">
        <v>121</v>
      </c>
      <c r="AA102" s="20" t="s">
        <v>122</v>
      </c>
      <c r="AB102" s="20" t="s">
        <v>123</v>
      </c>
      <c r="AC102" s="20" t="s">
        <v>124</v>
      </c>
      <c r="AD102" s="20" t="s">
        <v>156</v>
      </c>
      <c r="AE102" s="20" t="s">
        <v>142</v>
      </c>
    </row>
    <row r="103" customFormat="false" ht="15" hidden="false" customHeight="false" outlineLevel="0" collapsed="false">
      <c r="A103" s="20" t="s">
        <v>157</v>
      </c>
      <c r="B103" s="20" t="s">
        <v>116</v>
      </c>
      <c r="C103" s="20" t="s">
        <v>117</v>
      </c>
      <c r="D103" s="20" t="s">
        <v>118</v>
      </c>
      <c r="E103" s="20" t="s">
        <v>119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120</v>
      </c>
      <c r="W103" s="20" t="s">
        <v>92</v>
      </c>
      <c r="X103" s="20"/>
      <c r="Y103" s="20" t="s">
        <v>93</v>
      </c>
      <c r="Z103" s="20" t="s">
        <v>121</v>
      </c>
      <c r="AA103" s="20" t="s">
        <v>122</v>
      </c>
      <c r="AB103" s="20" t="s">
        <v>123</v>
      </c>
      <c r="AC103" s="20" t="s">
        <v>124</v>
      </c>
      <c r="AD103" s="20" t="s">
        <v>158</v>
      </c>
      <c r="AE103" s="20" t="s">
        <v>126</v>
      </c>
    </row>
    <row r="104" customFormat="false" ht="15" hidden="false" customHeight="false" outlineLevel="0" collapsed="false">
      <c r="A104" s="20" t="s">
        <v>157</v>
      </c>
      <c r="B104" s="20" t="s">
        <v>127</v>
      </c>
      <c r="C104" s="20" t="s">
        <v>117</v>
      </c>
      <c r="D104" s="20" t="s">
        <v>118</v>
      </c>
      <c r="E104" s="20" t="s">
        <v>119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120</v>
      </c>
      <c r="W104" s="20" t="s">
        <v>92</v>
      </c>
      <c r="X104" s="20"/>
      <c r="Y104" s="20" t="s">
        <v>93</v>
      </c>
      <c r="Z104" s="20" t="s">
        <v>121</v>
      </c>
      <c r="AA104" s="20" t="s">
        <v>122</v>
      </c>
      <c r="AB104" s="20" t="s">
        <v>123</v>
      </c>
      <c r="AC104" s="20" t="s">
        <v>124</v>
      </c>
      <c r="AD104" s="20" t="s">
        <v>158</v>
      </c>
      <c r="AE104" s="20" t="s">
        <v>128</v>
      </c>
    </row>
    <row r="105" customFormat="false" ht="15" hidden="false" customHeight="false" outlineLevel="0" collapsed="false">
      <c r="A105" s="20" t="s">
        <v>157</v>
      </c>
      <c r="B105" s="20" t="s">
        <v>129</v>
      </c>
      <c r="C105" s="20" t="s">
        <v>117</v>
      </c>
      <c r="D105" s="20" t="s">
        <v>118</v>
      </c>
      <c r="E105" s="20" t="s">
        <v>119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120</v>
      </c>
      <c r="W105" s="20" t="s">
        <v>92</v>
      </c>
      <c r="X105" s="20"/>
      <c r="Y105" s="20" t="s">
        <v>93</v>
      </c>
      <c r="Z105" s="20" t="s">
        <v>121</v>
      </c>
      <c r="AA105" s="20" t="s">
        <v>122</v>
      </c>
      <c r="AB105" s="20" t="s">
        <v>123</v>
      </c>
      <c r="AC105" s="20" t="s">
        <v>124</v>
      </c>
      <c r="AD105" s="20" t="s">
        <v>158</v>
      </c>
      <c r="AE105" s="20" t="s">
        <v>130</v>
      </c>
    </row>
    <row r="106" customFormat="false" ht="15" hidden="false" customHeight="false" outlineLevel="0" collapsed="false">
      <c r="A106" s="20" t="s">
        <v>157</v>
      </c>
      <c r="B106" s="20" t="s">
        <v>131</v>
      </c>
      <c r="C106" s="20" t="s">
        <v>117</v>
      </c>
      <c r="D106" s="20" t="s">
        <v>118</v>
      </c>
      <c r="E106" s="20" t="s">
        <v>119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120</v>
      </c>
      <c r="W106" s="20" t="s">
        <v>92</v>
      </c>
      <c r="X106" s="20"/>
      <c r="Y106" s="20" t="s">
        <v>93</v>
      </c>
      <c r="Z106" s="20" t="s">
        <v>121</v>
      </c>
      <c r="AA106" s="20" t="s">
        <v>122</v>
      </c>
      <c r="AB106" s="20" t="s">
        <v>123</v>
      </c>
      <c r="AC106" s="20" t="s">
        <v>124</v>
      </c>
      <c r="AD106" s="20" t="s">
        <v>158</v>
      </c>
      <c r="AE106" s="20" t="s">
        <v>132</v>
      </c>
    </row>
    <row r="107" customFormat="false" ht="15" hidden="false" customHeight="false" outlineLevel="0" collapsed="false">
      <c r="A107" s="20" t="s">
        <v>157</v>
      </c>
      <c r="B107" s="20" t="s">
        <v>60</v>
      </c>
      <c r="C107" s="20" t="s">
        <v>117</v>
      </c>
      <c r="D107" s="20" t="s">
        <v>118</v>
      </c>
      <c r="E107" s="20" t="s">
        <v>119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120</v>
      </c>
      <c r="W107" s="20" t="s">
        <v>92</v>
      </c>
      <c r="X107" s="20"/>
      <c r="Y107" s="20" t="s">
        <v>93</v>
      </c>
      <c r="Z107" s="20" t="s">
        <v>121</v>
      </c>
      <c r="AA107" s="20" t="s">
        <v>122</v>
      </c>
      <c r="AB107" s="20" t="s">
        <v>123</v>
      </c>
      <c r="AC107" s="20" t="s">
        <v>124</v>
      </c>
      <c r="AD107" s="20" t="s">
        <v>158</v>
      </c>
      <c r="AE107" s="20" t="s">
        <v>133</v>
      </c>
    </row>
    <row r="108" customFormat="false" ht="15" hidden="false" customHeight="false" outlineLevel="0" collapsed="false">
      <c r="A108" s="20" t="s">
        <v>157</v>
      </c>
      <c r="B108" s="20" t="s">
        <v>134</v>
      </c>
      <c r="C108" s="20" t="s">
        <v>117</v>
      </c>
      <c r="D108" s="20" t="s">
        <v>118</v>
      </c>
      <c r="E108" s="20" t="s">
        <v>119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120</v>
      </c>
      <c r="W108" s="20" t="s">
        <v>92</v>
      </c>
      <c r="X108" s="20"/>
      <c r="Y108" s="20" t="s">
        <v>93</v>
      </c>
      <c r="Z108" s="20" t="s">
        <v>121</v>
      </c>
      <c r="AA108" s="20" t="s">
        <v>122</v>
      </c>
      <c r="AB108" s="20" t="s">
        <v>123</v>
      </c>
      <c r="AC108" s="20" t="s">
        <v>124</v>
      </c>
      <c r="AD108" s="20" t="s">
        <v>158</v>
      </c>
      <c r="AE108" s="20" t="s">
        <v>135</v>
      </c>
    </row>
    <row r="109" customFormat="false" ht="15" hidden="false" customHeight="false" outlineLevel="0" collapsed="false">
      <c r="A109" s="20" t="s">
        <v>157</v>
      </c>
      <c r="B109" s="20" t="s">
        <v>67</v>
      </c>
      <c r="C109" s="20" t="s">
        <v>117</v>
      </c>
      <c r="D109" s="20" t="s">
        <v>118</v>
      </c>
      <c r="E109" s="20" t="s">
        <v>119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120</v>
      </c>
      <c r="W109" s="20" t="s">
        <v>92</v>
      </c>
      <c r="X109" s="20"/>
      <c r="Y109" s="20" t="s">
        <v>93</v>
      </c>
      <c r="Z109" s="20" t="s">
        <v>121</v>
      </c>
      <c r="AA109" s="20" t="s">
        <v>122</v>
      </c>
      <c r="AB109" s="20" t="s">
        <v>123</v>
      </c>
      <c r="AC109" s="20" t="s">
        <v>124</v>
      </c>
      <c r="AD109" s="20" t="s">
        <v>158</v>
      </c>
      <c r="AE109" s="20" t="s">
        <v>136</v>
      </c>
    </row>
    <row r="110" customFormat="false" ht="15" hidden="false" customHeight="false" outlineLevel="0" collapsed="false">
      <c r="A110" s="20" t="s">
        <v>157</v>
      </c>
      <c r="B110" s="20" t="s">
        <v>64</v>
      </c>
      <c r="C110" s="20" t="s">
        <v>117</v>
      </c>
      <c r="D110" s="20" t="s">
        <v>118</v>
      </c>
      <c r="E110" s="20" t="s">
        <v>119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120</v>
      </c>
      <c r="W110" s="20" t="s">
        <v>92</v>
      </c>
      <c r="X110" s="20"/>
      <c r="Y110" s="20" t="s">
        <v>93</v>
      </c>
      <c r="Z110" s="20" t="s">
        <v>121</v>
      </c>
      <c r="AA110" s="20" t="s">
        <v>122</v>
      </c>
      <c r="AB110" s="20" t="s">
        <v>123</v>
      </c>
      <c r="AC110" s="20" t="s">
        <v>124</v>
      </c>
      <c r="AD110" s="20" t="s">
        <v>158</v>
      </c>
      <c r="AE110" s="20" t="s">
        <v>137</v>
      </c>
    </row>
    <row r="111" customFormat="false" ht="15" hidden="false" customHeight="false" outlineLevel="0" collapsed="false">
      <c r="A111" s="20" t="s">
        <v>157</v>
      </c>
      <c r="B111" s="20" t="s">
        <v>74</v>
      </c>
      <c r="C111" s="20" t="s">
        <v>117</v>
      </c>
      <c r="D111" s="20" t="s">
        <v>118</v>
      </c>
      <c r="E111" s="20" t="s">
        <v>119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120</v>
      </c>
      <c r="W111" s="20" t="s">
        <v>92</v>
      </c>
      <c r="X111" s="20"/>
      <c r="Y111" s="20" t="s">
        <v>93</v>
      </c>
      <c r="Z111" s="20" t="s">
        <v>121</v>
      </c>
      <c r="AA111" s="20" t="s">
        <v>122</v>
      </c>
      <c r="AB111" s="20" t="s">
        <v>123</v>
      </c>
      <c r="AC111" s="20" t="s">
        <v>124</v>
      </c>
      <c r="AD111" s="20" t="s">
        <v>158</v>
      </c>
      <c r="AE111" s="20" t="s">
        <v>138</v>
      </c>
    </row>
    <row r="112" customFormat="false" ht="15" hidden="false" customHeight="false" outlineLevel="0" collapsed="false">
      <c r="A112" s="20" t="s">
        <v>157</v>
      </c>
      <c r="B112" s="20" t="s">
        <v>71</v>
      </c>
      <c r="C112" s="20" t="s">
        <v>117</v>
      </c>
      <c r="D112" s="20" t="s">
        <v>118</v>
      </c>
      <c r="E112" s="20" t="s">
        <v>119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120</v>
      </c>
      <c r="W112" s="20" t="s">
        <v>92</v>
      </c>
      <c r="X112" s="20"/>
      <c r="Y112" s="20" t="s">
        <v>93</v>
      </c>
      <c r="Z112" s="20" t="s">
        <v>121</v>
      </c>
      <c r="AA112" s="20" t="s">
        <v>122</v>
      </c>
      <c r="AB112" s="20" t="s">
        <v>123</v>
      </c>
      <c r="AC112" s="20" t="s">
        <v>124</v>
      </c>
      <c r="AD112" s="20" t="s">
        <v>158</v>
      </c>
      <c r="AE112" s="20" t="s">
        <v>139</v>
      </c>
    </row>
    <row r="113" customFormat="false" ht="15" hidden="false" customHeight="false" outlineLevel="0" collapsed="false">
      <c r="A113" s="20" t="s">
        <v>157</v>
      </c>
      <c r="B113" s="20" t="s">
        <v>78</v>
      </c>
      <c r="C113" s="20" t="s">
        <v>117</v>
      </c>
      <c r="D113" s="20" t="s">
        <v>118</v>
      </c>
      <c r="E113" s="20" t="s">
        <v>119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120</v>
      </c>
      <c r="W113" s="20" t="s">
        <v>92</v>
      </c>
      <c r="X113" s="20"/>
      <c r="Y113" s="20" t="s">
        <v>93</v>
      </c>
      <c r="Z113" s="20" t="s">
        <v>121</v>
      </c>
      <c r="AA113" s="20" t="s">
        <v>122</v>
      </c>
      <c r="AB113" s="20" t="s">
        <v>123</v>
      </c>
      <c r="AC113" s="20" t="s">
        <v>124</v>
      </c>
      <c r="AD113" s="20" t="s">
        <v>158</v>
      </c>
      <c r="AE113" s="20" t="s">
        <v>140</v>
      </c>
    </row>
    <row r="114" customFormat="false" ht="15" hidden="false" customHeight="false" outlineLevel="0" collapsed="false">
      <c r="A114" s="20" t="s">
        <v>157</v>
      </c>
      <c r="B114" s="20" t="s">
        <v>141</v>
      </c>
      <c r="C114" s="20" t="s">
        <v>117</v>
      </c>
      <c r="D114" s="20" t="s">
        <v>118</v>
      </c>
      <c r="E114" s="20" t="s">
        <v>119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120</v>
      </c>
      <c r="W114" s="20" t="s">
        <v>92</v>
      </c>
      <c r="X114" s="20"/>
      <c r="Y114" s="20" t="s">
        <v>93</v>
      </c>
      <c r="Z114" s="20" t="s">
        <v>121</v>
      </c>
      <c r="AA114" s="20" t="s">
        <v>122</v>
      </c>
      <c r="AB114" s="20" t="s">
        <v>123</v>
      </c>
      <c r="AC114" s="20" t="s">
        <v>124</v>
      </c>
      <c r="AD114" s="20" t="s">
        <v>158</v>
      </c>
      <c r="AE114" s="20" t="s">
        <v>142</v>
      </c>
    </row>
    <row r="115" customFormat="false" ht="15" hidden="false" customHeight="false" outlineLevel="0" collapsed="false">
      <c r="A115" s="20" t="s">
        <v>159</v>
      </c>
      <c r="B115" s="20" t="s">
        <v>116</v>
      </c>
      <c r="C115" s="20" t="s">
        <v>117</v>
      </c>
      <c r="D115" s="20" t="s">
        <v>118</v>
      </c>
      <c r="E115" s="20" t="s">
        <v>119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120</v>
      </c>
      <c r="W115" s="20" t="s">
        <v>92</v>
      </c>
      <c r="X115" s="20"/>
      <c r="Y115" s="20" t="s">
        <v>93</v>
      </c>
      <c r="Z115" s="20" t="s">
        <v>121</v>
      </c>
      <c r="AA115" s="20" t="s">
        <v>122</v>
      </c>
      <c r="AB115" s="20" t="s">
        <v>123</v>
      </c>
      <c r="AC115" s="20" t="s">
        <v>124</v>
      </c>
      <c r="AD115" s="20" t="s">
        <v>160</v>
      </c>
      <c r="AE115" s="20" t="s">
        <v>126</v>
      </c>
    </row>
    <row r="116" customFormat="false" ht="15" hidden="false" customHeight="false" outlineLevel="0" collapsed="false">
      <c r="A116" s="20" t="s">
        <v>159</v>
      </c>
      <c r="B116" s="20" t="s">
        <v>127</v>
      </c>
      <c r="C116" s="20" t="s">
        <v>117</v>
      </c>
      <c r="D116" s="20" t="s">
        <v>118</v>
      </c>
      <c r="E116" s="20" t="s">
        <v>119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120</v>
      </c>
      <c r="W116" s="20" t="s">
        <v>92</v>
      </c>
      <c r="X116" s="20"/>
      <c r="Y116" s="20" t="s">
        <v>93</v>
      </c>
      <c r="Z116" s="20" t="s">
        <v>121</v>
      </c>
      <c r="AA116" s="20" t="s">
        <v>122</v>
      </c>
      <c r="AB116" s="20" t="s">
        <v>123</v>
      </c>
      <c r="AC116" s="20" t="s">
        <v>124</v>
      </c>
      <c r="AD116" s="20" t="s">
        <v>160</v>
      </c>
      <c r="AE116" s="20" t="s">
        <v>128</v>
      </c>
    </row>
    <row r="117" customFormat="false" ht="15" hidden="false" customHeight="false" outlineLevel="0" collapsed="false">
      <c r="A117" s="20" t="s">
        <v>159</v>
      </c>
      <c r="B117" s="20" t="s">
        <v>129</v>
      </c>
      <c r="C117" s="20" t="s">
        <v>117</v>
      </c>
      <c r="D117" s="20" t="s">
        <v>118</v>
      </c>
      <c r="E117" s="20" t="s">
        <v>119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120</v>
      </c>
      <c r="W117" s="20" t="s">
        <v>92</v>
      </c>
      <c r="X117" s="20"/>
      <c r="Y117" s="20" t="s">
        <v>93</v>
      </c>
      <c r="Z117" s="20" t="s">
        <v>121</v>
      </c>
      <c r="AA117" s="20" t="s">
        <v>122</v>
      </c>
      <c r="AB117" s="20" t="s">
        <v>123</v>
      </c>
      <c r="AC117" s="20" t="s">
        <v>124</v>
      </c>
      <c r="AD117" s="20" t="s">
        <v>160</v>
      </c>
      <c r="AE117" s="20" t="s">
        <v>130</v>
      </c>
    </row>
    <row r="118" customFormat="false" ht="15" hidden="false" customHeight="false" outlineLevel="0" collapsed="false">
      <c r="A118" s="20" t="s">
        <v>159</v>
      </c>
      <c r="B118" s="20" t="s">
        <v>131</v>
      </c>
      <c r="C118" s="20" t="s">
        <v>117</v>
      </c>
      <c r="D118" s="20" t="s">
        <v>118</v>
      </c>
      <c r="E118" s="20" t="s">
        <v>119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120</v>
      </c>
      <c r="W118" s="20" t="s">
        <v>92</v>
      </c>
      <c r="X118" s="20"/>
      <c r="Y118" s="20" t="s">
        <v>93</v>
      </c>
      <c r="Z118" s="20" t="s">
        <v>121</v>
      </c>
      <c r="AA118" s="20" t="s">
        <v>122</v>
      </c>
      <c r="AB118" s="20" t="s">
        <v>123</v>
      </c>
      <c r="AC118" s="20" t="s">
        <v>124</v>
      </c>
      <c r="AD118" s="20" t="s">
        <v>160</v>
      </c>
      <c r="AE118" s="20" t="s">
        <v>132</v>
      </c>
    </row>
    <row r="119" customFormat="false" ht="15" hidden="false" customHeight="false" outlineLevel="0" collapsed="false">
      <c r="A119" s="20" t="s">
        <v>159</v>
      </c>
      <c r="B119" s="20" t="s">
        <v>60</v>
      </c>
      <c r="C119" s="20" t="s">
        <v>117</v>
      </c>
      <c r="D119" s="20" t="s">
        <v>118</v>
      </c>
      <c r="E119" s="20" t="s">
        <v>119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120</v>
      </c>
      <c r="W119" s="20" t="s">
        <v>92</v>
      </c>
      <c r="X119" s="20"/>
      <c r="Y119" s="20" t="s">
        <v>93</v>
      </c>
      <c r="Z119" s="20" t="s">
        <v>121</v>
      </c>
      <c r="AA119" s="20" t="s">
        <v>122</v>
      </c>
      <c r="AB119" s="20" t="s">
        <v>123</v>
      </c>
      <c r="AC119" s="20" t="s">
        <v>124</v>
      </c>
      <c r="AD119" s="20" t="s">
        <v>160</v>
      </c>
      <c r="AE119" s="20" t="s">
        <v>133</v>
      </c>
    </row>
    <row r="120" customFormat="false" ht="15" hidden="false" customHeight="false" outlineLevel="0" collapsed="false">
      <c r="A120" s="20" t="s">
        <v>159</v>
      </c>
      <c r="B120" s="20" t="s">
        <v>134</v>
      </c>
      <c r="C120" s="20" t="s">
        <v>117</v>
      </c>
      <c r="D120" s="20" t="s">
        <v>118</v>
      </c>
      <c r="E120" s="20" t="s">
        <v>119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120</v>
      </c>
      <c r="W120" s="20" t="s">
        <v>92</v>
      </c>
      <c r="X120" s="20"/>
      <c r="Y120" s="20" t="s">
        <v>93</v>
      </c>
      <c r="Z120" s="20" t="s">
        <v>121</v>
      </c>
      <c r="AA120" s="20" t="s">
        <v>122</v>
      </c>
      <c r="AB120" s="20" t="s">
        <v>123</v>
      </c>
      <c r="AC120" s="20" t="s">
        <v>124</v>
      </c>
      <c r="AD120" s="20" t="s">
        <v>160</v>
      </c>
      <c r="AE120" s="20" t="s">
        <v>135</v>
      </c>
    </row>
    <row r="121" customFormat="false" ht="15" hidden="false" customHeight="false" outlineLevel="0" collapsed="false">
      <c r="A121" s="20" t="s">
        <v>159</v>
      </c>
      <c r="B121" s="20" t="s">
        <v>67</v>
      </c>
      <c r="C121" s="20" t="s">
        <v>117</v>
      </c>
      <c r="D121" s="20" t="s">
        <v>118</v>
      </c>
      <c r="E121" s="20" t="s">
        <v>119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120</v>
      </c>
      <c r="W121" s="20" t="s">
        <v>92</v>
      </c>
      <c r="X121" s="20"/>
      <c r="Y121" s="20" t="s">
        <v>93</v>
      </c>
      <c r="Z121" s="20" t="s">
        <v>121</v>
      </c>
      <c r="AA121" s="20" t="s">
        <v>122</v>
      </c>
      <c r="AB121" s="20" t="s">
        <v>123</v>
      </c>
      <c r="AC121" s="20" t="s">
        <v>124</v>
      </c>
      <c r="AD121" s="20" t="s">
        <v>160</v>
      </c>
      <c r="AE121" s="20" t="s">
        <v>136</v>
      </c>
    </row>
    <row r="122" customFormat="false" ht="15" hidden="false" customHeight="false" outlineLevel="0" collapsed="false">
      <c r="A122" s="20" t="s">
        <v>159</v>
      </c>
      <c r="B122" s="20" t="s">
        <v>64</v>
      </c>
      <c r="C122" s="20" t="s">
        <v>117</v>
      </c>
      <c r="D122" s="20" t="s">
        <v>118</v>
      </c>
      <c r="E122" s="20" t="s">
        <v>119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120</v>
      </c>
      <c r="W122" s="20" t="s">
        <v>92</v>
      </c>
      <c r="X122" s="20"/>
      <c r="Y122" s="20" t="s">
        <v>93</v>
      </c>
      <c r="Z122" s="20" t="s">
        <v>121</v>
      </c>
      <c r="AA122" s="20" t="s">
        <v>122</v>
      </c>
      <c r="AB122" s="20" t="s">
        <v>123</v>
      </c>
      <c r="AC122" s="20" t="s">
        <v>124</v>
      </c>
      <c r="AD122" s="20" t="s">
        <v>160</v>
      </c>
      <c r="AE122" s="20" t="s">
        <v>137</v>
      </c>
    </row>
    <row r="123" customFormat="false" ht="15" hidden="false" customHeight="false" outlineLevel="0" collapsed="false">
      <c r="A123" s="20" t="s">
        <v>159</v>
      </c>
      <c r="B123" s="20" t="s">
        <v>74</v>
      </c>
      <c r="C123" s="20" t="s">
        <v>117</v>
      </c>
      <c r="D123" s="20" t="s">
        <v>118</v>
      </c>
      <c r="E123" s="20" t="s">
        <v>119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120</v>
      </c>
      <c r="W123" s="20" t="s">
        <v>92</v>
      </c>
      <c r="X123" s="20"/>
      <c r="Y123" s="20" t="s">
        <v>93</v>
      </c>
      <c r="Z123" s="20" t="s">
        <v>121</v>
      </c>
      <c r="AA123" s="20" t="s">
        <v>122</v>
      </c>
      <c r="AB123" s="20" t="s">
        <v>123</v>
      </c>
      <c r="AC123" s="20" t="s">
        <v>124</v>
      </c>
      <c r="AD123" s="20" t="s">
        <v>160</v>
      </c>
      <c r="AE123" s="20" t="s">
        <v>138</v>
      </c>
    </row>
    <row r="124" customFormat="false" ht="15" hidden="false" customHeight="false" outlineLevel="0" collapsed="false">
      <c r="A124" s="20" t="s">
        <v>159</v>
      </c>
      <c r="B124" s="20" t="s">
        <v>71</v>
      </c>
      <c r="C124" s="20" t="s">
        <v>117</v>
      </c>
      <c r="D124" s="20" t="s">
        <v>118</v>
      </c>
      <c r="E124" s="20" t="s">
        <v>119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120</v>
      </c>
      <c r="W124" s="20" t="s">
        <v>92</v>
      </c>
      <c r="X124" s="20"/>
      <c r="Y124" s="20" t="s">
        <v>93</v>
      </c>
      <c r="Z124" s="20" t="s">
        <v>121</v>
      </c>
      <c r="AA124" s="20" t="s">
        <v>122</v>
      </c>
      <c r="AB124" s="20" t="s">
        <v>123</v>
      </c>
      <c r="AC124" s="20" t="s">
        <v>124</v>
      </c>
      <c r="AD124" s="20" t="s">
        <v>160</v>
      </c>
      <c r="AE124" s="20" t="s">
        <v>139</v>
      </c>
    </row>
    <row r="125" customFormat="false" ht="15" hidden="false" customHeight="false" outlineLevel="0" collapsed="false">
      <c r="A125" s="20" t="s">
        <v>159</v>
      </c>
      <c r="B125" s="20" t="s">
        <v>78</v>
      </c>
      <c r="C125" s="20" t="s">
        <v>117</v>
      </c>
      <c r="D125" s="20" t="s">
        <v>118</v>
      </c>
      <c r="E125" s="20" t="s">
        <v>119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120</v>
      </c>
      <c r="W125" s="20" t="s">
        <v>92</v>
      </c>
      <c r="X125" s="20"/>
      <c r="Y125" s="20" t="s">
        <v>93</v>
      </c>
      <c r="Z125" s="20" t="s">
        <v>121</v>
      </c>
      <c r="AA125" s="20" t="s">
        <v>122</v>
      </c>
      <c r="AB125" s="20" t="s">
        <v>123</v>
      </c>
      <c r="AC125" s="20" t="s">
        <v>124</v>
      </c>
      <c r="AD125" s="20" t="s">
        <v>160</v>
      </c>
      <c r="AE125" s="20" t="s">
        <v>140</v>
      </c>
    </row>
    <row r="126" customFormat="false" ht="15" hidden="false" customHeight="false" outlineLevel="0" collapsed="false">
      <c r="A126" s="20" t="s">
        <v>159</v>
      </c>
      <c r="B126" s="20" t="s">
        <v>141</v>
      </c>
      <c r="C126" s="20" t="s">
        <v>117</v>
      </c>
      <c r="D126" s="20" t="s">
        <v>118</v>
      </c>
      <c r="E126" s="20" t="s">
        <v>119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120</v>
      </c>
      <c r="W126" s="20" t="s">
        <v>92</v>
      </c>
      <c r="X126" s="20"/>
      <c r="Y126" s="20" t="s">
        <v>93</v>
      </c>
      <c r="Z126" s="20" t="s">
        <v>121</v>
      </c>
      <c r="AA126" s="20" t="s">
        <v>122</v>
      </c>
      <c r="AB126" s="20" t="s">
        <v>123</v>
      </c>
      <c r="AC126" s="20" t="s">
        <v>124</v>
      </c>
      <c r="AD126" s="20" t="s">
        <v>160</v>
      </c>
      <c r="AE126" s="20" t="s">
        <v>142</v>
      </c>
    </row>
    <row r="127" customFormat="false" ht="15" hidden="false" customHeight="false" outlineLevel="0" collapsed="false">
      <c r="A127" s="20" t="s">
        <v>161</v>
      </c>
      <c r="B127" s="20" t="s">
        <v>116</v>
      </c>
      <c r="C127" s="20" t="s">
        <v>117</v>
      </c>
      <c r="D127" s="20" t="s">
        <v>118</v>
      </c>
      <c r="E127" s="20" t="s">
        <v>119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120</v>
      </c>
      <c r="W127" s="20" t="s">
        <v>92</v>
      </c>
      <c r="X127" s="20"/>
      <c r="Y127" s="20" t="s">
        <v>93</v>
      </c>
      <c r="Z127" s="20" t="s">
        <v>121</v>
      </c>
      <c r="AA127" s="20" t="s">
        <v>122</v>
      </c>
      <c r="AB127" s="20" t="s">
        <v>123</v>
      </c>
      <c r="AC127" s="20" t="s">
        <v>124</v>
      </c>
      <c r="AD127" s="20" t="s">
        <v>162</v>
      </c>
      <c r="AE127" s="20" t="s">
        <v>126</v>
      </c>
    </row>
    <row r="128" customFormat="false" ht="15" hidden="false" customHeight="false" outlineLevel="0" collapsed="false">
      <c r="A128" s="20" t="s">
        <v>161</v>
      </c>
      <c r="B128" s="20" t="s">
        <v>127</v>
      </c>
      <c r="C128" s="20" t="s">
        <v>117</v>
      </c>
      <c r="D128" s="20" t="s">
        <v>118</v>
      </c>
      <c r="E128" s="20" t="s">
        <v>119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120</v>
      </c>
      <c r="W128" s="20" t="s">
        <v>92</v>
      </c>
      <c r="X128" s="20"/>
      <c r="Y128" s="20" t="s">
        <v>93</v>
      </c>
      <c r="Z128" s="20" t="s">
        <v>121</v>
      </c>
      <c r="AA128" s="20" t="s">
        <v>122</v>
      </c>
      <c r="AB128" s="20" t="s">
        <v>123</v>
      </c>
      <c r="AC128" s="20" t="s">
        <v>124</v>
      </c>
      <c r="AD128" s="20" t="s">
        <v>162</v>
      </c>
      <c r="AE128" s="20" t="s">
        <v>128</v>
      </c>
    </row>
    <row r="129" customFormat="false" ht="15" hidden="false" customHeight="false" outlineLevel="0" collapsed="false">
      <c r="A129" s="20" t="s">
        <v>161</v>
      </c>
      <c r="B129" s="20" t="s">
        <v>129</v>
      </c>
      <c r="C129" s="20" t="s">
        <v>117</v>
      </c>
      <c r="D129" s="20" t="s">
        <v>118</v>
      </c>
      <c r="E129" s="20" t="s">
        <v>119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120</v>
      </c>
      <c r="W129" s="20" t="s">
        <v>92</v>
      </c>
      <c r="X129" s="20"/>
      <c r="Y129" s="20" t="s">
        <v>93</v>
      </c>
      <c r="Z129" s="20" t="s">
        <v>121</v>
      </c>
      <c r="AA129" s="20" t="s">
        <v>122</v>
      </c>
      <c r="AB129" s="20" t="s">
        <v>123</v>
      </c>
      <c r="AC129" s="20" t="s">
        <v>124</v>
      </c>
      <c r="AD129" s="20" t="s">
        <v>162</v>
      </c>
      <c r="AE129" s="20" t="s">
        <v>130</v>
      </c>
    </row>
    <row r="130" customFormat="false" ht="15" hidden="false" customHeight="false" outlineLevel="0" collapsed="false">
      <c r="A130" s="20" t="s">
        <v>161</v>
      </c>
      <c r="B130" s="20" t="s">
        <v>131</v>
      </c>
      <c r="C130" s="20" t="s">
        <v>117</v>
      </c>
      <c r="D130" s="20" t="s">
        <v>118</v>
      </c>
      <c r="E130" s="20" t="s">
        <v>119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120</v>
      </c>
      <c r="W130" s="20" t="s">
        <v>92</v>
      </c>
      <c r="X130" s="20"/>
      <c r="Y130" s="20" t="s">
        <v>93</v>
      </c>
      <c r="Z130" s="20" t="s">
        <v>121</v>
      </c>
      <c r="AA130" s="20" t="s">
        <v>122</v>
      </c>
      <c r="AB130" s="20" t="s">
        <v>123</v>
      </c>
      <c r="AC130" s="20" t="s">
        <v>124</v>
      </c>
      <c r="AD130" s="20" t="s">
        <v>162</v>
      </c>
      <c r="AE130" s="20" t="s">
        <v>132</v>
      </c>
    </row>
    <row r="131" customFormat="false" ht="15" hidden="false" customHeight="false" outlineLevel="0" collapsed="false">
      <c r="A131" s="20" t="s">
        <v>161</v>
      </c>
      <c r="B131" s="20" t="s">
        <v>60</v>
      </c>
      <c r="C131" s="20" t="s">
        <v>117</v>
      </c>
      <c r="D131" s="20" t="s">
        <v>118</v>
      </c>
      <c r="E131" s="20" t="s">
        <v>119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120</v>
      </c>
      <c r="W131" s="20" t="s">
        <v>92</v>
      </c>
      <c r="X131" s="20"/>
      <c r="Y131" s="20" t="s">
        <v>93</v>
      </c>
      <c r="Z131" s="20" t="s">
        <v>121</v>
      </c>
      <c r="AA131" s="20" t="s">
        <v>122</v>
      </c>
      <c r="AB131" s="20" t="s">
        <v>123</v>
      </c>
      <c r="AC131" s="20" t="s">
        <v>124</v>
      </c>
      <c r="AD131" s="20" t="s">
        <v>162</v>
      </c>
      <c r="AE131" s="20" t="s">
        <v>133</v>
      </c>
    </row>
    <row r="132" customFormat="false" ht="15" hidden="false" customHeight="false" outlineLevel="0" collapsed="false">
      <c r="A132" s="20" t="s">
        <v>161</v>
      </c>
      <c r="B132" s="20" t="s">
        <v>134</v>
      </c>
      <c r="C132" s="20" t="s">
        <v>117</v>
      </c>
      <c r="D132" s="20" t="s">
        <v>118</v>
      </c>
      <c r="E132" s="20" t="s">
        <v>119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120</v>
      </c>
      <c r="W132" s="20" t="s">
        <v>92</v>
      </c>
      <c r="X132" s="20"/>
      <c r="Y132" s="20" t="s">
        <v>93</v>
      </c>
      <c r="Z132" s="20" t="s">
        <v>121</v>
      </c>
      <c r="AA132" s="20" t="s">
        <v>122</v>
      </c>
      <c r="AB132" s="20" t="s">
        <v>123</v>
      </c>
      <c r="AC132" s="20" t="s">
        <v>124</v>
      </c>
      <c r="AD132" s="20" t="s">
        <v>162</v>
      </c>
      <c r="AE132" s="20" t="s">
        <v>135</v>
      </c>
    </row>
    <row r="133" customFormat="false" ht="15" hidden="false" customHeight="false" outlineLevel="0" collapsed="false">
      <c r="A133" s="20" t="s">
        <v>161</v>
      </c>
      <c r="B133" s="20" t="s">
        <v>67</v>
      </c>
      <c r="C133" s="20" t="s">
        <v>117</v>
      </c>
      <c r="D133" s="20" t="s">
        <v>118</v>
      </c>
      <c r="E133" s="20" t="s">
        <v>119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120</v>
      </c>
      <c r="W133" s="20" t="s">
        <v>92</v>
      </c>
      <c r="X133" s="20"/>
      <c r="Y133" s="20" t="s">
        <v>93</v>
      </c>
      <c r="Z133" s="20" t="s">
        <v>121</v>
      </c>
      <c r="AA133" s="20" t="s">
        <v>122</v>
      </c>
      <c r="AB133" s="20" t="s">
        <v>123</v>
      </c>
      <c r="AC133" s="20" t="s">
        <v>124</v>
      </c>
      <c r="AD133" s="20" t="s">
        <v>162</v>
      </c>
      <c r="AE133" s="20" t="s">
        <v>136</v>
      </c>
    </row>
    <row r="134" customFormat="false" ht="15" hidden="false" customHeight="false" outlineLevel="0" collapsed="false">
      <c r="A134" s="20" t="s">
        <v>161</v>
      </c>
      <c r="B134" s="20" t="s">
        <v>64</v>
      </c>
      <c r="C134" s="20" t="s">
        <v>117</v>
      </c>
      <c r="D134" s="20" t="s">
        <v>118</v>
      </c>
      <c r="E134" s="20" t="s">
        <v>119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120</v>
      </c>
      <c r="W134" s="20" t="s">
        <v>92</v>
      </c>
      <c r="X134" s="20"/>
      <c r="Y134" s="20" t="s">
        <v>93</v>
      </c>
      <c r="Z134" s="20" t="s">
        <v>121</v>
      </c>
      <c r="AA134" s="20" t="s">
        <v>122</v>
      </c>
      <c r="AB134" s="20" t="s">
        <v>123</v>
      </c>
      <c r="AC134" s="20" t="s">
        <v>124</v>
      </c>
      <c r="AD134" s="20" t="s">
        <v>162</v>
      </c>
      <c r="AE134" s="20" t="s">
        <v>137</v>
      </c>
    </row>
    <row r="135" customFormat="false" ht="15" hidden="false" customHeight="false" outlineLevel="0" collapsed="false">
      <c r="A135" s="20" t="s">
        <v>161</v>
      </c>
      <c r="B135" s="20" t="s">
        <v>74</v>
      </c>
      <c r="C135" s="20" t="s">
        <v>117</v>
      </c>
      <c r="D135" s="20" t="s">
        <v>118</v>
      </c>
      <c r="E135" s="20" t="s">
        <v>119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120</v>
      </c>
      <c r="W135" s="20" t="s">
        <v>92</v>
      </c>
      <c r="X135" s="20"/>
      <c r="Y135" s="20" t="s">
        <v>93</v>
      </c>
      <c r="Z135" s="20" t="s">
        <v>121</v>
      </c>
      <c r="AA135" s="20" t="s">
        <v>122</v>
      </c>
      <c r="AB135" s="20" t="s">
        <v>123</v>
      </c>
      <c r="AC135" s="20" t="s">
        <v>124</v>
      </c>
      <c r="AD135" s="20" t="s">
        <v>162</v>
      </c>
      <c r="AE135" s="20" t="s">
        <v>138</v>
      </c>
    </row>
    <row r="136" customFormat="false" ht="15" hidden="false" customHeight="false" outlineLevel="0" collapsed="false">
      <c r="A136" s="20" t="s">
        <v>161</v>
      </c>
      <c r="B136" s="20" t="s">
        <v>71</v>
      </c>
      <c r="C136" s="20" t="s">
        <v>117</v>
      </c>
      <c r="D136" s="20" t="s">
        <v>118</v>
      </c>
      <c r="E136" s="20" t="s">
        <v>119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120</v>
      </c>
      <c r="W136" s="20" t="s">
        <v>92</v>
      </c>
      <c r="X136" s="20"/>
      <c r="Y136" s="20" t="s">
        <v>93</v>
      </c>
      <c r="Z136" s="20" t="s">
        <v>121</v>
      </c>
      <c r="AA136" s="20" t="s">
        <v>122</v>
      </c>
      <c r="AB136" s="20" t="s">
        <v>123</v>
      </c>
      <c r="AC136" s="20" t="s">
        <v>124</v>
      </c>
      <c r="AD136" s="20" t="s">
        <v>162</v>
      </c>
      <c r="AE136" s="20" t="s">
        <v>139</v>
      </c>
    </row>
    <row r="137" customFormat="false" ht="15" hidden="false" customHeight="false" outlineLevel="0" collapsed="false">
      <c r="A137" s="20" t="s">
        <v>161</v>
      </c>
      <c r="B137" s="20" t="s">
        <v>78</v>
      </c>
      <c r="C137" s="20" t="s">
        <v>117</v>
      </c>
      <c r="D137" s="20" t="s">
        <v>118</v>
      </c>
      <c r="E137" s="20" t="s">
        <v>119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120</v>
      </c>
      <c r="W137" s="20" t="s">
        <v>92</v>
      </c>
      <c r="X137" s="20"/>
      <c r="Y137" s="20" t="s">
        <v>93</v>
      </c>
      <c r="Z137" s="20" t="s">
        <v>121</v>
      </c>
      <c r="AA137" s="20" t="s">
        <v>122</v>
      </c>
      <c r="AB137" s="20" t="s">
        <v>123</v>
      </c>
      <c r="AC137" s="20" t="s">
        <v>124</v>
      </c>
      <c r="AD137" s="20" t="s">
        <v>162</v>
      </c>
      <c r="AE137" s="20" t="s">
        <v>140</v>
      </c>
    </row>
    <row r="138" customFormat="false" ht="15" hidden="false" customHeight="false" outlineLevel="0" collapsed="false">
      <c r="A138" s="20" t="s">
        <v>161</v>
      </c>
      <c r="B138" s="20" t="s">
        <v>141</v>
      </c>
      <c r="C138" s="20" t="s">
        <v>117</v>
      </c>
      <c r="D138" s="20" t="s">
        <v>118</v>
      </c>
      <c r="E138" s="20" t="s">
        <v>119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120</v>
      </c>
      <c r="W138" s="20" t="s">
        <v>92</v>
      </c>
      <c r="X138" s="20"/>
      <c r="Y138" s="20" t="s">
        <v>93</v>
      </c>
      <c r="Z138" s="20" t="s">
        <v>121</v>
      </c>
      <c r="AA138" s="20" t="s">
        <v>122</v>
      </c>
      <c r="AB138" s="20" t="s">
        <v>123</v>
      </c>
      <c r="AC138" s="20" t="s">
        <v>124</v>
      </c>
      <c r="AD138" s="20" t="s">
        <v>162</v>
      </c>
      <c r="AE138" s="20" t="s">
        <v>142</v>
      </c>
    </row>
    <row r="139" customFormat="false" ht="15" hidden="false" customHeight="false" outlineLevel="0" collapsed="false">
      <c r="A139" s="20" t="s">
        <v>163</v>
      </c>
      <c r="B139" s="20" t="s">
        <v>116</v>
      </c>
      <c r="C139" s="20" t="s">
        <v>117</v>
      </c>
      <c r="D139" s="20" t="s">
        <v>118</v>
      </c>
      <c r="E139" s="20" t="s">
        <v>119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120</v>
      </c>
      <c r="W139" s="20" t="s">
        <v>92</v>
      </c>
      <c r="X139" s="20"/>
      <c r="Y139" s="20" t="s">
        <v>93</v>
      </c>
      <c r="Z139" s="20" t="s">
        <v>121</v>
      </c>
      <c r="AA139" s="20" t="s">
        <v>122</v>
      </c>
      <c r="AB139" s="20" t="s">
        <v>123</v>
      </c>
      <c r="AC139" s="20" t="s">
        <v>124</v>
      </c>
      <c r="AD139" s="20" t="s">
        <v>164</v>
      </c>
      <c r="AE139" s="20" t="s">
        <v>126</v>
      </c>
    </row>
    <row r="140" customFormat="false" ht="15" hidden="false" customHeight="false" outlineLevel="0" collapsed="false">
      <c r="A140" s="20" t="s">
        <v>163</v>
      </c>
      <c r="B140" s="20" t="s">
        <v>127</v>
      </c>
      <c r="C140" s="20" t="s">
        <v>117</v>
      </c>
      <c r="D140" s="20" t="s">
        <v>118</v>
      </c>
      <c r="E140" s="20" t="s">
        <v>119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120</v>
      </c>
      <c r="W140" s="20" t="s">
        <v>92</v>
      </c>
      <c r="X140" s="20"/>
      <c r="Y140" s="20" t="s">
        <v>93</v>
      </c>
      <c r="Z140" s="20" t="s">
        <v>121</v>
      </c>
      <c r="AA140" s="20" t="s">
        <v>122</v>
      </c>
      <c r="AB140" s="20" t="s">
        <v>123</v>
      </c>
      <c r="AC140" s="20" t="s">
        <v>124</v>
      </c>
      <c r="AD140" s="20" t="s">
        <v>164</v>
      </c>
      <c r="AE140" s="20" t="s">
        <v>128</v>
      </c>
    </row>
    <row r="141" customFormat="false" ht="15" hidden="false" customHeight="false" outlineLevel="0" collapsed="false">
      <c r="A141" s="20" t="s">
        <v>163</v>
      </c>
      <c r="B141" s="20" t="s">
        <v>129</v>
      </c>
      <c r="C141" s="20" t="s">
        <v>117</v>
      </c>
      <c r="D141" s="20" t="s">
        <v>118</v>
      </c>
      <c r="E141" s="20" t="s">
        <v>119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120</v>
      </c>
      <c r="W141" s="20" t="s">
        <v>92</v>
      </c>
      <c r="X141" s="20"/>
      <c r="Y141" s="20" t="s">
        <v>93</v>
      </c>
      <c r="Z141" s="20" t="s">
        <v>121</v>
      </c>
      <c r="AA141" s="20" t="s">
        <v>122</v>
      </c>
      <c r="AB141" s="20" t="s">
        <v>123</v>
      </c>
      <c r="AC141" s="20" t="s">
        <v>124</v>
      </c>
      <c r="AD141" s="20" t="s">
        <v>164</v>
      </c>
      <c r="AE141" s="20" t="s">
        <v>130</v>
      </c>
    </row>
    <row r="142" customFormat="false" ht="15" hidden="false" customHeight="false" outlineLevel="0" collapsed="false">
      <c r="A142" s="20" t="s">
        <v>163</v>
      </c>
      <c r="B142" s="20" t="s">
        <v>131</v>
      </c>
      <c r="C142" s="20" t="s">
        <v>117</v>
      </c>
      <c r="D142" s="20" t="s">
        <v>118</v>
      </c>
      <c r="E142" s="20" t="s">
        <v>119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120</v>
      </c>
      <c r="W142" s="20" t="s">
        <v>92</v>
      </c>
      <c r="X142" s="20"/>
      <c r="Y142" s="20" t="s">
        <v>93</v>
      </c>
      <c r="Z142" s="20" t="s">
        <v>121</v>
      </c>
      <c r="AA142" s="20" t="s">
        <v>122</v>
      </c>
      <c r="AB142" s="20" t="s">
        <v>123</v>
      </c>
      <c r="AC142" s="20" t="s">
        <v>124</v>
      </c>
      <c r="AD142" s="20" t="s">
        <v>164</v>
      </c>
      <c r="AE142" s="20" t="s">
        <v>132</v>
      </c>
    </row>
    <row r="143" customFormat="false" ht="15" hidden="false" customHeight="false" outlineLevel="0" collapsed="false">
      <c r="A143" s="20" t="s">
        <v>163</v>
      </c>
      <c r="B143" s="20" t="s">
        <v>60</v>
      </c>
      <c r="C143" s="20" t="s">
        <v>117</v>
      </c>
      <c r="D143" s="20" t="s">
        <v>118</v>
      </c>
      <c r="E143" s="20" t="s">
        <v>119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120</v>
      </c>
      <c r="W143" s="20" t="s">
        <v>92</v>
      </c>
      <c r="X143" s="20"/>
      <c r="Y143" s="20" t="s">
        <v>93</v>
      </c>
      <c r="Z143" s="20" t="s">
        <v>121</v>
      </c>
      <c r="AA143" s="20" t="s">
        <v>122</v>
      </c>
      <c r="AB143" s="20" t="s">
        <v>123</v>
      </c>
      <c r="AC143" s="20" t="s">
        <v>124</v>
      </c>
      <c r="AD143" s="20" t="s">
        <v>164</v>
      </c>
      <c r="AE143" s="20" t="s">
        <v>133</v>
      </c>
    </row>
    <row r="144" customFormat="false" ht="15" hidden="false" customHeight="false" outlineLevel="0" collapsed="false">
      <c r="A144" s="20" t="s">
        <v>163</v>
      </c>
      <c r="B144" s="20" t="s">
        <v>134</v>
      </c>
      <c r="C144" s="20" t="s">
        <v>117</v>
      </c>
      <c r="D144" s="20" t="s">
        <v>118</v>
      </c>
      <c r="E144" s="20" t="s">
        <v>119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120</v>
      </c>
      <c r="W144" s="20" t="s">
        <v>92</v>
      </c>
      <c r="X144" s="20"/>
      <c r="Y144" s="20" t="s">
        <v>93</v>
      </c>
      <c r="Z144" s="20" t="s">
        <v>121</v>
      </c>
      <c r="AA144" s="20" t="s">
        <v>122</v>
      </c>
      <c r="AB144" s="20" t="s">
        <v>123</v>
      </c>
      <c r="AC144" s="20" t="s">
        <v>124</v>
      </c>
      <c r="AD144" s="20" t="s">
        <v>164</v>
      </c>
      <c r="AE144" s="20" t="s">
        <v>135</v>
      </c>
    </row>
    <row r="145" customFormat="false" ht="15" hidden="false" customHeight="false" outlineLevel="0" collapsed="false">
      <c r="A145" s="20" t="s">
        <v>163</v>
      </c>
      <c r="B145" s="20" t="s">
        <v>67</v>
      </c>
      <c r="C145" s="20" t="s">
        <v>117</v>
      </c>
      <c r="D145" s="20" t="s">
        <v>118</v>
      </c>
      <c r="E145" s="20" t="s">
        <v>119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120</v>
      </c>
      <c r="W145" s="20" t="s">
        <v>92</v>
      </c>
      <c r="X145" s="20"/>
      <c r="Y145" s="20" t="s">
        <v>93</v>
      </c>
      <c r="Z145" s="20" t="s">
        <v>121</v>
      </c>
      <c r="AA145" s="20" t="s">
        <v>122</v>
      </c>
      <c r="AB145" s="20" t="s">
        <v>123</v>
      </c>
      <c r="AC145" s="20" t="s">
        <v>124</v>
      </c>
      <c r="AD145" s="20" t="s">
        <v>164</v>
      </c>
      <c r="AE145" s="20" t="s">
        <v>136</v>
      </c>
    </row>
    <row r="146" customFormat="false" ht="15" hidden="false" customHeight="false" outlineLevel="0" collapsed="false">
      <c r="A146" s="20" t="s">
        <v>163</v>
      </c>
      <c r="B146" s="20" t="s">
        <v>64</v>
      </c>
      <c r="C146" s="20" t="s">
        <v>117</v>
      </c>
      <c r="D146" s="20" t="s">
        <v>118</v>
      </c>
      <c r="E146" s="20" t="s">
        <v>119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120</v>
      </c>
      <c r="W146" s="20" t="s">
        <v>92</v>
      </c>
      <c r="X146" s="20"/>
      <c r="Y146" s="20" t="s">
        <v>93</v>
      </c>
      <c r="Z146" s="20" t="s">
        <v>121</v>
      </c>
      <c r="AA146" s="20" t="s">
        <v>122</v>
      </c>
      <c r="AB146" s="20" t="s">
        <v>123</v>
      </c>
      <c r="AC146" s="20" t="s">
        <v>124</v>
      </c>
      <c r="AD146" s="20" t="s">
        <v>164</v>
      </c>
      <c r="AE146" s="20" t="s">
        <v>137</v>
      </c>
    </row>
    <row r="147" customFormat="false" ht="15" hidden="false" customHeight="false" outlineLevel="0" collapsed="false">
      <c r="A147" s="20" t="s">
        <v>163</v>
      </c>
      <c r="B147" s="20" t="s">
        <v>74</v>
      </c>
      <c r="C147" s="20" t="s">
        <v>117</v>
      </c>
      <c r="D147" s="20" t="s">
        <v>118</v>
      </c>
      <c r="E147" s="20" t="s">
        <v>119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120</v>
      </c>
      <c r="W147" s="20" t="s">
        <v>92</v>
      </c>
      <c r="X147" s="20"/>
      <c r="Y147" s="20" t="s">
        <v>93</v>
      </c>
      <c r="Z147" s="20" t="s">
        <v>121</v>
      </c>
      <c r="AA147" s="20" t="s">
        <v>122</v>
      </c>
      <c r="AB147" s="20" t="s">
        <v>123</v>
      </c>
      <c r="AC147" s="20" t="s">
        <v>124</v>
      </c>
      <c r="AD147" s="20" t="s">
        <v>164</v>
      </c>
      <c r="AE147" s="20" t="s">
        <v>138</v>
      </c>
    </row>
    <row r="148" customFormat="false" ht="15" hidden="false" customHeight="false" outlineLevel="0" collapsed="false">
      <c r="A148" s="20" t="s">
        <v>163</v>
      </c>
      <c r="B148" s="20" t="s">
        <v>71</v>
      </c>
      <c r="C148" s="20" t="s">
        <v>117</v>
      </c>
      <c r="D148" s="20" t="s">
        <v>118</v>
      </c>
      <c r="E148" s="20" t="s">
        <v>119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120</v>
      </c>
      <c r="W148" s="20" t="s">
        <v>92</v>
      </c>
      <c r="X148" s="20"/>
      <c r="Y148" s="20" t="s">
        <v>93</v>
      </c>
      <c r="Z148" s="20" t="s">
        <v>121</v>
      </c>
      <c r="AA148" s="20" t="s">
        <v>122</v>
      </c>
      <c r="AB148" s="20" t="s">
        <v>123</v>
      </c>
      <c r="AC148" s="20" t="s">
        <v>124</v>
      </c>
      <c r="AD148" s="20" t="s">
        <v>164</v>
      </c>
      <c r="AE148" s="20" t="s">
        <v>139</v>
      </c>
    </row>
    <row r="149" customFormat="false" ht="15" hidden="false" customHeight="false" outlineLevel="0" collapsed="false">
      <c r="A149" s="20" t="s">
        <v>163</v>
      </c>
      <c r="B149" s="20" t="s">
        <v>78</v>
      </c>
      <c r="C149" s="20" t="s">
        <v>117</v>
      </c>
      <c r="D149" s="20" t="s">
        <v>118</v>
      </c>
      <c r="E149" s="20" t="s">
        <v>119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120</v>
      </c>
      <c r="W149" s="20" t="s">
        <v>92</v>
      </c>
      <c r="X149" s="20"/>
      <c r="Y149" s="20" t="s">
        <v>93</v>
      </c>
      <c r="Z149" s="20" t="s">
        <v>121</v>
      </c>
      <c r="AA149" s="20" t="s">
        <v>122</v>
      </c>
      <c r="AB149" s="20" t="s">
        <v>123</v>
      </c>
      <c r="AC149" s="20" t="s">
        <v>124</v>
      </c>
      <c r="AD149" s="20" t="s">
        <v>164</v>
      </c>
      <c r="AE149" s="20" t="s">
        <v>140</v>
      </c>
    </row>
    <row r="150" customFormat="false" ht="15" hidden="false" customHeight="false" outlineLevel="0" collapsed="false">
      <c r="A150" s="20" t="s">
        <v>163</v>
      </c>
      <c r="B150" s="20" t="s">
        <v>141</v>
      </c>
      <c r="C150" s="20" t="s">
        <v>117</v>
      </c>
      <c r="D150" s="20" t="s">
        <v>118</v>
      </c>
      <c r="E150" s="20" t="s">
        <v>119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120</v>
      </c>
      <c r="W150" s="20" t="s">
        <v>92</v>
      </c>
      <c r="X150" s="20"/>
      <c r="Y150" s="20" t="s">
        <v>93</v>
      </c>
      <c r="Z150" s="20" t="s">
        <v>121</v>
      </c>
      <c r="AA150" s="20" t="s">
        <v>122</v>
      </c>
      <c r="AB150" s="20" t="s">
        <v>123</v>
      </c>
      <c r="AC150" s="20" t="s">
        <v>124</v>
      </c>
      <c r="AD150" s="20" t="s">
        <v>164</v>
      </c>
      <c r="AE150" s="20" t="s">
        <v>142</v>
      </c>
    </row>
    <row r="151" customFormat="false" ht="15" hidden="false" customHeight="false" outlineLevel="0" collapsed="false">
      <c r="A151" s="20" t="s">
        <v>165</v>
      </c>
      <c r="B151" s="20" t="s">
        <v>116</v>
      </c>
      <c r="C151" s="20" t="s">
        <v>117</v>
      </c>
      <c r="D151" s="20" t="s">
        <v>118</v>
      </c>
      <c r="E151" s="20" t="s">
        <v>119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120</v>
      </c>
      <c r="W151" s="20" t="s">
        <v>92</v>
      </c>
      <c r="X151" s="20"/>
      <c r="Y151" s="20" t="s">
        <v>93</v>
      </c>
      <c r="Z151" s="20" t="s">
        <v>121</v>
      </c>
      <c r="AA151" s="20" t="s">
        <v>122</v>
      </c>
      <c r="AB151" s="20" t="s">
        <v>123</v>
      </c>
      <c r="AC151" s="20" t="s">
        <v>124</v>
      </c>
      <c r="AD151" s="20" t="s">
        <v>166</v>
      </c>
      <c r="AE151" s="20" t="s">
        <v>126</v>
      </c>
    </row>
    <row r="152" customFormat="false" ht="15" hidden="false" customHeight="false" outlineLevel="0" collapsed="false">
      <c r="A152" s="20" t="s">
        <v>165</v>
      </c>
      <c r="B152" s="20" t="s">
        <v>127</v>
      </c>
      <c r="C152" s="20" t="s">
        <v>117</v>
      </c>
      <c r="D152" s="20" t="s">
        <v>118</v>
      </c>
      <c r="E152" s="20" t="s">
        <v>119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120</v>
      </c>
      <c r="W152" s="20" t="s">
        <v>92</v>
      </c>
      <c r="X152" s="20"/>
      <c r="Y152" s="20" t="s">
        <v>93</v>
      </c>
      <c r="Z152" s="20" t="s">
        <v>121</v>
      </c>
      <c r="AA152" s="20" t="s">
        <v>122</v>
      </c>
      <c r="AB152" s="20" t="s">
        <v>123</v>
      </c>
      <c r="AC152" s="20" t="s">
        <v>124</v>
      </c>
      <c r="AD152" s="20" t="s">
        <v>166</v>
      </c>
      <c r="AE152" s="20" t="s">
        <v>128</v>
      </c>
    </row>
    <row r="153" customFormat="false" ht="15" hidden="false" customHeight="false" outlineLevel="0" collapsed="false">
      <c r="A153" s="20" t="s">
        <v>165</v>
      </c>
      <c r="B153" s="20" t="s">
        <v>129</v>
      </c>
      <c r="C153" s="20" t="s">
        <v>117</v>
      </c>
      <c r="D153" s="20" t="s">
        <v>118</v>
      </c>
      <c r="E153" s="20" t="s">
        <v>119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120</v>
      </c>
      <c r="W153" s="20" t="s">
        <v>92</v>
      </c>
      <c r="X153" s="20"/>
      <c r="Y153" s="20" t="s">
        <v>93</v>
      </c>
      <c r="Z153" s="20" t="s">
        <v>121</v>
      </c>
      <c r="AA153" s="20" t="s">
        <v>122</v>
      </c>
      <c r="AB153" s="20" t="s">
        <v>123</v>
      </c>
      <c r="AC153" s="20" t="s">
        <v>124</v>
      </c>
      <c r="AD153" s="20" t="s">
        <v>166</v>
      </c>
      <c r="AE153" s="20" t="s">
        <v>130</v>
      </c>
    </row>
    <row r="154" customFormat="false" ht="15" hidden="false" customHeight="false" outlineLevel="0" collapsed="false">
      <c r="A154" s="20" t="s">
        <v>165</v>
      </c>
      <c r="B154" s="20" t="s">
        <v>131</v>
      </c>
      <c r="C154" s="20" t="s">
        <v>117</v>
      </c>
      <c r="D154" s="20" t="s">
        <v>118</v>
      </c>
      <c r="E154" s="20" t="s">
        <v>119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120</v>
      </c>
      <c r="W154" s="20" t="s">
        <v>92</v>
      </c>
      <c r="X154" s="20"/>
      <c r="Y154" s="20" t="s">
        <v>93</v>
      </c>
      <c r="Z154" s="20" t="s">
        <v>121</v>
      </c>
      <c r="AA154" s="20" t="s">
        <v>122</v>
      </c>
      <c r="AB154" s="20" t="s">
        <v>123</v>
      </c>
      <c r="AC154" s="20" t="s">
        <v>124</v>
      </c>
      <c r="AD154" s="20" t="s">
        <v>166</v>
      </c>
      <c r="AE154" s="20" t="s">
        <v>132</v>
      </c>
    </row>
    <row r="155" customFormat="false" ht="15" hidden="false" customHeight="false" outlineLevel="0" collapsed="false">
      <c r="A155" s="20" t="s">
        <v>165</v>
      </c>
      <c r="B155" s="20" t="s">
        <v>60</v>
      </c>
      <c r="C155" s="20" t="s">
        <v>117</v>
      </c>
      <c r="D155" s="20" t="s">
        <v>118</v>
      </c>
      <c r="E155" s="20" t="s">
        <v>119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120</v>
      </c>
      <c r="W155" s="20" t="s">
        <v>92</v>
      </c>
      <c r="X155" s="20"/>
      <c r="Y155" s="20" t="s">
        <v>93</v>
      </c>
      <c r="Z155" s="20" t="s">
        <v>121</v>
      </c>
      <c r="AA155" s="20" t="s">
        <v>122</v>
      </c>
      <c r="AB155" s="20" t="s">
        <v>123</v>
      </c>
      <c r="AC155" s="20" t="s">
        <v>124</v>
      </c>
      <c r="AD155" s="20" t="s">
        <v>166</v>
      </c>
      <c r="AE155" s="20" t="s">
        <v>133</v>
      </c>
    </row>
    <row r="156" customFormat="false" ht="15" hidden="false" customHeight="false" outlineLevel="0" collapsed="false">
      <c r="A156" s="20" t="s">
        <v>165</v>
      </c>
      <c r="B156" s="20" t="s">
        <v>134</v>
      </c>
      <c r="C156" s="20" t="s">
        <v>117</v>
      </c>
      <c r="D156" s="20" t="s">
        <v>118</v>
      </c>
      <c r="E156" s="20" t="s">
        <v>119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120</v>
      </c>
      <c r="W156" s="20" t="s">
        <v>92</v>
      </c>
      <c r="X156" s="20"/>
      <c r="Y156" s="20" t="s">
        <v>93</v>
      </c>
      <c r="Z156" s="20" t="s">
        <v>121</v>
      </c>
      <c r="AA156" s="20" t="s">
        <v>122</v>
      </c>
      <c r="AB156" s="20" t="s">
        <v>123</v>
      </c>
      <c r="AC156" s="20" t="s">
        <v>124</v>
      </c>
      <c r="AD156" s="20" t="s">
        <v>166</v>
      </c>
      <c r="AE156" s="20" t="s">
        <v>135</v>
      </c>
    </row>
    <row r="157" customFormat="false" ht="15" hidden="false" customHeight="false" outlineLevel="0" collapsed="false">
      <c r="A157" s="20" t="s">
        <v>165</v>
      </c>
      <c r="B157" s="20" t="s">
        <v>67</v>
      </c>
      <c r="C157" s="20" t="s">
        <v>117</v>
      </c>
      <c r="D157" s="20" t="s">
        <v>118</v>
      </c>
      <c r="E157" s="20" t="s">
        <v>119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120</v>
      </c>
      <c r="W157" s="20" t="s">
        <v>92</v>
      </c>
      <c r="X157" s="20"/>
      <c r="Y157" s="20" t="s">
        <v>93</v>
      </c>
      <c r="Z157" s="20" t="s">
        <v>121</v>
      </c>
      <c r="AA157" s="20" t="s">
        <v>122</v>
      </c>
      <c r="AB157" s="20" t="s">
        <v>123</v>
      </c>
      <c r="AC157" s="20" t="s">
        <v>124</v>
      </c>
      <c r="AD157" s="20" t="s">
        <v>166</v>
      </c>
      <c r="AE157" s="20" t="s">
        <v>136</v>
      </c>
    </row>
    <row r="158" customFormat="false" ht="15" hidden="false" customHeight="false" outlineLevel="0" collapsed="false">
      <c r="A158" s="20" t="s">
        <v>165</v>
      </c>
      <c r="B158" s="20" t="s">
        <v>64</v>
      </c>
      <c r="C158" s="20" t="s">
        <v>117</v>
      </c>
      <c r="D158" s="20" t="s">
        <v>118</v>
      </c>
      <c r="E158" s="20" t="s">
        <v>119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120</v>
      </c>
      <c r="W158" s="20" t="s">
        <v>92</v>
      </c>
      <c r="X158" s="20"/>
      <c r="Y158" s="20" t="s">
        <v>93</v>
      </c>
      <c r="Z158" s="20" t="s">
        <v>121</v>
      </c>
      <c r="AA158" s="20" t="s">
        <v>122</v>
      </c>
      <c r="AB158" s="20" t="s">
        <v>123</v>
      </c>
      <c r="AC158" s="20" t="s">
        <v>124</v>
      </c>
      <c r="AD158" s="20" t="s">
        <v>166</v>
      </c>
      <c r="AE158" s="20" t="s">
        <v>137</v>
      </c>
    </row>
    <row r="159" customFormat="false" ht="15" hidden="false" customHeight="false" outlineLevel="0" collapsed="false">
      <c r="A159" s="20" t="s">
        <v>165</v>
      </c>
      <c r="B159" s="20" t="s">
        <v>74</v>
      </c>
      <c r="C159" s="20" t="s">
        <v>117</v>
      </c>
      <c r="D159" s="20" t="s">
        <v>118</v>
      </c>
      <c r="E159" s="20" t="s">
        <v>119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120</v>
      </c>
      <c r="W159" s="20" t="s">
        <v>92</v>
      </c>
      <c r="X159" s="20"/>
      <c r="Y159" s="20" t="s">
        <v>93</v>
      </c>
      <c r="Z159" s="20" t="s">
        <v>121</v>
      </c>
      <c r="AA159" s="20" t="s">
        <v>122</v>
      </c>
      <c r="AB159" s="20" t="s">
        <v>123</v>
      </c>
      <c r="AC159" s="20" t="s">
        <v>124</v>
      </c>
      <c r="AD159" s="20" t="s">
        <v>166</v>
      </c>
      <c r="AE159" s="20" t="s">
        <v>138</v>
      </c>
    </row>
    <row r="160" customFormat="false" ht="15" hidden="false" customHeight="false" outlineLevel="0" collapsed="false">
      <c r="A160" s="20" t="s">
        <v>165</v>
      </c>
      <c r="B160" s="20" t="s">
        <v>71</v>
      </c>
      <c r="C160" s="20" t="s">
        <v>117</v>
      </c>
      <c r="D160" s="20" t="s">
        <v>118</v>
      </c>
      <c r="E160" s="20" t="s">
        <v>119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120</v>
      </c>
      <c r="W160" s="20" t="s">
        <v>92</v>
      </c>
      <c r="X160" s="20"/>
      <c r="Y160" s="20" t="s">
        <v>93</v>
      </c>
      <c r="Z160" s="20" t="s">
        <v>121</v>
      </c>
      <c r="AA160" s="20" t="s">
        <v>122</v>
      </c>
      <c r="AB160" s="20" t="s">
        <v>123</v>
      </c>
      <c r="AC160" s="20" t="s">
        <v>124</v>
      </c>
      <c r="AD160" s="20" t="s">
        <v>166</v>
      </c>
      <c r="AE160" s="20" t="s">
        <v>139</v>
      </c>
    </row>
    <row r="161" customFormat="false" ht="15" hidden="false" customHeight="false" outlineLevel="0" collapsed="false">
      <c r="A161" s="20" t="s">
        <v>165</v>
      </c>
      <c r="B161" s="20" t="s">
        <v>78</v>
      </c>
      <c r="C161" s="20" t="s">
        <v>117</v>
      </c>
      <c r="D161" s="20" t="s">
        <v>118</v>
      </c>
      <c r="E161" s="20" t="s">
        <v>119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120</v>
      </c>
      <c r="W161" s="20" t="s">
        <v>92</v>
      </c>
      <c r="X161" s="20"/>
      <c r="Y161" s="20" t="s">
        <v>93</v>
      </c>
      <c r="Z161" s="20" t="s">
        <v>121</v>
      </c>
      <c r="AA161" s="20" t="s">
        <v>122</v>
      </c>
      <c r="AB161" s="20" t="s">
        <v>123</v>
      </c>
      <c r="AC161" s="20" t="s">
        <v>124</v>
      </c>
      <c r="AD161" s="20" t="s">
        <v>166</v>
      </c>
      <c r="AE161" s="20" t="s">
        <v>140</v>
      </c>
    </row>
    <row r="162" customFormat="false" ht="15" hidden="false" customHeight="false" outlineLevel="0" collapsed="false">
      <c r="A162" s="20" t="s">
        <v>165</v>
      </c>
      <c r="B162" s="20" t="s">
        <v>141</v>
      </c>
      <c r="C162" s="20" t="s">
        <v>117</v>
      </c>
      <c r="D162" s="20" t="s">
        <v>118</v>
      </c>
      <c r="E162" s="20" t="s">
        <v>119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120</v>
      </c>
      <c r="W162" s="20" t="s">
        <v>92</v>
      </c>
      <c r="X162" s="20"/>
      <c r="Y162" s="20" t="s">
        <v>93</v>
      </c>
      <c r="Z162" s="20" t="s">
        <v>121</v>
      </c>
      <c r="AA162" s="20" t="s">
        <v>122</v>
      </c>
      <c r="AB162" s="20" t="s">
        <v>123</v>
      </c>
      <c r="AC162" s="20" t="s">
        <v>124</v>
      </c>
      <c r="AD162" s="20" t="s">
        <v>166</v>
      </c>
      <c r="AE162" s="20" t="s">
        <v>142</v>
      </c>
    </row>
    <row r="163" customFormat="false" ht="15" hidden="false" customHeight="false" outlineLevel="0" collapsed="false">
      <c r="A163" s="20" t="s">
        <v>167</v>
      </c>
      <c r="B163" s="20" t="s">
        <v>116</v>
      </c>
      <c r="C163" s="20" t="s">
        <v>117</v>
      </c>
      <c r="D163" s="20" t="s">
        <v>118</v>
      </c>
      <c r="E163" s="20" t="s">
        <v>119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120</v>
      </c>
      <c r="W163" s="20" t="s">
        <v>92</v>
      </c>
      <c r="X163" s="20"/>
      <c r="Y163" s="20" t="s">
        <v>93</v>
      </c>
      <c r="Z163" s="20" t="s">
        <v>121</v>
      </c>
      <c r="AA163" s="20" t="s">
        <v>122</v>
      </c>
      <c r="AB163" s="20" t="s">
        <v>123</v>
      </c>
      <c r="AC163" s="20" t="s">
        <v>124</v>
      </c>
      <c r="AD163" s="20" t="s">
        <v>168</v>
      </c>
      <c r="AE163" s="20" t="s">
        <v>126</v>
      </c>
    </row>
    <row r="164" customFormat="false" ht="15" hidden="false" customHeight="false" outlineLevel="0" collapsed="false">
      <c r="A164" s="20" t="s">
        <v>167</v>
      </c>
      <c r="B164" s="20" t="s">
        <v>127</v>
      </c>
      <c r="C164" s="20" t="s">
        <v>117</v>
      </c>
      <c r="D164" s="20" t="s">
        <v>118</v>
      </c>
      <c r="E164" s="20" t="s">
        <v>119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120</v>
      </c>
      <c r="W164" s="20" t="s">
        <v>92</v>
      </c>
      <c r="X164" s="20"/>
      <c r="Y164" s="20" t="s">
        <v>93</v>
      </c>
      <c r="Z164" s="20" t="s">
        <v>121</v>
      </c>
      <c r="AA164" s="20" t="s">
        <v>122</v>
      </c>
      <c r="AB164" s="20" t="s">
        <v>123</v>
      </c>
      <c r="AC164" s="20" t="s">
        <v>124</v>
      </c>
      <c r="AD164" s="20" t="s">
        <v>168</v>
      </c>
      <c r="AE164" s="20" t="s">
        <v>128</v>
      </c>
    </row>
    <row r="165" customFormat="false" ht="15" hidden="false" customHeight="false" outlineLevel="0" collapsed="false">
      <c r="A165" s="20" t="s">
        <v>167</v>
      </c>
      <c r="B165" s="20" t="s">
        <v>129</v>
      </c>
      <c r="C165" s="20" t="s">
        <v>117</v>
      </c>
      <c r="D165" s="20" t="s">
        <v>118</v>
      </c>
      <c r="E165" s="20" t="s">
        <v>119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120</v>
      </c>
      <c r="W165" s="20" t="s">
        <v>92</v>
      </c>
      <c r="X165" s="20"/>
      <c r="Y165" s="20" t="s">
        <v>93</v>
      </c>
      <c r="Z165" s="20" t="s">
        <v>121</v>
      </c>
      <c r="AA165" s="20" t="s">
        <v>122</v>
      </c>
      <c r="AB165" s="20" t="s">
        <v>123</v>
      </c>
      <c r="AC165" s="20" t="s">
        <v>124</v>
      </c>
      <c r="AD165" s="20" t="s">
        <v>168</v>
      </c>
      <c r="AE165" s="20" t="s">
        <v>130</v>
      </c>
    </row>
    <row r="166" customFormat="false" ht="15" hidden="false" customHeight="false" outlineLevel="0" collapsed="false">
      <c r="A166" s="20" t="s">
        <v>167</v>
      </c>
      <c r="B166" s="20" t="s">
        <v>131</v>
      </c>
      <c r="C166" s="20" t="s">
        <v>117</v>
      </c>
      <c r="D166" s="20" t="s">
        <v>118</v>
      </c>
      <c r="E166" s="20" t="s">
        <v>119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120</v>
      </c>
      <c r="W166" s="20" t="s">
        <v>92</v>
      </c>
      <c r="X166" s="20"/>
      <c r="Y166" s="20" t="s">
        <v>93</v>
      </c>
      <c r="Z166" s="20" t="s">
        <v>121</v>
      </c>
      <c r="AA166" s="20" t="s">
        <v>122</v>
      </c>
      <c r="AB166" s="20" t="s">
        <v>123</v>
      </c>
      <c r="AC166" s="20" t="s">
        <v>124</v>
      </c>
      <c r="AD166" s="20" t="s">
        <v>168</v>
      </c>
      <c r="AE166" s="20" t="s">
        <v>132</v>
      </c>
    </row>
    <row r="167" customFormat="false" ht="15" hidden="false" customHeight="false" outlineLevel="0" collapsed="false">
      <c r="A167" s="20" t="s">
        <v>167</v>
      </c>
      <c r="B167" s="20" t="s">
        <v>60</v>
      </c>
      <c r="C167" s="20" t="s">
        <v>117</v>
      </c>
      <c r="D167" s="20" t="s">
        <v>118</v>
      </c>
      <c r="E167" s="20" t="s">
        <v>119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120</v>
      </c>
      <c r="W167" s="20" t="s">
        <v>92</v>
      </c>
      <c r="X167" s="20"/>
      <c r="Y167" s="20" t="s">
        <v>93</v>
      </c>
      <c r="Z167" s="20" t="s">
        <v>121</v>
      </c>
      <c r="AA167" s="20" t="s">
        <v>122</v>
      </c>
      <c r="AB167" s="20" t="s">
        <v>123</v>
      </c>
      <c r="AC167" s="20" t="s">
        <v>124</v>
      </c>
      <c r="AD167" s="20" t="s">
        <v>168</v>
      </c>
      <c r="AE167" s="20" t="s">
        <v>133</v>
      </c>
    </row>
    <row r="168" customFormat="false" ht="15" hidden="false" customHeight="false" outlineLevel="0" collapsed="false">
      <c r="A168" s="20" t="s">
        <v>167</v>
      </c>
      <c r="B168" s="20" t="s">
        <v>134</v>
      </c>
      <c r="C168" s="20" t="s">
        <v>117</v>
      </c>
      <c r="D168" s="20" t="s">
        <v>118</v>
      </c>
      <c r="E168" s="20" t="s">
        <v>119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120</v>
      </c>
      <c r="W168" s="20" t="s">
        <v>92</v>
      </c>
      <c r="X168" s="20"/>
      <c r="Y168" s="20" t="s">
        <v>93</v>
      </c>
      <c r="Z168" s="20" t="s">
        <v>121</v>
      </c>
      <c r="AA168" s="20" t="s">
        <v>122</v>
      </c>
      <c r="AB168" s="20" t="s">
        <v>123</v>
      </c>
      <c r="AC168" s="20" t="s">
        <v>124</v>
      </c>
      <c r="AD168" s="20" t="s">
        <v>168</v>
      </c>
      <c r="AE168" s="20" t="s">
        <v>135</v>
      </c>
    </row>
    <row r="169" customFormat="false" ht="15" hidden="false" customHeight="false" outlineLevel="0" collapsed="false">
      <c r="A169" s="20" t="s">
        <v>167</v>
      </c>
      <c r="B169" s="20" t="s">
        <v>67</v>
      </c>
      <c r="C169" s="20" t="s">
        <v>117</v>
      </c>
      <c r="D169" s="20" t="s">
        <v>118</v>
      </c>
      <c r="E169" s="20" t="s">
        <v>119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120</v>
      </c>
      <c r="W169" s="20" t="s">
        <v>92</v>
      </c>
      <c r="X169" s="20"/>
      <c r="Y169" s="20" t="s">
        <v>93</v>
      </c>
      <c r="Z169" s="20" t="s">
        <v>121</v>
      </c>
      <c r="AA169" s="20" t="s">
        <v>122</v>
      </c>
      <c r="AB169" s="20" t="s">
        <v>123</v>
      </c>
      <c r="AC169" s="20" t="s">
        <v>124</v>
      </c>
      <c r="AD169" s="20" t="s">
        <v>168</v>
      </c>
      <c r="AE169" s="20" t="s">
        <v>136</v>
      </c>
    </row>
    <row r="170" customFormat="false" ht="15" hidden="false" customHeight="false" outlineLevel="0" collapsed="false">
      <c r="A170" s="20" t="s">
        <v>167</v>
      </c>
      <c r="B170" s="20" t="s">
        <v>64</v>
      </c>
      <c r="C170" s="20" t="s">
        <v>117</v>
      </c>
      <c r="D170" s="20" t="s">
        <v>118</v>
      </c>
      <c r="E170" s="20" t="s">
        <v>119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120</v>
      </c>
      <c r="W170" s="20" t="s">
        <v>92</v>
      </c>
      <c r="X170" s="20"/>
      <c r="Y170" s="20" t="s">
        <v>93</v>
      </c>
      <c r="Z170" s="20" t="s">
        <v>121</v>
      </c>
      <c r="AA170" s="20" t="s">
        <v>122</v>
      </c>
      <c r="AB170" s="20" t="s">
        <v>123</v>
      </c>
      <c r="AC170" s="20" t="s">
        <v>124</v>
      </c>
      <c r="AD170" s="20" t="s">
        <v>168</v>
      </c>
      <c r="AE170" s="20" t="s">
        <v>137</v>
      </c>
    </row>
    <row r="171" customFormat="false" ht="15" hidden="false" customHeight="false" outlineLevel="0" collapsed="false">
      <c r="A171" s="20" t="s">
        <v>167</v>
      </c>
      <c r="B171" s="20" t="s">
        <v>74</v>
      </c>
      <c r="C171" s="20" t="s">
        <v>117</v>
      </c>
      <c r="D171" s="20" t="s">
        <v>118</v>
      </c>
      <c r="E171" s="20" t="s">
        <v>119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120</v>
      </c>
      <c r="W171" s="20" t="s">
        <v>92</v>
      </c>
      <c r="X171" s="20"/>
      <c r="Y171" s="20" t="s">
        <v>93</v>
      </c>
      <c r="Z171" s="20" t="s">
        <v>121</v>
      </c>
      <c r="AA171" s="20" t="s">
        <v>122</v>
      </c>
      <c r="AB171" s="20" t="s">
        <v>123</v>
      </c>
      <c r="AC171" s="20" t="s">
        <v>124</v>
      </c>
      <c r="AD171" s="20" t="s">
        <v>168</v>
      </c>
      <c r="AE171" s="20" t="s">
        <v>138</v>
      </c>
    </row>
    <row r="172" customFormat="false" ht="15" hidden="false" customHeight="false" outlineLevel="0" collapsed="false">
      <c r="A172" s="20" t="s">
        <v>167</v>
      </c>
      <c r="B172" s="20" t="s">
        <v>71</v>
      </c>
      <c r="C172" s="20" t="s">
        <v>117</v>
      </c>
      <c r="D172" s="20" t="s">
        <v>118</v>
      </c>
      <c r="E172" s="20" t="s">
        <v>119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120</v>
      </c>
      <c r="W172" s="20" t="s">
        <v>92</v>
      </c>
      <c r="X172" s="20"/>
      <c r="Y172" s="20" t="s">
        <v>93</v>
      </c>
      <c r="Z172" s="20" t="s">
        <v>121</v>
      </c>
      <c r="AA172" s="20" t="s">
        <v>122</v>
      </c>
      <c r="AB172" s="20" t="s">
        <v>123</v>
      </c>
      <c r="AC172" s="20" t="s">
        <v>124</v>
      </c>
      <c r="AD172" s="20" t="s">
        <v>168</v>
      </c>
      <c r="AE172" s="20" t="s">
        <v>139</v>
      </c>
    </row>
    <row r="173" customFormat="false" ht="15" hidden="false" customHeight="false" outlineLevel="0" collapsed="false">
      <c r="A173" s="20" t="s">
        <v>167</v>
      </c>
      <c r="B173" s="20" t="s">
        <v>78</v>
      </c>
      <c r="C173" s="20" t="s">
        <v>117</v>
      </c>
      <c r="D173" s="20" t="s">
        <v>118</v>
      </c>
      <c r="E173" s="20" t="s">
        <v>119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120</v>
      </c>
      <c r="W173" s="20" t="s">
        <v>92</v>
      </c>
      <c r="X173" s="20"/>
      <c r="Y173" s="20" t="s">
        <v>93</v>
      </c>
      <c r="Z173" s="20" t="s">
        <v>121</v>
      </c>
      <c r="AA173" s="20" t="s">
        <v>122</v>
      </c>
      <c r="AB173" s="20" t="s">
        <v>123</v>
      </c>
      <c r="AC173" s="20" t="s">
        <v>124</v>
      </c>
      <c r="AD173" s="20" t="s">
        <v>168</v>
      </c>
      <c r="AE173" s="20" t="s">
        <v>140</v>
      </c>
    </row>
    <row r="174" customFormat="false" ht="15" hidden="false" customHeight="false" outlineLevel="0" collapsed="false">
      <c r="A174" s="20" t="s">
        <v>167</v>
      </c>
      <c r="B174" s="20" t="s">
        <v>141</v>
      </c>
      <c r="C174" s="20" t="s">
        <v>117</v>
      </c>
      <c r="D174" s="20" t="s">
        <v>118</v>
      </c>
      <c r="E174" s="20" t="s">
        <v>119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120</v>
      </c>
      <c r="W174" s="20" t="s">
        <v>92</v>
      </c>
      <c r="X174" s="20"/>
      <c r="Y174" s="20" t="s">
        <v>93</v>
      </c>
      <c r="Z174" s="20" t="s">
        <v>121</v>
      </c>
      <c r="AA174" s="20" t="s">
        <v>122</v>
      </c>
      <c r="AB174" s="20" t="s">
        <v>123</v>
      </c>
      <c r="AC174" s="20" t="s">
        <v>124</v>
      </c>
      <c r="AD174" s="20" t="s">
        <v>168</v>
      </c>
      <c r="AE174" s="20" t="s">
        <v>142</v>
      </c>
    </row>
    <row r="175" customFormat="false" ht="15" hidden="false" customHeight="false" outlineLevel="0" collapsed="false">
      <c r="A175" s="20" t="s">
        <v>169</v>
      </c>
      <c r="B175" s="20" t="s">
        <v>116</v>
      </c>
      <c r="C175" s="20" t="s">
        <v>117</v>
      </c>
      <c r="D175" s="20" t="s">
        <v>118</v>
      </c>
      <c r="E175" s="20" t="s">
        <v>119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120</v>
      </c>
      <c r="W175" s="20" t="s">
        <v>92</v>
      </c>
      <c r="X175" s="20"/>
      <c r="Y175" s="20" t="s">
        <v>93</v>
      </c>
      <c r="Z175" s="20" t="s">
        <v>121</v>
      </c>
      <c r="AA175" s="20" t="s">
        <v>122</v>
      </c>
      <c r="AB175" s="20" t="s">
        <v>123</v>
      </c>
      <c r="AC175" s="20" t="s">
        <v>124</v>
      </c>
      <c r="AD175" s="20" t="s">
        <v>170</v>
      </c>
      <c r="AE175" s="20" t="s">
        <v>126</v>
      </c>
    </row>
    <row r="176" customFormat="false" ht="15" hidden="false" customHeight="false" outlineLevel="0" collapsed="false">
      <c r="A176" s="20" t="s">
        <v>169</v>
      </c>
      <c r="B176" s="20" t="s">
        <v>127</v>
      </c>
      <c r="C176" s="20" t="s">
        <v>117</v>
      </c>
      <c r="D176" s="20" t="s">
        <v>118</v>
      </c>
      <c r="E176" s="20" t="s">
        <v>119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120</v>
      </c>
      <c r="W176" s="20" t="s">
        <v>92</v>
      </c>
      <c r="X176" s="20"/>
      <c r="Y176" s="20" t="s">
        <v>93</v>
      </c>
      <c r="Z176" s="20" t="s">
        <v>121</v>
      </c>
      <c r="AA176" s="20" t="s">
        <v>122</v>
      </c>
      <c r="AB176" s="20" t="s">
        <v>123</v>
      </c>
      <c r="AC176" s="20" t="s">
        <v>124</v>
      </c>
      <c r="AD176" s="20" t="s">
        <v>170</v>
      </c>
      <c r="AE176" s="20" t="s">
        <v>128</v>
      </c>
    </row>
    <row r="177" customFormat="false" ht="15" hidden="false" customHeight="false" outlineLevel="0" collapsed="false">
      <c r="A177" s="20" t="s">
        <v>169</v>
      </c>
      <c r="B177" s="20" t="s">
        <v>129</v>
      </c>
      <c r="C177" s="20" t="s">
        <v>117</v>
      </c>
      <c r="D177" s="20" t="s">
        <v>118</v>
      </c>
      <c r="E177" s="20" t="s">
        <v>119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120</v>
      </c>
      <c r="W177" s="20" t="s">
        <v>92</v>
      </c>
      <c r="X177" s="20"/>
      <c r="Y177" s="20" t="s">
        <v>93</v>
      </c>
      <c r="Z177" s="20" t="s">
        <v>121</v>
      </c>
      <c r="AA177" s="20" t="s">
        <v>122</v>
      </c>
      <c r="AB177" s="20" t="s">
        <v>123</v>
      </c>
      <c r="AC177" s="20" t="s">
        <v>124</v>
      </c>
      <c r="AD177" s="20" t="s">
        <v>170</v>
      </c>
      <c r="AE177" s="20" t="s">
        <v>130</v>
      </c>
    </row>
    <row r="178" customFormat="false" ht="15" hidden="false" customHeight="false" outlineLevel="0" collapsed="false">
      <c r="A178" s="20" t="s">
        <v>169</v>
      </c>
      <c r="B178" s="20" t="s">
        <v>131</v>
      </c>
      <c r="C178" s="20" t="s">
        <v>117</v>
      </c>
      <c r="D178" s="20" t="s">
        <v>118</v>
      </c>
      <c r="E178" s="20" t="s">
        <v>119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120</v>
      </c>
      <c r="W178" s="20" t="s">
        <v>92</v>
      </c>
      <c r="X178" s="20"/>
      <c r="Y178" s="20" t="s">
        <v>93</v>
      </c>
      <c r="Z178" s="20" t="s">
        <v>121</v>
      </c>
      <c r="AA178" s="20" t="s">
        <v>122</v>
      </c>
      <c r="AB178" s="20" t="s">
        <v>123</v>
      </c>
      <c r="AC178" s="20" t="s">
        <v>124</v>
      </c>
      <c r="AD178" s="20" t="s">
        <v>170</v>
      </c>
      <c r="AE178" s="20" t="s">
        <v>132</v>
      </c>
    </row>
    <row r="179" customFormat="false" ht="15" hidden="false" customHeight="false" outlineLevel="0" collapsed="false">
      <c r="A179" s="20" t="s">
        <v>169</v>
      </c>
      <c r="B179" s="20" t="s">
        <v>60</v>
      </c>
      <c r="C179" s="20" t="s">
        <v>117</v>
      </c>
      <c r="D179" s="20" t="s">
        <v>118</v>
      </c>
      <c r="E179" s="20" t="s">
        <v>119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120</v>
      </c>
      <c r="W179" s="20" t="s">
        <v>92</v>
      </c>
      <c r="X179" s="20"/>
      <c r="Y179" s="20" t="s">
        <v>93</v>
      </c>
      <c r="Z179" s="20" t="s">
        <v>121</v>
      </c>
      <c r="AA179" s="20" t="s">
        <v>122</v>
      </c>
      <c r="AB179" s="20" t="s">
        <v>123</v>
      </c>
      <c r="AC179" s="20" t="s">
        <v>124</v>
      </c>
      <c r="AD179" s="20" t="s">
        <v>170</v>
      </c>
      <c r="AE179" s="20" t="s">
        <v>133</v>
      </c>
    </row>
    <row r="180" customFormat="false" ht="15" hidden="false" customHeight="false" outlineLevel="0" collapsed="false">
      <c r="A180" s="20" t="s">
        <v>169</v>
      </c>
      <c r="B180" s="20" t="s">
        <v>134</v>
      </c>
      <c r="C180" s="20" t="s">
        <v>117</v>
      </c>
      <c r="D180" s="20" t="s">
        <v>118</v>
      </c>
      <c r="E180" s="20" t="s">
        <v>119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120</v>
      </c>
      <c r="W180" s="20" t="s">
        <v>92</v>
      </c>
      <c r="X180" s="20"/>
      <c r="Y180" s="20" t="s">
        <v>93</v>
      </c>
      <c r="Z180" s="20" t="s">
        <v>121</v>
      </c>
      <c r="AA180" s="20" t="s">
        <v>122</v>
      </c>
      <c r="AB180" s="20" t="s">
        <v>123</v>
      </c>
      <c r="AC180" s="20" t="s">
        <v>124</v>
      </c>
      <c r="AD180" s="20" t="s">
        <v>170</v>
      </c>
      <c r="AE180" s="20" t="s">
        <v>135</v>
      </c>
    </row>
    <row r="181" customFormat="false" ht="15" hidden="false" customHeight="false" outlineLevel="0" collapsed="false">
      <c r="A181" s="20" t="s">
        <v>169</v>
      </c>
      <c r="B181" s="20" t="s">
        <v>67</v>
      </c>
      <c r="C181" s="20" t="s">
        <v>117</v>
      </c>
      <c r="D181" s="20" t="s">
        <v>118</v>
      </c>
      <c r="E181" s="20" t="s">
        <v>119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120</v>
      </c>
      <c r="W181" s="20" t="s">
        <v>92</v>
      </c>
      <c r="X181" s="20"/>
      <c r="Y181" s="20" t="s">
        <v>93</v>
      </c>
      <c r="Z181" s="20" t="s">
        <v>121</v>
      </c>
      <c r="AA181" s="20" t="s">
        <v>122</v>
      </c>
      <c r="AB181" s="20" t="s">
        <v>123</v>
      </c>
      <c r="AC181" s="20" t="s">
        <v>124</v>
      </c>
      <c r="AD181" s="20" t="s">
        <v>170</v>
      </c>
      <c r="AE181" s="20" t="s">
        <v>136</v>
      </c>
    </row>
    <row r="182" customFormat="false" ht="15" hidden="false" customHeight="false" outlineLevel="0" collapsed="false">
      <c r="A182" s="20" t="s">
        <v>169</v>
      </c>
      <c r="B182" s="20" t="s">
        <v>64</v>
      </c>
      <c r="C182" s="20" t="s">
        <v>117</v>
      </c>
      <c r="D182" s="20" t="s">
        <v>118</v>
      </c>
      <c r="E182" s="20" t="s">
        <v>119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120</v>
      </c>
      <c r="W182" s="20" t="s">
        <v>92</v>
      </c>
      <c r="X182" s="20"/>
      <c r="Y182" s="20" t="s">
        <v>93</v>
      </c>
      <c r="Z182" s="20" t="s">
        <v>121</v>
      </c>
      <c r="AA182" s="20" t="s">
        <v>122</v>
      </c>
      <c r="AB182" s="20" t="s">
        <v>123</v>
      </c>
      <c r="AC182" s="20" t="s">
        <v>124</v>
      </c>
      <c r="AD182" s="20" t="s">
        <v>170</v>
      </c>
      <c r="AE182" s="20" t="s">
        <v>137</v>
      </c>
    </row>
    <row r="183" customFormat="false" ht="15" hidden="false" customHeight="false" outlineLevel="0" collapsed="false">
      <c r="A183" s="20" t="s">
        <v>169</v>
      </c>
      <c r="B183" s="20" t="s">
        <v>74</v>
      </c>
      <c r="C183" s="20" t="s">
        <v>117</v>
      </c>
      <c r="D183" s="20" t="s">
        <v>118</v>
      </c>
      <c r="E183" s="20" t="s">
        <v>119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120</v>
      </c>
      <c r="W183" s="20" t="s">
        <v>92</v>
      </c>
      <c r="X183" s="20"/>
      <c r="Y183" s="20" t="s">
        <v>93</v>
      </c>
      <c r="Z183" s="20" t="s">
        <v>121</v>
      </c>
      <c r="AA183" s="20" t="s">
        <v>122</v>
      </c>
      <c r="AB183" s="20" t="s">
        <v>123</v>
      </c>
      <c r="AC183" s="20" t="s">
        <v>124</v>
      </c>
      <c r="AD183" s="20" t="s">
        <v>170</v>
      </c>
      <c r="AE183" s="20" t="s">
        <v>138</v>
      </c>
    </row>
    <row r="184" customFormat="false" ht="15" hidden="false" customHeight="false" outlineLevel="0" collapsed="false">
      <c r="A184" s="20" t="s">
        <v>169</v>
      </c>
      <c r="B184" s="20" t="s">
        <v>71</v>
      </c>
      <c r="C184" s="20" t="s">
        <v>117</v>
      </c>
      <c r="D184" s="20" t="s">
        <v>118</v>
      </c>
      <c r="E184" s="20" t="s">
        <v>119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120</v>
      </c>
      <c r="W184" s="20" t="s">
        <v>92</v>
      </c>
      <c r="X184" s="20"/>
      <c r="Y184" s="20" t="s">
        <v>93</v>
      </c>
      <c r="Z184" s="20" t="s">
        <v>121</v>
      </c>
      <c r="AA184" s="20" t="s">
        <v>122</v>
      </c>
      <c r="AB184" s="20" t="s">
        <v>123</v>
      </c>
      <c r="AC184" s="20" t="s">
        <v>124</v>
      </c>
      <c r="AD184" s="20" t="s">
        <v>170</v>
      </c>
      <c r="AE184" s="20" t="s">
        <v>139</v>
      </c>
    </row>
    <row r="185" customFormat="false" ht="15" hidden="false" customHeight="false" outlineLevel="0" collapsed="false">
      <c r="A185" s="20" t="s">
        <v>169</v>
      </c>
      <c r="B185" s="20" t="s">
        <v>78</v>
      </c>
      <c r="C185" s="20" t="s">
        <v>117</v>
      </c>
      <c r="D185" s="20" t="s">
        <v>118</v>
      </c>
      <c r="E185" s="20" t="s">
        <v>119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120</v>
      </c>
      <c r="W185" s="20" t="s">
        <v>92</v>
      </c>
      <c r="X185" s="20"/>
      <c r="Y185" s="20" t="s">
        <v>93</v>
      </c>
      <c r="Z185" s="20" t="s">
        <v>121</v>
      </c>
      <c r="AA185" s="20" t="s">
        <v>122</v>
      </c>
      <c r="AB185" s="20" t="s">
        <v>123</v>
      </c>
      <c r="AC185" s="20" t="s">
        <v>124</v>
      </c>
      <c r="AD185" s="20" t="s">
        <v>170</v>
      </c>
      <c r="AE185" s="20" t="s">
        <v>140</v>
      </c>
    </row>
    <row r="186" customFormat="false" ht="15" hidden="false" customHeight="false" outlineLevel="0" collapsed="false">
      <c r="A186" s="20" t="s">
        <v>169</v>
      </c>
      <c r="B186" s="20" t="s">
        <v>141</v>
      </c>
      <c r="C186" s="20" t="s">
        <v>117</v>
      </c>
      <c r="D186" s="20" t="s">
        <v>118</v>
      </c>
      <c r="E186" s="20" t="s">
        <v>119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120</v>
      </c>
      <c r="W186" s="20" t="s">
        <v>92</v>
      </c>
      <c r="X186" s="20"/>
      <c r="Y186" s="20" t="s">
        <v>93</v>
      </c>
      <c r="Z186" s="20" t="s">
        <v>121</v>
      </c>
      <c r="AA186" s="20" t="s">
        <v>122</v>
      </c>
      <c r="AB186" s="20" t="s">
        <v>123</v>
      </c>
      <c r="AC186" s="20" t="s">
        <v>124</v>
      </c>
      <c r="AD186" s="20" t="s">
        <v>170</v>
      </c>
      <c r="AE186" s="20" t="s">
        <v>142</v>
      </c>
    </row>
    <row r="187" customFormat="false" ht="15" hidden="false" customHeight="false" outlineLevel="0" collapsed="false">
      <c r="A187" s="20" t="s">
        <v>171</v>
      </c>
      <c r="B187" s="20" t="s">
        <v>116</v>
      </c>
      <c r="C187" s="20" t="s">
        <v>117</v>
      </c>
      <c r="D187" s="20" t="s">
        <v>118</v>
      </c>
      <c r="E187" s="20" t="s">
        <v>119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120</v>
      </c>
      <c r="W187" s="20" t="s">
        <v>92</v>
      </c>
      <c r="X187" s="20"/>
      <c r="Y187" s="20" t="s">
        <v>93</v>
      </c>
      <c r="Z187" s="20" t="s">
        <v>121</v>
      </c>
      <c r="AA187" s="20" t="s">
        <v>122</v>
      </c>
      <c r="AB187" s="20" t="s">
        <v>123</v>
      </c>
      <c r="AC187" s="20" t="s">
        <v>124</v>
      </c>
      <c r="AD187" s="20" t="s">
        <v>172</v>
      </c>
      <c r="AE187" s="20" t="s">
        <v>126</v>
      </c>
    </row>
    <row r="188" customFormat="false" ht="15" hidden="false" customHeight="false" outlineLevel="0" collapsed="false">
      <c r="A188" s="20" t="s">
        <v>171</v>
      </c>
      <c r="B188" s="20" t="s">
        <v>127</v>
      </c>
      <c r="C188" s="20" t="s">
        <v>117</v>
      </c>
      <c r="D188" s="20" t="s">
        <v>118</v>
      </c>
      <c r="E188" s="20" t="s">
        <v>119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120</v>
      </c>
      <c r="W188" s="20" t="s">
        <v>92</v>
      </c>
      <c r="X188" s="20"/>
      <c r="Y188" s="20" t="s">
        <v>93</v>
      </c>
      <c r="Z188" s="20" t="s">
        <v>121</v>
      </c>
      <c r="AA188" s="20" t="s">
        <v>122</v>
      </c>
      <c r="AB188" s="20" t="s">
        <v>123</v>
      </c>
      <c r="AC188" s="20" t="s">
        <v>124</v>
      </c>
      <c r="AD188" s="20" t="s">
        <v>172</v>
      </c>
      <c r="AE188" s="20" t="s">
        <v>128</v>
      </c>
    </row>
    <row r="189" customFormat="false" ht="15" hidden="false" customHeight="false" outlineLevel="0" collapsed="false">
      <c r="A189" s="20" t="s">
        <v>171</v>
      </c>
      <c r="B189" s="20" t="s">
        <v>129</v>
      </c>
      <c r="C189" s="20" t="s">
        <v>117</v>
      </c>
      <c r="D189" s="20" t="s">
        <v>118</v>
      </c>
      <c r="E189" s="20" t="s">
        <v>119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120</v>
      </c>
      <c r="W189" s="20" t="s">
        <v>92</v>
      </c>
      <c r="X189" s="20"/>
      <c r="Y189" s="20" t="s">
        <v>93</v>
      </c>
      <c r="Z189" s="20" t="s">
        <v>121</v>
      </c>
      <c r="AA189" s="20" t="s">
        <v>122</v>
      </c>
      <c r="AB189" s="20" t="s">
        <v>123</v>
      </c>
      <c r="AC189" s="20" t="s">
        <v>124</v>
      </c>
      <c r="AD189" s="20" t="s">
        <v>172</v>
      </c>
      <c r="AE189" s="20" t="s">
        <v>130</v>
      </c>
    </row>
    <row r="190" customFormat="false" ht="15" hidden="false" customHeight="false" outlineLevel="0" collapsed="false">
      <c r="A190" s="20" t="s">
        <v>171</v>
      </c>
      <c r="B190" s="20" t="s">
        <v>131</v>
      </c>
      <c r="C190" s="20" t="s">
        <v>117</v>
      </c>
      <c r="D190" s="20" t="s">
        <v>118</v>
      </c>
      <c r="E190" s="20" t="s">
        <v>119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120</v>
      </c>
      <c r="W190" s="20" t="s">
        <v>92</v>
      </c>
      <c r="X190" s="20"/>
      <c r="Y190" s="20" t="s">
        <v>93</v>
      </c>
      <c r="Z190" s="20" t="s">
        <v>121</v>
      </c>
      <c r="AA190" s="20" t="s">
        <v>122</v>
      </c>
      <c r="AB190" s="20" t="s">
        <v>123</v>
      </c>
      <c r="AC190" s="20" t="s">
        <v>124</v>
      </c>
      <c r="AD190" s="20" t="s">
        <v>172</v>
      </c>
      <c r="AE190" s="20" t="s">
        <v>132</v>
      </c>
    </row>
    <row r="191" customFormat="false" ht="15" hidden="false" customHeight="false" outlineLevel="0" collapsed="false">
      <c r="A191" s="20" t="s">
        <v>171</v>
      </c>
      <c r="B191" s="20" t="s">
        <v>60</v>
      </c>
      <c r="C191" s="20" t="s">
        <v>117</v>
      </c>
      <c r="D191" s="20" t="s">
        <v>118</v>
      </c>
      <c r="E191" s="20" t="s">
        <v>119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120</v>
      </c>
      <c r="W191" s="20" t="s">
        <v>92</v>
      </c>
      <c r="X191" s="20"/>
      <c r="Y191" s="20" t="s">
        <v>93</v>
      </c>
      <c r="Z191" s="20" t="s">
        <v>121</v>
      </c>
      <c r="AA191" s="20" t="s">
        <v>122</v>
      </c>
      <c r="AB191" s="20" t="s">
        <v>123</v>
      </c>
      <c r="AC191" s="20" t="s">
        <v>124</v>
      </c>
      <c r="AD191" s="20" t="s">
        <v>172</v>
      </c>
      <c r="AE191" s="20" t="s">
        <v>133</v>
      </c>
    </row>
    <row r="192" customFormat="false" ht="15" hidden="false" customHeight="false" outlineLevel="0" collapsed="false">
      <c r="A192" s="20" t="s">
        <v>171</v>
      </c>
      <c r="B192" s="20" t="s">
        <v>134</v>
      </c>
      <c r="C192" s="20" t="s">
        <v>117</v>
      </c>
      <c r="D192" s="20" t="s">
        <v>118</v>
      </c>
      <c r="E192" s="20" t="s">
        <v>119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120</v>
      </c>
      <c r="W192" s="20" t="s">
        <v>92</v>
      </c>
      <c r="X192" s="20"/>
      <c r="Y192" s="20" t="s">
        <v>93</v>
      </c>
      <c r="Z192" s="20" t="s">
        <v>121</v>
      </c>
      <c r="AA192" s="20" t="s">
        <v>122</v>
      </c>
      <c r="AB192" s="20" t="s">
        <v>123</v>
      </c>
      <c r="AC192" s="20" t="s">
        <v>124</v>
      </c>
      <c r="AD192" s="20" t="s">
        <v>172</v>
      </c>
      <c r="AE192" s="20" t="s">
        <v>135</v>
      </c>
    </row>
    <row r="193" customFormat="false" ht="15" hidden="false" customHeight="false" outlineLevel="0" collapsed="false">
      <c r="A193" s="20" t="s">
        <v>171</v>
      </c>
      <c r="B193" s="20" t="s">
        <v>67</v>
      </c>
      <c r="C193" s="20" t="s">
        <v>117</v>
      </c>
      <c r="D193" s="20" t="s">
        <v>118</v>
      </c>
      <c r="E193" s="20" t="s">
        <v>119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120</v>
      </c>
      <c r="W193" s="20" t="s">
        <v>92</v>
      </c>
      <c r="X193" s="20"/>
      <c r="Y193" s="20" t="s">
        <v>93</v>
      </c>
      <c r="Z193" s="20" t="s">
        <v>121</v>
      </c>
      <c r="AA193" s="20" t="s">
        <v>122</v>
      </c>
      <c r="AB193" s="20" t="s">
        <v>123</v>
      </c>
      <c r="AC193" s="20" t="s">
        <v>124</v>
      </c>
      <c r="AD193" s="20" t="s">
        <v>172</v>
      </c>
      <c r="AE193" s="20" t="s">
        <v>136</v>
      </c>
    </row>
    <row r="194" customFormat="false" ht="15" hidden="false" customHeight="false" outlineLevel="0" collapsed="false">
      <c r="A194" s="20" t="s">
        <v>171</v>
      </c>
      <c r="B194" s="20" t="s">
        <v>64</v>
      </c>
      <c r="C194" s="20" t="s">
        <v>117</v>
      </c>
      <c r="D194" s="20" t="s">
        <v>118</v>
      </c>
      <c r="E194" s="20" t="s">
        <v>119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120</v>
      </c>
      <c r="W194" s="20" t="s">
        <v>92</v>
      </c>
      <c r="X194" s="20"/>
      <c r="Y194" s="20" t="s">
        <v>93</v>
      </c>
      <c r="Z194" s="20" t="s">
        <v>121</v>
      </c>
      <c r="AA194" s="20" t="s">
        <v>122</v>
      </c>
      <c r="AB194" s="20" t="s">
        <v>123</v>
      </c>
      <c r="AC194" s="20" t="s">
        <v>124</v>
      </c>
      <c r="AD194" s="20" t="s">
        <v>172</v>
      </c>
      <c r="AE194" s="20" t="s">
        <v>137</v>
      </c>
    </row>
    <row r="195" customFormat="false" ht="15" hidden="false" customHeight="false" outlineLevel="0" collapsed="false">
      <c r="A195" s="20" t="s">
        <v>171</v>
      </c>
      <c r="B195" s="20" t="s">
        <v>74</v>
      </c>
      <c r="C195" s="20" t="s">
        <v>117</v>
      </c>
      <c r="D195" s="20" t="s">
        <v>118</v>
      </c>
      <c r="E195" s="20" t="s">
        <v>119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120</v>
      </c>
      <c r="W195" s="20" t="s">
        <v>92</v>
      </c>
      <c r="X195" s="20"/>
      <c r="Y195" s="20" t="s">
        <v>93</v>
      </c>
      <c r="Z195" s="20" t="s">
        <v>121</v>
      </c>
      <c r="AA195" s="20" t="s">
        <v>122</v>
      </c>
      <c r="AB195" s="20" t="s">
        <v>123</v>
      </c>
      <c r="AC195" s="20" t="s">
        <v>124</v>
      </c>
      <c r="AD195" s="20" t="s">
        <v>172</v>
      </c>
      <c r="AE195" s="20" t="s">
        <v>138</v>
      </c>
    </row>
    <row r="196" customFormat="false" ht="15" hidden="false" customHeight="false" outlineLevel="0" collapsed="false">
      <c r="A196" s="20" t="s">
        <v>171</v>
      </c>
      <c r="B196" s="20" t="s">
        <v>71</v>
      </c>
      <c r="C196" s="20" t="s">
        <v>117</v>
      </c>
      <c r="D196" s="20" t="s">
        <v>118</v>
      </c>
      <c r="E196" s="20" t="s">
        <v>119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120</v>
      </c>
      <c r="W196" s="20" t="s">
        <v>92</v>
      </c>
      <c r="X196" s="20"/>
      <c r="Y196" s="20" t="s">
        <v>93</v>
      </c>
      <c r="Z196" s="20" t="s">
        <v>121</v>
      </c>
      <c r="AA196" s="20" t="s">
        <v>122</v>
      </c>
      <c r="AB196" s="20" t="s">
        <v>123</v>
      </c>
      <c r="AC196" s="20" t="s">
        <v>124</v>
      </c>
      <c r="AD196" s="20" t="s">
        <v>172</v>
      </c>
      <c r="AE196" s="20" t="s">
        <v>139</v>
      </c>
    </row>
    <row r="197" customFormat="false" ht="15" hidden="false" customHeight="false" outlineLevel="0" collapsed="false">
      <c r="A197" s="20" t="s">
        <v>171</v>
      </c>
      <c r="B197" s="20" t="s">
        <v>78</v>
      </c>
      <c r="C197" s="20" t="s">
        <v>117</v>
      </c>
      <c r="D197" s="20" t="s">
        <v>118</v>
      </c>
      <c r="E197" s="20" t="s">
        <v>119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120</v>
      </c>
      <c r="W197" s="20" t="s">
        <v>92</v>
      </c>
      <c r="X197" s="20"/>
      <c r="Y197" s="20" t="s">
        <v>93</v>
      </c>
      <c r="Z197" s="20" t="s">
        <v>121</v>
      </c>
      <c r="AA197" s="20" t="s">
        <v>122</v>
      </c>
      <c r="AB197" s="20" t="s">
        <v>123</v>
      </c>
      <c r="AC197" s="20" t="s">
        <v>124</v>
      </c>
      <c r="AD197" s="20" t="s">
        <v>172</v>
      </c>
      <c r="AE197" s="20" t="s">
        <v>140</v>
      </c>
    </row>
    <row r="198" customFormat="false" ht="15" hidden="false" customHeight="false" outlineLevel="0" collapsed="false">
      <c r="A198" s="20" t="s">
        <v>171</v>
      </c>
      <c r="B198" s="20" t="s">
        <v>141</v>
      </c>
      <c r="C198" s="20" t="s">
        <v>117</v>
      </c>
      <c r="D198" s="20" t="s">
        <v>118</v>
      </c>
      <c r="E198" s="20" t="s">
        <v>119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120</v>
      </c>
      <c r="W198" s="20" t="s">
        <v>92</v>
      </c>
      <c r="X198" s="20"/>
      <c r="Y198" s="20" t="s">
        <v>93</v>
      </c>
      <c r="Z198" s="20" t="s">
        <v>121</v>
      </c>
      <c r="AA198" s="20" t="s">
        <v>122</v>
      </c>
      <c r="AB198" s="20" t="s">
        <v>123</v>
      </c>
      <c r="AC198" s="20" t="s">
        <v>124</v>
      </c>
      <c r="AD198" s="20" t="s">
        <v>172</v>
      </c>
      <c r="AE198" s="20" t="s">
        <v>142</v>
      </c>
    </row>
    <row r="199" customFormat="false" ht="15" hidden="false" customHeight="false" outlineLevel="0" collapsed="false">
      <c r="A199" s="20" t="s">
        <v>173</v>
      </c>
      <c r="B199" s="20" t="s">
        <v>116</v>
      </c>
      <c r="C199" s="20" t="s">
        <v>117</v>
      </c>
      <c r="D199" s="20" t="s">
        <v>118</v>
      </c>
      <c r="E199" s="20" t="s">
        <v>119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120</v>
      </c>
      <c r="W199" s="20" t="s">
        <v>92</v>
      </c>
      <c r="X199" s="20"/>
      <c r="Y199" s="20" t="s">
        <v>93</v>
      </c>
      <c r="Z199" s="20" t="s">
        <v>121</v>
      </c>
      <c r="AA199" s="20" t="s">
        <v>122</v>
      </c>
      <c r="AB199" s="20" t="s">
        <v>123</v>
      </c>
      <c r="AC199" s="20" t="s">
        <v>124</v>
      </c>
      <c r="AD199" s="20" t="s">
        <v>174</v>
      </c>
      <c r="AE199" s="20" t="s">
        <v>126</v>
      </c>
    </row>
    <row r="200" customFormat="false" ht="15" hidden="false" customHeight="false" outlineLevel="0" collapsed="false">
      <c r="A200" s="20" t="s">
        <v>173</v>
      </c>
      <c r="B200" s="20" t="s">
        <v>127</v>
      </c>
      <c r="C200" s="20" t="s">
        <v>117</v>
      </c>
      <c r="D200" s="20" t="s">
        <v>118</v>
      </c>
      <c r="E200" s="20" t="s">
        <v>119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120</v>
      </c>
      <c r="W200" s="20" t="s">
        <v>92</v>
      </c>
      <c r="X200" s="20"/>
      <c r="Y200" s="20" t="s">
        <v>93</v>
      </c>
      <c r="Z200" s="20" t="s">
        <v>121</v>
      </c>
      <c r="AA200" s="20" t="s">
        <v>122</v>
      </c>
      <c r="AB200" s="20" t="s">
        <v>123</v>
      </c>
      <c r="AC200" s="20" t="s">
        <v>124</v>
      </c>
      <c r="AD200" s="20" t="s">
        <v>174</v>
      </c>
      <c r="AE200" s="20" t="s">
        <v>128</v>
      </c>
    </row>
    <row r="201" customFormat="false" ht="15" hidden="false" customHeight="false" outlineLevel="0" collapsed="false">
      <c r="A201" s="20" t="s">
        <v>173</v>
      </c>
      <c r="B201" s="20" t="s">
        <v>129</v>
      </c>
      <c r="C201" s="20" t="s">
        <v>117</v>
      </c>
      <c r="D201" s="20" t="s">
        <v>118</v>
      </c>
      <c r="E201" s="20" t="s">
        <v>119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120</v>
      </c>
      <c r="W201" s="20" t="s">
        <v>92</v>
      </c>
      <c r="X201" s="20"/>
      <c r="Y201" s="20" t="s">
        <v>93</v>
      </c>
      <c r="Z201" s="20" t="s">
        <v>121</v>
      </c>
      <c r="AA201" s="20" t="s">
        <v>122</v>
      </c>
      <c r="AB201" s="20" t="s">
        <v>123</v>
      </c>
      <c r="AC201" s="20" t="s">
        <v>124</v>
      </c>
      <c r="AD201" s="20" t="s">
        <v>174</v>
      </c>
      <c r="AE201" s="20" t="s">
        <v>130</v>
      </c>
    </row>
    <row r="202" customFormat="false" ht="15" hidden="false" customHeight="false" outlineLevel="0" collapsed="false">
      <c r="A202" s="20" t="s">
        <v>173</v>
      </c>
      <c r="B202" s="20" t="s">
        <v>131</v>
      </c>
      <c r="C202" s="20" t="s">
        <v>117</v>
      </c>
      <c r="D202" s="20" t="s">
        <v>118</v>
      </c>
      <c r="E202" s="20" t="s">
        <v>119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120</v>
      </c>
      <c r="W202" s="20" t="s">
        <v>92</v>
      </c>
      <c r="X202" s="20"/>
      <c r="Y202" s="20" t="s">
        <v>93</v>
      </c>
      <c r="Z202" s="20" t="s">
        <v>121</v>
      </c>
      <c r="AA202" s="20" t="s">
        <v>122</v>
      </c>
      <c r="AB202" s="20" t="s">
        <v>123</v>
      </c>
      <c r="AC202" s="20" t="s">
        <v>124</v>
      </c>
      <c r="AD202" s="20" t="s">
        <v>174</v>
      </c>
      <c r="AE202" s="20" t="s">
        <v>132</v>
      </c>
    </row>
    <row r="203" customFormat="false" ht="15" hidden="false" customHeight="false" outlineLevel="0" collapsed="false">
      <c r="A203" s="20" t="s">
        <v>173</v>
      </c>
      <c r="B203" s="20" t="s">
        <v>60</v>
      </c>
      <c r="C203" s="20" t="s">
        <v>117</v>
      </c>
      <c r="D203" s="20" t="s">
        <v>118</v>
      </c>
      <c r="E203" s="20" t="s">
        <v>119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120</v>
      </c>
      <c r="W203" s="20" t="s">
        <v>92</v>
      </c>
      <c r="X203" s="20"/>
      <c r="Y203" s="20" t="s">
        <v>93</v>
      </c>
      <c r="Z203" s="20" t="s">
        <v>121</v>
      </c>
      <c r="AA203" s="20" t="s">
        <v>122</v>
      </c>
      <c r="AB203" s="20" t="s">
        <v>123</v>
      </c>
      <c r="AC203" s="20" t="s">
        <v>124</v>
      </c>
      <c r="AD203" s="20" t="s">
        <v>174</v>
      </c>
      <c r="AE203" s="20" t="s">
        <v>133</v>
      </c>
    </row>
    <row r="204" customFormat="false" ht="15" hidden="false" customHeight="false" outlineLevel="0" collapsed="false">
      <c r="A204" s="20" t="s">
        <v>173</v>
      </c>
      <c r="B204" s="20" t="s">
        <v>134</v>
      </c>
      <c r="C204" s="20" t="s">
        <v>117</v>
      </c>
      <c r="D204" s="20" t="s">
        <v>118</v>
      </c>
      <c r="E204" s="20" t="s">
        <v>119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120</v>
      </c>
      <c r="W204" s="20" t="s">
        <v>92</v>
      </c>
      <c r="X204" s="20"/>
      <c r="Y204" s="20" t="s">
        <v>93</v>
      </c>
      <c r="Z204" s="20" t="s">
        <v>121</v>
      </c>
      <c r="AA204" s="20" t="s">
        <v>122</v>
      </c>
      <c r="AB204" s="20" t="s">
        <v>123</v>
      </c>
      <c r="AC204" s="20" t="s">
        <v>124</v>
      </c>
      <c r="AD204" s="20" t="s">
        <v>174</v>
      </c>
      <c r="AE204" s="20" t="s">
        <v>135</v>
      </c>
    </row>
    <row r="205" customFormat="false" ht="15" hidden="false" customHeight="false" outlineLevel="0" collapsed="false">
      <c r="A205" s="20" t="s">
        <v>173</v>
      </c>
      <c r="B205" s="20" t="s">
        <v>67</v>
      </c>
      <c r="C205" s="20" t="s">
        <v>117</v>
      </c>
      <c r="D205" s="20" t="s">
        <v>118</v>
      </c>
      <c r="E205" s="20" t="s">
        <v>119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120</v>
      </c>
      <c r="W205" s="20" t="s">
        <v>92</v>
      </c>
      <c r="X205" s="20"/>
      <c r="Y205" s="20" t="s">
        <v>93</v>
      </c>
      <c r="Z205" s="20" t="s">
        <v>121</v>
      </c>
      <c r="AA205" s="20" t="s">
        <v>122</v>
      </c>
      <c r="AB205" s="20" t="s">
        <v>123</v>
      </c>
      <c r="AC205" s="20" t="s">
        <v>124</v>
      </c>
      <c r="AD205" s="20" t="s">
        <v>174</v>
      </c>
      <c r="AE205" s="20" t="s">
        <v>136</v>
      </c>
    </row>
    <row r="206" customFormat="false" ht="15" hidden="false" customHeight="false" outlineLevel="0" collapsed="false">
      <c r="A206" s="20" t="s">
        <v>173</v>
      </c>
      <c r="B206" s="20" t="s">
        <v>64</v>
      </c>
      <c r="C206" s="20" t="s">
        <v>117</v>
      </c>
      <c r="D206" s="20" t="s">
        <v>118</v>
      </c>
      <c r="E206" s="20" t="s">
        <v>119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120</v>
      </c>
      <c r="W206" s="20" t="s">
        <v>92</v>
      </c>
      <c r="X206" s="20"/>
      <c r="Y206" s="20" t="s">
        <v>93</v>
      </c>
      <c r="Z206" s="20" t="s">
        <v>121</v>
      </c>
      <c r="AA206" s="20" t="s">
        <v>122</v>
      </c>
      <c r="AB206" s="20" t="s">
        <v>123</v>
      </c>
      <c r="AC206" s="20" t="s">
        <v>124</v>
      </c>
      <c r="AD206" s="20" t="s">
        <v>174</v>
      </c>
      <c r="AE206" s="20" t="s">
        <v>137</v>
      </c>
    </row>
    <row r="207" customFormat="false" ht="15" hidden="false" customHeight="false" outlineLevel="0" collapsed="false">
      <c r="A207" s="20" t="s">
        <v>173</v>
      </c>
      <c r="B207" s="20" t="s">
        <v>74</v>
      </c>
      <c r="C207" s="20" t="s">
        <v>117</v>
      </c>
      <c r="D207" s="20" t="s">
        <v>118</v>
      </c>
      <c r="E207" s="20" t="s">
        <v>119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120</v>
      </c>
      <c r="W207" s="20" t="s">
        <v>92</v>
      </c>
      <c r="X207" s="20"/>
      <c r="Y207" s="20" t="s">
        <v>93</v>
      </c>
      <c r="Z207" s="20" t="s">
        <v>121</v>
      </c>
      <c r="AA207" s="20" t="s">
        <v>122</v>
      </c>
      <c r="AB207" s="20" t="s">
        <v>123</v>
      </c>
      <c r="AC207" s="20" t="s">
        <v>124</v>
      </c>
      <c r="AD207" s="20" t="s">
        <v>174</v>
      </c>
      <c r="AE207" s="20" t="s">
        <v>138</v>
      </c>
    </row>
    <row r="208" customFormat="false" ht="15" hidden="false" customHeight="false" outlineLevel="0" collapsed="false">
      <c r="A208" s="20" t="s">
        <v>173</v>
      </c>
      <c r="B208" s="20" t="s">
        <v>71</v>
      </c>
      <c r="C208" s="20" t="s">
        <v>117</v>
      </c>
      <c r="D208" s="20" t="s">
        <v>118</v>
      </c>
      <c r="E208" s="20" t="s">
        <v>119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120</v>
      </c>
      <c r="W208" s="20" t="s">
        <v>92</v>
      </c>
      <c r="X208" s="20"/>
      <c r="Y208" s="20" t="s">
        <v>93</v>
      </c>
      <c r="Z208" s="20" t="s">
        <v>121</v>
      </c>
      <c r="AA208" s="20" t="s">
        <v>122</v>
      </c>
      <c r="AB208" s="20" t="s">
        <v>123</v>
      </c>
      <c r="AC208" s="20" t="s">
        <v>124</v>
      </c>
      <c r="AD208" s="20" t="s">
        <v>174</v>
      </c>
      <c r="AE208" s="20" t="s">
        <v>139</v>
      </c>
    </row>
    <row r="209" customFormat="false" ht="15" hidden="false" customHeight="false" outlineLevel="0" collapsed="false">
      <c r="A209" s="20" t="s">
        <v>173</v>
      </c>
      <c r="B209" s="20" t="s">
        <v>78</v>
      </c>
      <c r="C209" s="20" t="s">
        <v>117</v>
      </c>
      <c r="D209" s="20" t="s">
        <v>118</v>
      </c>
      <c r="E209" s="20" t="s">
        <v>119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120</v>
      </c>
      <c r="W209" s="20" t="s">
        <v>92</v>
      </c>
      <c r="X209" s="20"/>
      <c r="Y209" s="20" t="s">
        <v>93</v>
      </c>
      <c r="Z209" s="20" t="s">
        <v>121</v>
      </c>
      <c r="AA209" s="20" t="s">
        <v>122</v>
      </c>
      <c r="AB209" s="20" t="s">
        <v>123</v>
      </c>
      <c r="AC209" s="20" t="s">
        <v>124</v>
      </c>
      <c r="AD209" s="20" t="s">
        <v>174</v>
      </c>
      <c r="AE209" s="20" t="s">
        <v>140</v>
      </c>
    </row>
    <row r="210" customFormat="false" ht="15" hidden="false" customHeight="false" outlineLevel="0" collapsed="false">
      <c r="A210" s="20" t="s">
        <v>173</v>
      </c>
      <c r="B210" s="20" t="s">
        <v>141</v>
      </c>
      <c r="C210" s="20" t="s">
        <v>117</v>
      </c>
      <c r="D210" s="20" t="s">
        <v>118</v>
      </c>
      <c r="E210" s="20" t="s">
        <v>119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120</v>
      </c>
      <c r="W210" s="20" t="s">
        <v>92</v>
      </c>
      <c r="X210" s="20"/>
      <c r="Y210" s="20" t="s">
        <v>93</v>
      </c>
      <c r="Z210" s="20" t="s">
        <v>121</v>
      </c>
      <c r="AA210" s="20" t="s">
        <v>122</v>
      </c>
      <c r="AB210" s="20" t="s">
        <v>123</v>
      </c>
      <c r="AC210" s="20" t="s">
        <v>124</v>
      </c>
      <c r="AD210" s="20" t="s">
        <v>174</v>
      </c>
      <c r="AE210" s="20" t="s">
        <v>142</v>
      </c>
    </row>
    <row r="211" customFormat="false" ht="15" hidden="false" customHeight="false" outlineLevel="0" collapsed="false">
      <c r="A211" s="20" t="s">
        <v>175</v>
      </c>
      <c r="B211" s="20" t="s">
        <v>116</v>
      </c>
      <c r="C211" s="20" t="s">
        <v>117</v>
      </c>
      <c r="D211" s="20" t="s">
        <v>118</v>
      </c>
      <c r="E211" s="20" t="s">
        <v>119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120</v>
      </c>
      <c r="W211" s="20" t="s">
        <v>92</v>
      </c>
      <c r="X211" s="20"/>
      <c r="Y211" s="20" t="s">
        <v>93</v>
      </c>
      <c r="Z211" s="20" t="s">
        <v>121</v>
      </c>
      <c r="AA211" s="20" t="s">
        <v>122</v>
      </c>
      <c r="AB211" s="20" t="s">
        <v>123</v>
      </c>
      <c r="AC211" s="20" t="s">
        <v>124</v>
      </c>
      <c r="AD211" s="20" t="s">
        <v>176</v>
      </c>
      <c r="AE211" s="20" t="s">
        <v>126</v>
      </c>
    </row>
    <row r="212" customFormat="false" ht="15" hidden="false" customHeight="false" outlineLevel="0" collapsed="false">
      <c r="A212" s="20" t="s">
        <v>175</v>
      </c>
      <c r="B212" s="20" t="s">
        <v>127</v>
      </c>
      <c r="C212" s="20" t="s">
        <v>117</v>
      </c>
      <c r="D212" s="20" t="s">
        <v>118</v>
      </c>
      <c r="E212" s="20" t="s">
        <v>119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120</v>
      </c>
      <c r="W212" s="20" t="s">
        <v>92</v>
      </c>
      <c r="X212" s="20"/>
      <c r="Y212" s="20" t="s">
        <v>93</v>
      </c>
      <c r="Z212" s="20" t="s">
        <v>121</v>
      </c>
      <c r="AA212" s="20" t="s">
        <v>122</v>
      </c>
      <c r="AB212" s="20" t="s">
        <v>123</v>
      </c>
      <c r="AC212" s="20" t="s">
        <v>124</v>
      </c>
      <c r="AD212" s="20" t="s">
        <v>176</v>
      </c>
      <c r="AE212" s="20" t="s">
        <v>128</v>
      </c>
    </row>
    <row r="213" customFormat="false" ht="15" hidden="false" customHeight="false" outlineLevel="0" collapsed="false">
      <c r="A213" s="20" t="s">
        <v>175</v>
      </c>
      <c r="B213" s="20" t="s">
        <v>129</v>
      </c>
      <c r="C213" s="20" t="s">
        <v>117</v>
      </c>
      <c r="D213" s="20" t="s">
        <v>118</v>
      </c>
      <c r="E213" s="20" t="s">
        <v>119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120</v>
      </c>
      <c r="W213" s="20" t="s">
        <v>92</v>
      </c>
      <c r="X213" s="20"/>
      <c r="Y213" s="20" t="s">
        <v>93</v>
      </c>
      <c r="Z213" s="20" t="s">
        <v>121</v>
      </c>
      <c r="AA213" s="20" t="s">
        <v>122</v>
      </c>
      <c r="AB213" s="20" t="s">
        <v>123</v>
      </c>
      <c r="AC213" s="20" t="s">
        <v>124</v>
      </c>
      <c r="AD213" s="20" t="s">
        <v>176</v>
      </c>
      <c r="AE213" s="20" t="s">
        <v>130</v>
      </c>
    </row>
    <row r="214" customFormat="false" ht="15" hidden="false" customHeight="false" outlineLevel="0" collapsed="false">
      <c r="A214" s="20" t="s">
        <v>175</v>
      </c>
      <c r="B214" s="20" t="s">
        <v>131</v>
      </c>
      <c r="C214" s="20" t="s">
        <v>117</v>
      </c>
      <c r="D214" s="20" t="s">
        <v>118</v>
      </c>
      <c r="E214" s="20" t="s">
        <v>119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120</v>
      </c>
      <c r="W214" s="20" t="s">
        <v>92</v>
      </c>
      <c r="X214" s="20"/>
      <c r="Y214" s="20" t="s">
        <v>93</v>
      </c>
      <c r="Z214" s="20" t="s">
        <v>121</v>
      </c>
      <c r="AA214" s="20" t="s">
        <v>122</v>
      </c>
      <c r="AB214" s="20" t="s">
        <v>123</v>
      </c>
      <c r="AC214" s="20" t="s">
        <v>124</v>
      </c>
      <c r="AD214" s="20" t="s">
        <v>176</v>
      </c>
      <c r="AE214" s="20" t="s">
        <v>132</v>
      </c>
    </row>
    <row r="215" customFormat="false" ht="15" hidden="false" customHeight="false" outlineLevel="0" collapsed="false">
      <c r="A215" s="20" t="s">
        <v>175</v>
      </c>
      <c r="B215" s="20" t="s">
        <v>60</v>
      </c>
      <c r="C215" s="20" t="s">
        <v>117</v>
      </c>
      <c r="D215" s="20" t="s">
        <v>118</v>
      </c>
      <c r="E215" s="20" t="s">
        <v>119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120</v>
      </c>
      <c r="W215" s="20" t="s">
        <v>92</v>
      </c>
      <c r="X215" s="20"/>
      <c r="Y215" s="20" t="s">
        <v>93</v>
      </c>
      <c r="Z215" s="20" t="s">
        <v>121</v>
      </c>
      <c r="AA215" s="20" t="s">
        <v>122</v>
      </c>
      <c r="AB215" s="20" t="s">
        <v>123</v>
      </c>
      <c r="AC215" s="20" t="s">
        <v>124</v>
      </c>
      <c r="AD215" s="20" t="s">
        <v>176</v>
      </c>
      <c r="AE215" s="20" t="s">
        <v>133</v>
      </c>
    </row>
    <row r="216" customFormat="false" ht="15" hidden="false" customHeight="false" outlineLevel="0" collapsed="false">
      <c r="A216" s="20" t="s">
        <v>175</v>
      </c>
      <c r="B216" s="20" t="s">
        <v>134</v>
      </c>
      <c r="C216" s="20" t="s">
        <v>117</v>
      </c>
      <c r="D216" s="20" t="s">
        <v>118</v>
      </c>
      <c r="E216" s="20" t="s">
        <v>119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120</v>
      </c>
      <c r="W216" s="20" t="s">
        <v>92</v>
      </c>
      <c r="X216" s="20"/>
      <c r="Y216" s="20" t="s">
        <v>93</v>
      </c>
      <c r="Z216" s="20" t="s">
        <v>121</v>
      </c>
      <c r="AA216" s="20" t="s">
        <v>122</v>
      </c>
      <c r="AB216" s="20" t="s">
        <v>123</v>
      </c>
      <c r="AC216" s="20" t="s">
        <v>124</v>
      </c>
      <c r="AD216" s="20" t="s">
        <v>176</v>
      </c>
      <c r="AE216" s="20" t="s">
        <v>135</v>
      </c>
    </row>
    <row r="217" customFormat="false" ht="15" hidden="false" customHeight="false" outlineLevel="0" collapsed="false">
      <c r="A217" s="20" t="s">
        <v>175</v>
      </c>
      <c r="B217" s="20" t="s">
        <v>67</v>
      </c>
      <c r="C217" s="20" t="s">
        <v>117</v>
      </c>
      <c r="D217" s="20" t="s">
        <v>118</v>
      </c>
      <c r="E217" s="20" t="s">
        <v>119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120</v>
      </c>
      <c r="W217" s="20" t="s">
        <v>92</v>
      </c>
      <c r="X217" s="20"/>
      <c r="Y217" s="20" t="s">
        <v>93</v>
      </c>
      <c r="Z217" s="20" t="s">
        <v>121</v>
      </c>
      <c r="AA217" s="20" t="s">
        <v>122</v>
      </c>
      <c r="AB217" s="20" t="s">
        <v>123</v>
      </c>
      <c r="AC217" s="20" t="s">
        <v>124</v>
      </c>
      <c r="AD217" s="20" t="s">
        <v>176</v>
      </c>
      <c r="AE217" s="20" t="s">
        <v>136</v>
      </c>
    </row>
    <row r="218" customFormat="false" ht="15" hidden="false" customHeight="false" outlineLevel="0" collapsed="false">
      <c r="A218" s="20" t="s">
        <v>175</v>
      </c>
      <c r="B218" s="20" t="s">
        <v>64</v>
      </c>
      <c r="C218" s="20" t="s">
        <v>117</v>
      </c>
      <c r="D218" s="20" t="s">
        <v>118</v>
      </c>
      <c r="E218" s="20" t="s">
        <v>119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120</v>
      </c>
      <c r="W218" s="20" t="s">
        <v>92</v>
      </c>
      <c r="X218" s="20"/>
      <c r="Y218" s="20" t="s">
        <v>93</v>
      </c>
      <c r="Z218" s="20" t="s">
        <v>121</v>
      </c>
      <c r="AA218" s="20" t="s">
        <v>122</v>
      </c>
      <c r="AB218" s="20" t="s">
        <v>123</v>
      </c>
      <c r="AC218" s="20" t="s">
        <v>124</v>
      </c>
      <c r="AD218" s="20" t="s">
        <v>176</v>
      </c>
      <c r="AE218" s="20" t="s">
        <v>137</v>
      </c>
    </row>
    <row r="219" customFormat="false" ht="15" hidden="false" customHeight="false" outlineLevel="0" collapsed="false">
      <c r="A219" s="20" t="s">
        <v>175</v>
      </c>
      <c r="B219" s="20" t="s">
        <v>74</v>
      </c>
      <c r="C219" s="20" t="s">
        <v>117</v>
      </c>
      <c r="D219" s="20" t="s">
        <v>118</v>
      </c>
      <c r="E219" s="20" t="s">
        <v>119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120</v>
      </c>
      <c r="W219" s="20" t="s">
        <v>92</v>
      </c>
      <c r="X219" s="20"/>
      <c r="Y219" s="20" t="s">
        <v>93</v>
      </c>
      <c r="Z219" s="20" t="s">
        <v>121</v>
      </c>
      <c r="AA219" s="20" t="s">
        <v>122</v>
      </c>
      <c r="AB219" s="20" t="s">
        <v>123</v>
      </c>
      <c r="AC219" s="20" t="s">
        <v>124</v>
      </c>
      <c r="AD219" s="20" t="s">
        <v>176</v>
      </c>
      <c r="AE219" s="20" t="s">
        <v>138</v>
      </c>
    </row>
    <row r="220" customFormat="false" ht="15" hidden="false" customHeight="false" outlineLevel="0" collapsed="false">
      <c r="A220" s="20" t="s">
        <v>175</v>
      </c>
      <c r="B220" s="20" t="s">
        <v>71</v>
      </c>
      <c r="C220" s="20" t="s">
        <v>117</v>
      </c>
      <c r="D220" s="20" t="s">
        <v>118</v>
      </c>
      <c r="E220" s="20" t="s">
        <v>119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120</v>
      </c>
      <c r="W220" s="20" t="s">
        <v>92</v>
      </c>
      <c r="X220" s="20"/>
      <c r="Y220" s="20" t="s">
        <v>93</v>
      </c>
      <c r="Z220" s="20" t="s">
        <v>121</v>
      </c>
      <c r="AA220" s="20" t="s">
        <v>122</v>
      </c>
      <c r="AB220" s="20" t="s">
        <v>123</v>
      </c>
      <c r="AC220" s="20" t="s">
        <v>124</v>
      </c>
      <c r="AD220" s="20" t="s">
        <v>176</v>
      </c>
      <c r="AE220" s="20" t="s">
        <v>139</v>
      </c>
    </row>
    <row r="221" customFormat="false" ht="15" hidden="false" customHeight="false" outlineLevel="0" collapsed="false">
      <c r="A221" s="20" t="s">
        <v>175</v>
      </c>
      <c r="B221" s="20" t="s">
        <v>78</v>
      </c>
      <c r="C221" s="20" t="s">
        <v>117</v>
      </c>
      <c r="D221" s="20" t="s">
        <v>118</v>
      </c>
      <c r="E221" s="20" t="s">
        <v>119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120</v>
      </c>
      <c r="W221" s="20" t="s">
        <v>92</v>
      </c>
      <c r="X221" s="20"/>
      <c r="Y221" s="20" t="s">
        <v>93</v>
      </c>
      <c r="Z221" s="20" t="s">
        <v>121</v>
      </c>
      <c r="AA221" s="20" t="s">
        <v>122</v>
      </c>
      <c r="AB221" s="20" t="s">
        <v>123</v>
      </c>
      <c r="AC221" s="20" t="s">
        <v>124</v>
      </c>
      <c r="AD221" s="20" t="s">
        <v>176</v>
      </c>
      <c r="AE221" s="20" t="s">
        <v>140</v>
      </c>
    </row>
    <row r="222" customFormat="false" ht="15" hidden="false" customHeight="false" outlineLevel="0" collapsed="false">
      <c r="A222" s="20" t="s">
        <v>175</v>
      </c>
      <c r="B222" s="20" t="s">
        <v>141</v>
      </c>
      <c r="C222" s="20" t="s">
        <v>117</v>
      </c>
      <c r="D222" s="20" t="s">
        <v>118</v>
      </c>
      <c r="E222" s="20" t="s">
        <v>119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120</v>
      </c>
      <c r="W222" s="20" t="s">
        <v>92</v>
      </c>
      <c r="X222" s="20"/>
      <c r="Y222" s="20" t="s">
        <v>93</v>
      </c>
      <c r="Z222" s="20" t="s">
        <v>121</v>
      </c>
      <c r="AA222" s="20" t="s">
        <v>122</v>
      </c>
      <c r="AB222" s="20" t="s">
        <v>123</v>
      </c>
      <c r="AC222" s="20" t="s">
        <v>124</v>
      </c>
      <c r="AD222" s="20" t="s">
        <v>176</v>
      </c>
      <c r="AE222" s="20" t="s">
        <v>142</v>
      </c>
    </row>
    <row r="223" customFormat="false" ht="15" hidden="false" customHeight="false" outlineLevel="0" collapsed="false">
      <c r="A223" s="20" t="s">
        <v>177</v>
      </c>
      <c r="B223" s="20" t="s">
        <v>116</v>
      </c>
      <c r="C223" s="20" t="s">
        <v>117</v>
      </c>
      <c r="D223" s="20" t="s">
        <v>118</v>
      </c>
      <c r="E223" s="20" t="s">
        <v>119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120</v>
      </c>
      <c r="W223" s="20" t="s">
        <v>92</v>
      </c>
      <c r="X223" s="20"/>
      <c r="Y223" s="20" t="s">
        <v>93</v>
      </c>
      <c r="Z223" s="20" t="s">
        <v>121</v>
      </c>
      <c r="AA223" s="20" t="s">
        <v>122</v>
      </c>
      <c r="AB223" s="20" t="s">
        <v>123</v>
      </c>
      <c r="AC223" s="20" t="s">
        <v>124</v>
      </c>
      <c r="AD223" s="20" t="s">
        <v>178</v>
      </c>
      <c r="AE223" s="20" t="s">
        <v>126</v>
      </c>
    </row>
    <row r="224" customFormat="false" ht="15" hidden="false" customHeight="false" outlineLevel="0" collapsed="false">
      <c r="A224" s="20" t="s">
        <v>177</v>
      </c>
      <c r="B224" s="20" t="s">
        <v>127</v>
      </c>
      <c r="C224" s="20" t="s">
        <v>117</v>
      </c>
      <c r="D224" s="20" t="s">
        <v>118</v>
      </c>
      <c r="E224" s="20" t="s">
        <v>119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120</v>
      </c>
      <c r="W224" s="20" t="s">
        <v>92</v>
      </c>
      <c r="X224" s="20"/>
      <c r="Y224" s="20" t="s">
        <v>93</v>
      </c>
      <c r="Z224" s="20" t="s">
        <v>121</v>
      </c>
      <c r="AA224" s="20" t="s">
        <v>122</v>
      </c>
      <c r="AB224" s="20" t="s">
        <v>123</v>
      </c>
      <c r="AC224" s="20" t="s">
        <v>124</v>
      </c>
      <c r="AD224" s="20" t="s">
        <v>178</v>
      </c>
      <c r="AE224" s="20" t="s">
        <v>128</v>
      </c>
    </row>
    <row r="225" customFormat="false" ht="15" hidden="false" customHeight="false" outlineLevel="0" collapsed="false">
      <c r="A225" s="20" t="s">
        <v>177</v>
      </c>
      <c r="B225" s="20" t="s">
        <v>129</v>
      </c>
      <c r="C225" s="20" t="s">
        <v>117</v>
      </c>
      <c r="D225" s="20" t="s">
        <v>118</v>
      </c>
      <c r="E225" s="20" t="s">
        <v>119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120</v>
      </c>
      <c r="W225" s="20" t="s">
        <v>92</v>
      </c>
      <c r="X225" s="20"/>
      <c r="Y225" s="20" t="s">
        <v>93</v>
      </c>
      <c r="Z225" s="20" t="s">
        <v>121</v>
      </c>
      <c r="AA225" s="20" t="s">
        <v>122</v>
      </c>
      <c r="AB225" s="20" t="s">
        <v>123</v>
      </c>
      <c r="AC225" s="20" t="s">
        <v>124</v>
      </c>
      <c r="AD225" s="20" t="s">
        <v>178</v>
      </c>
      <c r="AE225" s="20" t="s">
        <v>130</v>
      </c>
    </row>
    <row r="226" customFormat="false" ht="15" hidden="false" customHeight="false" outlineLevel="0" collapsed="false">
      <c r="A226" s="20" t="s">
        <v>177</v>
      </c>
      <c r="B226" s="20" t="s">
        <v>131</v>
      </c>
      <c r="C226" s="20" t="s">
        <v>117</v>
      </c>
      <c r="D226" s="20" t="s">
        <v>118</v>
      </c>
      <c r="E226" s="20" t="s">
        <v>119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120</v>
      </c>
      <c r="W226" s="20" t="s">
        <v>92</v>
      </c>
      <c r="X226" s="20"/>
      <c r="Y226" s="20" t="s">
        <v>93</v>
      </c>
      <c r="Z226" s="20" t="s">
        <v>121</v>
      </c>
      <c r="AA226" s="20" t="s">
        <v>122</v>
      </c>
      <c r="AB226" s="20" t="s">
        <v>123</v>
      </c>
      <c r="AC226" s="20" t="s">
        <v>124</v>
      </c>
      <c r="AD226" s="20" t="s">
        <v>178</v>
      </c>
      <c r="AE226" s="20" t="s">
        <v>132</v>
      </c>
    </row>
    <row r="227" customFormat="false" ht="15" hidden="false" customHeight="false" outlineLevel="0" collapsed="false">
      <c r="A227" s="20" t="s">
        <v>177</v>
      </c>
      <c r="B227" s="20" t="s">
        <v>60</v>
      </c>
      <c r="C227" s="20" t="s">
        <v>117</v>
      </c>
      <c r="D227" s="20" t="s">
        <v>118</v>
      </c>
      <c r="E227" s="20" t="s">
        <v>119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120</v>
      </c>
      <c r="W227" s="20" t="s">
        <v>92</v>
      </c>
      <c r="X227" s="20"/>
      <c r="Y227" s="20" t="s">
        <v>93</v>
      </c>
      <c r="Z227" s="20" t="s">
        <v>121</v>
      </c>
      <c r="AA227" s="20" t="s">
        <v>122</v>
      </c>
      <c r="AB227" s="20" t="s">
        <v>123</v>
      </c>
      <c r="AC227" s="20" t="s">
        <v>124</v>
      </c>
      <c r="AD227" s="20" t="s">
        <v>178</v>
      </c>
      <c r="AE227" s="20" t="s">
        <v>133</v>
      </c>
    </row>
    <row r="228" customFormat="false" ht="15" hidden="false" customHeight="false" outlineLevel="0" collapsed="false">
      <c r="A228" s="20" t="s">
        <v>177</v>
      </c>
      <c r="B228" s="20" t="s">
        <v>134</v>
      </c>
      <c r="C228" s="20" t="s">
        <v>117</v>
      </c>
      <c r="D228" s="20" t="s">
        <v>118</v>
      </c>
      <c r="E228" s="20" t="s">
        <v>119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120</v>
      </c>
      <c r="W228" s="20" t="s">
        <v>92</v>
      </c>
      <c r="X228" s="20"/>
      <c r="Y228" s="20" t="s">
        <v>93</v>
      </c>
      <c r="Z228" s="20" t="s">
        <v>121</v>
      </c>
      <c r="AA228" s="20" t="s">
        <v>122</v>
      </c>
      <c r="AB228" s="20" t="s">
        <v>123</v>
      </c>
      <c r="AC228" s="20" t="s">
        <v>124</v>
      </c>
      <c r="AD228" s="20" t="s">
        <v>178</v>
      </c>
      <c r="AE228" s="20" t="s">
        <v>135</v>
      </c>
    </row>
    <row r="229" customFormat="false" ht="15" hidden="false" customHeight="false" outlineLevel="0" collapsed="false">
      <c r="A229" s="20" t="s">
        <v>177</v>
      </c>
      <c r="B229" s="20" t="s">
        <v>67</v>
      </c>
      <c r="C229" s="20" t="s">
        <v>117</v>
      </c>
      <c r="D229" s="20" t="s">
        <v>118</v>
      </c>
      <c r="E229" s="20" t="s">
        <v>119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120</v>
      </c>
      <c r="W229" s="20" t="s">
        <v>92</v>
      </c>
      <c r="X229" s="20"/>
      <c r="Y229" s="20" t="s">
        <v>93</v>
      </c>
      <c r="Z229" s="20" t="s">
        <v>121</v>
      </c>
      <c r="AA229" s="20" t="s">
        <v>122</v>
      </c>
      <c r="AB229" s="20" t="s">
        <v>123</v>
      </c>
      <c r="AC229" s="20" t="s">
        <v>124</v>
      </c>
      <c r="AD229" s="20" t="s">
        <v>178</v>
      </c>
      <c r="AE229" s="20" t="s">
        <v>136</v>
      </c>
    </row>
    <row r="230" customFormat="false" ht="15" hidden="false" customHeight="false" outlineLevel="0" collapsed="false">
      <c r="A230" s="20" t="s">
        <v>177</v>
      </c>
      <c r="B230" s="20" t="s">
        <v>64</v>
      </c>
      <c r="C230" s="20" t="s">
        <v>117</v>
      </c>
      <c r="D230" s="20" t="s">
        <v>118</v>
      </c>
      <c r="E230" s="20" t="s">
        <v>119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120</v>
      </c>
      <c r="W230" s="20" t="s">
        <v>92</v>
      </c>
      <c r="X230" s="20"/>
      <c r="Y230" s="20" t="s">
        <v>93</v>
      </c>
      <c r="Z230" s="20" t="s">
        <v>121</v>
      </c>
      <c r="AA230" s="20" t="s">
        <v>122</v>
      </c>
      <c r="AB230" s="20" t="s">
        <v>123</v>
      </c>
      <c r="AC230" s="20" t="s">
        <v>124</v>
      </c>
      <c r="AD230" s="20" t="s">
        <v>178</v>
      </c>
      <c r="AE230" s="20" t="s">
        <v>137</v>
      </c>
    </row>
    <row r="231" customFormat="false" ht="15" hidden="false" customHeight="false" outlineLevel="0" collapsed="false">
      <c r="A231" s="20" t="s">
        <v>177</v>
      </c>
      <c r="B231" s="20" t="s">
        <v>74</v>
      </c>
      <c r="C231" s="20" t="s">
        <v>117</v>
      </c>
      <c r="D231" s="20" t="s">
        <v>118</v>
      </c>
      <c r="E231" s="20" t="s">
        <v>119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120</v>
      </c>
      <c r="W231" s="20" t="s">
        <v>92</v>
      </c>
      <c r="X231" s="20"/>
      <c r="Y231" s="20" t="s">
        <v>93</v>
      </c>
      <c r="Z231" s="20" t="s">
        <v>121</v>
      </c>
      <c r="AA231" s="20" t="s">
        <v>122</v>
      </c>
      <c r="AB231" s="20" t="s">
        <v>123</v>
      </c>
      <c r="AC231" s="20" t="s">
        <v>124</v>
      </c>
      <c r="AD231" s="20" t="s">
        <v>178</v>
      </c>
      <c r="AE231" s="20" t="s">
        <v>138</v>
      </c>
    </row>
    <row r="232" customFormat="false" ht="15" hidden="false" customHeight="false" outlineLevel="0" collapsed="false">
      <c r="A232" s="20" t="s">
        <v>177</v>
      </c>
      <c r="B232" s="20" t="s">
        <v>71</v>
      </c>
      <c r="C232" s="20" t="s">
        <v>117</v>
      </c>
      <c r="D232" s="20" t="s">
        <v>118</v>
      </c>
      <c r="E232" s="20" t="s">
        <v>119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120</v>
      </c>
      <c r="W232" s="20" t="s">
        <v>92</v>
      </c>
      <c r="X232" s="20"/>
      <c r="Y232" s="20" t="s">
        <v>93</v>
      </c>
      <c r="Z232" s="20" t="s">
        <v>121</v>
      </c>
      <c r="AA232" s="20" t="s">
        <v>122</v>
      </c>
      <c r="AB232" s="20" t="s">
        <v>123</v>
      </c>
      <c r="AC232" s="20" t="s">
        <v>124</v>
      </c>
      <c r="AD232" s="20" t="s">
        <v>178</v>
      </c>
      <c r="AE232" s="20" t="s">
        <v>139</v>
      </c>
    </row>
    <row r="233" customFormat="false" ht="15" hidden="false" customHeight="false" outlineLevel="0" collapsed="false">
      <c r="A233" s="20" t="s">
        <v>177</v>
      </c>
      <c r="B233" s="20" t="s">
        <v>78</v>
      </c>
      <c r="C233" s="20" t="s">
        <v>117</v>
      </c>
      <c r="D233" s="20" t="s">
        <v>118</v>
      </c>
      <c r="E233" s="20" t="s">
        <v>119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120</v>
      </c>
      <c r="W233" s="20" t="s">
        <v>92</v>
      </c>
      <c r="X233" s="20"/>
      <c r="Y233" s="20" t="s">
        <v>93</v>
      </c>
      <c r="Z233" s="20" t="s">
        <v>121</v>
      </c>
      <c r="AA233" s="20" t="s">
        <v>122</v>
      </c>
      <c r="AB233" s="20" t="s">
        <v>123</v>
      </c>
      <c r="AC233" s="20" t="s">
        <v>124</v>
      </c>
      <c r="AD233" s="20" t="s">
        <v>178</v>
      </c>
      <c r="AE233" s="20" t="s">
        <v>140</v>
      </c>
    </row>
    <row r="234" customFormat="false" ht="15" hidden="false" customHeight="false" outlineLevel="0" collapsed="false">
      <c r="A234" s="20" t="s">
        <v>177</v>
      </c>
      <c r="B234" s="20" t="s">
        <v>141</v>
      </c>
      <c r="C234" s="20" t="s">
        <v>117</v>
      </c>
      <c r="D234" s="20" t="s">
        <v>118</v>
      </c>
      <c r="E234" s="20" t="s">
        <v>119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120</v>
      </c>
      <c r="W234" s="20" t="s">
        <v>92</v>
      </c>
      <c r="X234" s="20"/>
      <c r="Y234" s="20" t="s">
        <v>93</v>
      </c>
      <c r="Z234" s="20" t="s">
        <v>121</v>
      </c>
      <c r="AA234" s="20" t="s">
        <v>122</v>
      </c>
      <c r="AB234" s="20" t="s">
        <v>123</v>
      </c>
      <c r="AC234" s="20" t="s">
        <v>124</v>
      </c>
      <c r="AD234" s="20" t="s">
        <v>178</v>
      </c>
      <c r="AE234" s="20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26" min="7" style="0" width="12"/>
  </cols>
  <sheetData>
    <row r="1" customFormat="false" ht="27.75" hidden="false" customHeight="true" outlineLevel="0" collapsed="false">
      <c r="A1" s="1" t="s">
        <v>179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8" hidden="false" customHeight="true" outlineLevel="0" collapsed="false">
      <c r="A2" s="3" t="s">
        <v>180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10" t="s">
        <v>181</v>
      </c>
    </row>
    <row r="4" customFormat="false" ht="19.5" hidden="false" customHeight="true" outlineLevel="0" collapsed="false">
      <c r="A4" s="22" t="s">
        <v>182</v>
      </c>
      <c r="B4" s="22"/>
      <c r="C4" s="22"/>
      <c r="D4" s="22"/>
      <c r="E4" s="23" t="s">
        <v>183</v>
      </c>
      <c r="F4" s="23"/>
      <c r="G4" s="23"/>
      <c r="H4" s="23"/>
      <c r="I4" s="23"/>
      <c r="J4" s="24" t="s">
        <v>184</v>
      </c>
      <c r="K4" s="24"/>
      <c r="L4" s="24"/>
      <c r="M4" s="24"/>
      <c r="N4" s="24"/>
      <c r="O4" s="24"/>
      <c r="P4" s="24"/>
      <c r="Q4" s="25" t="s">
        <v>48</v>
      </c>
      <c r="R4" s="25"/>
      <c r="S4" s="25"/>
      <c r="T4" s="25"/>
      <c r="U4" s="25"/>
      <c r="V4" s="25"/>
      <c r="W4" s="26" t="s">
        <v>185</v>
      </c>
      <c r="X4" s="26"/>
      <c r="Y4" s="26"/>
      <c r="Z4" s="26"/>
    </row>
    <row r="5" customFormat="false" ht="42" hidden="false" customHeight="true" outlineLevel="0" collapsed="false">
      <c r="A5" s="27" t="s">
        <v>186</v>
      </c>
      <c r="B5" s="27" t="s">
        <v>187</v>
      </c>
      <c r="C5" s="27" t="s">
        <v>188</v>
      </c>
      <c r="D5" s="27" t="s">
        <v>189</v>
      </c>
      <c r="E5" s="28" t="str">
        <f aca="false">"Addressable market "&amp;(Settings!$B$7-1)&amp;" (EUR m)"</f>
        <v>Addressable market 2025 (EUR m)</v>
      </c>
      <c r="F5" s="28" t="str">
        <f aca="false">"Construction work done "&amp;(Settings!$B$7-1)&amp;" (US$ m)"</f>
        <v>Construction work done 2025 (US$ m)</v>
      </c>
      <c r="G5" s="28" t="str">
        <f aca="false">"Market CAGR "&amp;(Settings!$B$7-6)&amp;"-"&amp;(Settings!$B$7-1)</f>
        <v>Market CAGR 2020-2025</v>
      </c>
      <c r="H5" s="28" t="str">
        <f aca="false">"Market growth "&amp;Settings!$B$7&amp;"E"</f>
        <v>Market growth 2026E</v>
      </c>
      <c r="I5" s="28" t="str">
        <f aca="false">"Market CAGR "&amp;Settings!$B$7&amp;"-"&amp;(Settings!$B$7+5)</f>
        <v>Market CAGR 2026-2031</v>
      </c>
      <c r="J5" s="28" t="s">
        <v>190</v>
      </c>
      <c r="K5" s="28" t="str">
        <f aca="false">"Renovation CAGR "&amp;(Settings!$B$7-6)&amp;"-"&amp;(Settings!$B$7-1)</f>
        <v>Renovation CAGR 2020-2025</v>
      </c>
      <c r="L5" s="28" t="str">
        <f aca="false">"Renovation growth "&amp;Settings!$B$7&amp;"E"</f>
        <v>Renovation growth 2026E</v>
      </c>
      <c r="M5" s="28" t="str">
        <f aca="false">"Renovation CAGR "&amp;Settings!$B$7&amp;"-"&amp;(Settings!$B$7+5)</f>
        <v>Renovation CAGR 2026-2031</v>
      </c>
      <c r="N5" s="28" t="str">
        <f aca="false">"New build CAGR "&amp;(Settings!$B$7-6)&amp;"-"&amp;(Settings!$B$7-1)</f>
        <v>New build CAGR 2020-2025</v>
      </c>
      <c r="O5" s="28" t="str">
        <f aca="false">"New build growth "&amp;Settings!$B$7&amp;"E"</f>
        <v>New build growth 2026E</v>
      </c>
      <c r="P5" s="28" t="str">
        <f aca="false">"New build CAGR "&amp;Settings!$B$7&amp;"-"&amp;(Settings!$B$7+5)</f>
        <v>New build CAGR 2026-2031</v>
      </c>
      <c r="Q5" s="27" t="str">
        <f aca="false">"HFC sales "&amp;(Settings!$B$7-1)&amp;" (EUR m)"</f>
        <v>HFC sales 2025 (EUR m)</v>
      </c>
      <c r="R5" s="27" t="str">
        <f aca="false">"HFC sales CAGR "&amp;(Settings!$B$7-6)&amp;"-"&amp;(Settings!$B$7-1)</f>
        <v>HFC sales CAGR 2020-2025</v>
      </c>
      <c r="S5" s="27" t="str">
        <f aca="false">"HFC growth "&amp;Settings!$B$7&amp;" forecast"</f>
        <v>HFC growth 2026 forecast</v>
      </c>
      <c r="T5" s="27" t="str">
        <f aca="false">"HFC BP CAGR "&amp;Settings!$B$7&amp;"-"&amp;(Settings!$B$7+5)</f>
        <v>HFC BP CAGR 2026-2031</v>
      </c>
      <c r="U5" s="27" t="str">
        <f aca="false">"Market share "&amp;(Settings!$B$7-1)&amp;" (optional)"</f>
        <v>Market share 2025 (optional)</v>
      </c>
      <c r="V5" s="27" t="str">
        <f aca="false">"Market share "&amp;Settings!$B$7&amp;" (optional)"</f>
        <v>Market share 2026 (optional)</v>
      </c>
      <c r="W5" s="27" t="s">
        <v>191</v>
      </c>
      <c r="X5" s="27" t="s">
        <v>192</v>
      </c>
      <c r="Y5" s="27" t="s">
        <v>193</v>
      </c>
      <c r="Z5" s="27" t="s">
        <v>194</v>
      </c>
    </row>
    <row r="6" customFormat="false" ht="15" hidden="false" customHeight="false" outlineLevel="0" collapsed="false">
      <c r="A6" s="14" t="s">
        <v>169</v>
      </c>
      <c r="B6" s="14" t="s">
        <v>195</v>
      </c>
      <c r="C6" s="14" t="s">
        <v>196</v>
      </c>
      <c r="D6" s="14" t="s">
        <v>169</v>
      </c>
      <c r="E6" s="29" t="n">
        <v>115</v>
      </c>
      <c r="F6" s="30" t="n">
        <f aca="false">IF($A6="","",'Market levels'!I6)</f>
        <v>10329.28</v>
      </c>
      <c r="G6" s="31" t="n">
        <f aca="false">IF($A6="","",IFERROR(('Market levels'!I6/'Market levels'!D6)^(1/5)-1,""))</f>
        <v>-0.0195992504134664</v>
      </c>
      <c r="H6" s="31" t="n">
        <f aca="false">IF($A6="","",IFERROR('Market levels'!J6/'Market levels'!I6-1,""))</f>
        <v>0.0654305043526753</v>
      </c>
      <c r="I6" s="31" t="n">
        <f aca="false">IF($A6="","",IFERROR(('Market levels'!O6/'Market levels'!J6)^(1/5)-1,""))</f>
        <v>0.0225015243342797</v>
      </c>
      <c r="J6" s="32" t="n">
        <f aca="false">IF($A6="","",IFERROR('Market levels'!U6/'Market levels'!I6,""))</f>
        <v>0.532586976052542</v>
      </c>
      <c r="K6" s="31" t="n">
        <f aca="false">IF($A6="","",IFERROR(('Market levels'!U6/'Market levels'!P6)^(1/5)-1,""))</f>
        <v>0.0211153330698004</v>
      </c>
      <c r="L6" s="31" t="n">
        <f aca="false">IF($A6="","",IFERROR('Market levels'!V6/'Market levels'!U6-1,""))</f>
        <v>0.185850826359149</v>
      </c>
      <c r="M6" s="31" t="n">
        <f aca="false">IF($A6="","",IFERROR(('Market levels'!AA6/'Market levels'!V6)^(1/5)-1,""))</f>
        <v>0.0141805398769062</v>
      </c>
      <c r="N6" s="31" t="n">
        <f aca="false">IF($A6="","",IFERROR(('Market levels'!AG6/'Market levels'!AB6)^(1/5)-1,""))</f>
        <v>-0.0562343157624903</v>
      </c>
      <c r="O6" s="31" t="n">
        <f aca="false">IF($A6="","",IFERROR('Market levels'!AH6/'Market levels'!AG6-1,""))</f>
        <v>-0.0717806811873972</v>
      </c>
      <c r="P6" s="31" t="n">
        <f aca="false">IF($A6="","",IFERROR(('Market levels'!AM6/'Market levels'!AH6)^(1/5)-1,""))</f>
        <v>0.0341503028428385</v>
      </c>
      <c r="Q6" s="29" t="n">
        <v>5.8</v>
      </c>
      <c r="R6" s="33" t="n">
        <v>0.09</v>
      </c>
      <c r="S6" s="33" t="n">
        <v>0.085</v>
      </c>
      <c r="T6" s="33" t="n">
        <v>0.1</v>
      </c>
      <c r="U6" s="33"/>
      <c r="V6" s="33"/>
      <c r="W6" s="17" t="n">
        <v>3</v>
      </c>
      <c r="X6" s="17" t="n">
        <v>3</v>
      </c>
      <c r="Y6" s="17" t="n">
        <v>2</v>
      </c>
      <c r="Z6" s="17" t="n">
        <v>4</v>
      </c>
    </row>
    <row r="7" customFormat="false" ht="15" hidden="false" customHeight="false" outlineLevel="0" collapsed="false">
      <c r="A7" s="14" t="s">
        <v>169</v>
      </c>
      <c r="B7" s="14" t="s">
        <v>195</v>
      </c>
      <c r="C7" s="14" t="s">
        <v>197</v>
      </c>
      <c r="D7" s="14" t="s">
        <v>169</v>
      </c>
      <c r="E7" s="29" t="n">
        <v>260</v>
      </c>
      <c r="F7" s="30" t="n">
        <f aca="false">IF($A7="","",'Market levels'!I7)</f>
        <v>23418.23</v>
      </c>
      <c r="G7" s="31" t="n">
        <f aca="false">IF($A7="","",IFERROR(('Market levels'!I7/'Market levels'!D7)^(1/5)-1,""))</f>
        <v>0.00341472045997371</v>
      </c>
      <c r="H7" s="31" t="n">
        <f aca="false">IF($A7="","",IFERROR('Market levels'!J7/'Market levels'!I7-1,""))</f>
        <v>0.0596590775647863</v>
      </c>
      <c r="I7" s="31" t="n">
        <f aca="false">IF($A7="","",IFERROR(('Market levels'!O7/'Market levels'!J7)^(1/5)-1,""))</f>
        <v>0.0234508339237622</v>
      </c>
      <c r="J7" s="32" t="n">
        <f aca="false">IF($A7="","",IFERROR('Market levels'!U7/'Market levels'!I7,""))</f>
        <v>0.327015747987786</v>
      </c>
      <c r="K7" s="31" t="n">
        <f aca="false">IF($A7="","",IFERROR(('Market levels'!U7/'Market levels'!P7)^(1/5)-1,""))</f>
        <v>0.00993674664251398</v>
      </c>
      <c r="L7" s="31" t="n">
        <f aca="false">IF($A7="","",IFERROR('Market levels'!V7/'Market levels'!U7-1,""))</f>
        <v>0.165138225650388</v>
      </c>
      <c r="M7" s="31" t="n">
        <f aca="false">IF($A7="","",IFERROR(('Market levels'!AA7/'Market levels'!V7)^(1/5)-1,""))</f>
        <v>0.0204915356177162</v>
      </c>
      <c r="N7" s="31" t="n">
        <f aca="false">IF($A7="","",IFERROR(('Market levels'!AG7/'Market levels'!AB7)^(1/5)-1,""))</f>
        <v>0.000334978916365802</v>
      </c>
      <c r="O7" s="31" t="n">
        <f aca="false">IF($A7="","",IFERROR('Market levels'!AH7/'Market levels'!AG7-1,""))</f>
        <v>0.00840476900527287</v>
      </c>
      <c r="P7" s="31" t="n">
        <f aca="false">IF($A7="","",IFERROR(('Market levels'!AM7/'Market levels'!AH7)^(1/5)-1,""))</f>
        <v>0.0250974263653638</v>
      </c>
      <c r="Q7" s="29" t="n">
        <v>9.9</v>
      </c>
      <c r="R7" s="33" t="n">
        <v>0.095</v>
      </c>
      <c r="S7" s="33" t="n">
        <v>0.09</v>
      </c>
      <c r="T7" s="33" t="n">
        <v>0.105</v>
      </c>
      <c r="U7" s="33"/>
      <c r="V7" s="33"/>
      <c r="W7" s="17" t="n">
        <v>3</v>
      </c>
      <c r="X7" s="17" t="n">
        <v>3</v>
      </c>
      <c r="Y7" s="17" t="n">
        <v>2</v>
      </c>
      <c r="Z7" s="17" t="n">
        <v>4</v>
      </c>
    </row>
    <row r="8" customFormat="false" ht="15" hidden="false" customHeight="false" outlineLevel="0" collapsed="false">
      <c r="A8" s="14" t="s">
        <v>147</v>
      </c>
      <c r="B8" s="14" t="s">
        <v>198</v>
      </c>
      <c r="C8" s="14" t="s">
        <v>196</v>
      </c>
      <c r="D8" s="14" t="s">
        <v>147</v>
      </c>
      <c r="E8" s="29" t="n">
        <v>65</v>
      </c>
      <c r="F8" s="30" t="n">
        <f aca="false">IF($A8="","",'Market levels'!I8)</f>
        <v>5836.52</v>
      </c>
      <c r="G8" s="31" t="n">
        <f aca="false">IF($A8="","",IFERROR(('Market levels'!I8/'Market levels'!D8)^(1/5)-1,""))</f>
        <v>-0.0240851177496964</v>
      </c>
      <c r="H8" s="31" t="n">
        <f aca="false">IF($A8="","",IFERROR('Market levels'!J8/'Market levels'!I8-1,""))</f>
        <v>-0.0168148143071558</v>
      </c>
      <c r="I8" s="31" t="n">
        <f aca="false">IF($A8="","",IFERROR(('Market levels'!O8/'Market levels'!J8)^(1/5)-1,""))</f>
        <v>0.0219043525508911</v>
      </c>
      <c r="J8" s="32" t="n">
        <f aca="false">IF($A8="","",IFERROR('Market levels'!U8/'Market levels'!I8,""))</f>
        <v>0.323363922337283</v>
      </c>
      <c r="K8" s="31" t="n">
        <f aca="false">IF($A8="","",IFERROR(('Market levels'!U8/'Market levels'!P8)^(1/5)-1,""))</f>
        <v>0.0319288971282656</v>
      </c>
      <c r="L8" s="31" t="n">
        <f aca="false">IF($A8="","",IFERROR('Market levels'!V8/'Market levels'!U8-1,""))</f>
        <v>-0.0942818387978723</v>
      </c>
      <c r="M8" s="31" t="n">
        <f aca="false">IF($A8="","",IFERROR(('Market levels'!AA8/'Market levels'!V8)^(1/5)-1,""))</f>
        <v>0.0310685186979185</v>
      </c>
      <c r="N8" s="31" t="n">
        <f aca="false">IF($A8="","",IFERROR(('Market levels'!AG8/'Market levels'!AB8)^(1/5)-1,""))</f>
        <v>-0.0453359898789375</v>
      </c>
      <c r="O8" s="31" t="n">
        <f aca="false">IF($A8="","",IFERROR('Market levels'!AH8/'Market levels'!AG8-1,""))</f>
        <v>0.0202066241264052</v>
      </c>
      <c r="P8" s="31" t="n">
        <f aca="false">IF($A8="","",IFERROR(('Market levels'!AM8/'Market levels'!AH8)^(1/5)-1,""))</f>
        <v>0.0179148899833346</v>
      </c>
      <c r="Q8" s="29" t="n">
        <v>3.9</v>
      </c>
      <c r="R8" s="33" t="n">
        <v>0.06</v>
      </c>
      <c r="S8" s="33" t="n">
        <v>0.05</v>
      </c>
      <c r="T8" s="33" t="n">
        <v>0.07</v>
      </c>
      <c r="U8" s="33"/>
      <c r="V8" s="33"/>
      <c r="W8" s="17" t="n">
        <v>3</v>
      </c>
      <c r="X8" s="17" t="n">
        <v>3</v>
      </c>
      <c r="Y8" s="17" t="n">
        <v>3</v>
      </c>
      <c r="Z8" s="17" t="n">
        <v>3</v>
      </c>
    </row>
    <row r="9" customFormat="false" ht="15" hidden="false" customHeight="false" outlineLevel="0" collapsed="false">
      <c r="A9" s="14" t="s">
        <v>147</v>
      </c>
      <c r="B9" s="14" t="s">
        <v>198</v>
      </c>
      <c r="C9" s="14" t="s">
        <v>197</v>
      </c>
      <c r="D9" s="14" t="s">
        <v>147</v>
      </c>
      <c r="E9" s="29" t="n">
        <v>85</v>
      </c>
      <c r="F9" s="30" t="n">
        <f aca="false">IF($A9="","",'Market levels'!I9)</f>
        <v>7763.99</v>
      </c>
      <c r="G9" s="31" t="n">
        <f aca="false">IF($A9="","",IFERROR(('Market levels'!I9/'Market levels'!D9)^(1/5)-1,""))</f>
        <v>-0.00337034520083179</v>
      </c>
      <c r="H9" s="31" t="n">
        <f aca="false">IF($A9="","",IFERROR('Market levels'!J9/'Market levels'!I9-1,""))</f>
        <v>0.0511502462007294</v>
      </c>
      <c r="I9" s="31" t="n">
        <f aca="false">IF($A9="","",IFERROR(('Market levels'!O9/'Market levels'!J9)^(1/5)-1,""))</f>
        <v>0.0400035541568586</v>
      </c>
      <c r="J9" s="32" t="n">
        <f aca="false">IF($A9="","",IFERROR('Market levels'!U9/'Market levels'!I9,""))</f>
        <v>0.318157287683266</v>
      </c>
      <c r="K9" s="31" t="n">
        <f aca="false">IF($A9="","",IFERROR(('Market levels'!U9/'Market levels'!P9)^(1/5)-1,""))</f>
        <v>-0.000172368597403549</v>
      </c>
      <c r="L9" s="31" t="n">
        <f aca="false">IF($A9="","",IFERROR('Market levels'!V9/'Market levels'!U9-1,""))</f>
        <v>0.0357060445232513</v>
      </c>
      <c r="M9" s="31" t="n">
        <f aca="false">IF($A9="","",IFERROR(('Market levels'!AA9/'Market levels'!V9)^(1/5)-1,""))</f>
        <v>0.0541595511445643</v>
      </c>
      <c r="N9" s="31" t="n">
        <f aca="false">IF($A9="","",IFERROR(('Market levels'!AG9/'Market levels'!AB9)^(1/5)-1,""))</f>
        <v>-0.0048417679935393</v>
      </c>
      <c r="O9" s="31" t="n">
        <f aca="false">IF($A9="","",IFERROR('Market levels'!AH9/'Market levels'!AG9-1,""))</f>
        <v>0.0583567253892274</v>
      </c>
      <c r="P9" s="31" t="n">
        <f aca="false">IF($A9="","",IFERROR(('Market levels'!AM9/'Market levels'!AH9)^(1/5)-1,""))</f>
        <v>0.0332746428625212</v>
      </c>
      <c r="Q9" s="29" t="n">
        <v>3.4</v>
      </c>
      <c r="R9" s="33" t="n">
        <v>0.065</v>
      </c>
      <c r="S9" s="33" t="n">
        <v>0.055</v>
      </c>
      <c r="T9" s="33" t="n">
        <v>0.075</v>
      </c>
      <c r="U9" s="33"/>
      <c r="V9" s="33"/>
      <c r="W9" s="17" t="n">
        <v>3</v>
      </c>
      <c r="X9" s="17" t="n">
        <v>3</v>
      </c>
      <c r="Y9" s="17" t="n">
        <v>3</v>
      </c>
      <c r="Z9" s="17" t="n">
        <v>3</v>
      </c>
    </row>
    <row r="10" customFormat="false" ht="15" hidden="false" customHeight="false" outlineLevel="0" collapsed="false">
      <c r="A10" s="14" t="s">
        <v>159</v>
      </c>
      <c r="B10" s="14" t="s">
        <v>199</v>
      </c>
      <c r="C10" s="14" t="s">
        <v>196</v>
      </c>
      <c r="D10" s="14" t="s">
        <v>159</v>
      </c>
      <c r="E10" s="29" t="n">
        <v>20</v>
      </c>
      <c r="F10" s="30" t="n">
        <f aca="false">IF($A10="","",'Market levels'!I10)</f>
        <v>1964.39</v>
      </c>
      <c r="G10" s="31" t="n">
        <f aca="false">IF($A10="","",IFERROR(('Market levels'!I10/'Market levels'!D10)^(1/5)-1,""))</f>
        <v>-0.0033333537733401</v>
      </c>
      <c r="H10" s="31" t="n">
        <f aca="false">IF($A10="","",IFERROR('Market levels'!J10/'Market levels'!I10-1,""))</f>
        <v>0.0869175672855187</v>
      </c>
      <c r="I10" s="31" t="n">
        <f aca="false">IF($A10="","",IFERROR(('Market levels'!O10/'Market levels'!J10)^(1/5)-1,""))</f>
        <v>0.00646351483566021</v>
      </c>
      <c r="J10" s="32" t="n">
        <f aca="false">IF($A10="","",IFERROR('Market levels'!U10/'Market levels'!I10,""))</f>
        <v>0.530159489714364</v>
      </c>
      <c r="K10" s="31" t="n">
        <f aca="false">IF($A10="","",IFERROR(('Market levels'!U10/'Market levels'!P10)^(1/5)-1,""))</f>
        <v>0.026370963125081</v>
      </c>
      <c r="L10" s="31" t="n">
        <f aca="false">IF($A10="","",IFERROR('Market levels'!V10/'Market levels'!U10-1,""))</f>
        <v>-0.0169188815486249</v>
      </c>
      <c r="M10" s="31" t="n">
        <f aca="false">IF($A10="","",IFERROR(('Market levels'!AA10/'Market levels'!V10)^(1/5)-1,""))</f>
        <v>0.0528241378587315</v>
      </c>
      <c r="N10" s="31" t="n">
        <f aca="false">IF($A10="","",IFERROR(('Market levels'!AG10/'Market levels'!AB10)^(1/5)-1,""))</f>
        <v>-0.0314966623547504</v>
      </c>
      <c r="O10" s="31" t="n">
        <f aca="false">IF($A10="","",IFERROR('Market levels'!AH10/'Market levels'!AG10-1,""))</f>
        <v>0.20408472831681</v>
      </c>
      <c r="P10" s="31" t="n">
        <f aca="false">IF($A10="","",IFERROR(('Market levels'!AM10/'Market levels'!AH10)^(1/5)-1,""))</f>
        <v>-0.0454546149649131</v>
      </c>
      <c r="Q10" s="29" t="n">
        <v>0.8</v>
      </c>
      <c r="R10" s="33" t="n">
        <v>0.05</v>
      </c>
      <c r="S10" s="33" t="n">
        <v>0.03</v>
      </c>
      <c r="T10" s="33" t="n">
        <v>0.06</v>
      </c>
      <c r="U10" s="33"/>
      <c r="V10" s="33"/>
      <c r="W10" s="17" t="n">
        <v>2</v>
      </c>
      <c r="X10" s="17" t="n">
        <v>3</v>
      </c>
      <c r="Y10" s="17" t="n">
        <v>2</v>
      </c>
      <c r="Z10" s="17" t="n">
        <v>3</v>
      </c>
    </row>
    <row r="11" customFormat="false" ht="15" hidden="false" customHeight="false" outlineLevel="0" collapsed="false">
      <c r="A11" s="14" t="s">
        <v>159</v>
      </c>
      <c r="B11" s="14" t="s">
        <v>199</v>
      </c>
      <c r="C11" s="14" t="s">
        <v>197</v>
      </c>
      <c r="D11" s="14" t="s">
        <v>159</v>
      </c>
      <c r="E11" s="29" t="n">
        <v>40</v>
      </c>
      <c r="F11" s="30" t="n">
        <f aca="false">IF($A11="","",'Market levels'!I11)</f>
        <v>3843.27</v>
      </c>
      <c r="G11" s="31" t="n">
        <f aca="false">IF($A11="","",IFERROR(('Market levels'!I11/'Market levels'!D11)^(1/5)-1,""))</f>
        <v>0.00844826606355431</v>
      </c>
      <c r="H11" s="31" t="n">
        <f aca="false">IF($A11="","",IFERROR('Market levels'!J11/'Market levels'!I11-1,""))</f>
        <v>0.116684490030625</v>
      </c>
      <c r="I11" s="31" t="n">
        <f aca="false">IF($A11="","",IFERROR(('Market levels'!O11/'Market levels'!J11)^(1/5)-1,""))</f>
        <v>0.0268761815236398</v>
      </c>
      <c r="J11" s="32" t="n">
        <f aca="false">IF($A11="","",IFERROR('Market levels'!U11/'Market levels'!I11,""))</f>
        <v>0.49522411904446</v>
      </c>
      <c r="K11" s="31" t="n">
        <f aca="false">IF($A11="","",IFERROR(('Market levels'!U11/'Market levels'!P11)^(1/5)-1,""))</f>
        <v>0.0431067043011753</v>
      </c>
      <c r="L11" s="31" t="n">
        <f aca="false">IF($A11="","",IFERROR('Market levels'!V11/'Market levels'!U11-1,""))</f>
        <v>0.137299819259384</v>
      </c>
      <c r="M11" s="31" t="n">
        <f aca="false">IF($A11="","",IFERROR(('Market levels'!AA11/'Market levels'!V11)^(1/5)-1,""))</f>
        <v>0.00749737665613659</v>
      </c>
      <c r="N11" s="31" t="n">
        <f aca="false">IF($A11="","",IFERROR(('Market levels'!AG11/'Market levels'!AB11)^(1/5)-1,""))</f>
        <v>-0.0197775033065249</v>
      </c>
      <c r="O11" s="31" t="n">
        <f aca="false">IF($A11="","",IFERROR('Market levels'!AH11/'Market levels'!AG11-1,""))</f>
        <v>0.0964592600992789</v>
      </c>
      <c r="P11" s="31" t="n">
        <f aca="false">IF($A11="","",IFERROR(('Market levels'!AM11/'Market levels'!AH11)^(1/5)-1,""))</f>
        <v>0.0452003053264212</v>
      </c>
      <c r="Q11" s="29" t="n">
        <v>1.2</v>
      </c>
      <c r="R11" s="33" t="n">
        <v>0.055</v>
      </c>
      <c r="S11" s="33" t="n">
        <v>0.035</v>
      </c>
      <c r="T11" s="33" t="n">
        <v>0.065</v>
      </c>
      <c r="U11" s="33"/>
      <c r="V11" s="33"/>
      <c r="W11" s="17" t="n">
        <v>2</v>
      </c>
      <c r="X11" s="17" t="n">
        <v>3</v>
      </c>
      <c r="Y11" s="17" t="n">
        <v>2</v>
      </c>
      <c r="Z11" s="17" t="n">
        <v>3</v>
      </c>
    </row>
    <row r="12" customFormat="false" ht="15" hidden="false" customHeight="false" outlineLevel="0" collapsed="false">
      <c r="A12" s="14" t="s">
        <v>165</v>
      </c>
      <c r="B12" s="14" t="s">
        <v>200</v>
      </c>
      <c r="C12" s="14" t="s">
        <v>196</v>
      </c>
      <c r="D12" s="14" t="s">
        <v>165</v>
      </c>
      <c r="E12" s="29" t="n">
        <v>320</v>
      </c>
      <c r="F12" s="30" t="n">
        <f aca="false">IF($A12="","",'Market levels'!I12)</f>
        <v>29129.26</v>
      </c>
      <c r="G12" s="31" t="n">
        <f aca="false">IF($A12="","",IFERROR(('Market levels'!I12/'Market levels'!D12)^(1/5)-1,""))</f>
        <v>0.0163457022077107</v>
      </c>
      <c r="H12" s="31" t="n">
        <f aca="false">IF($A12="","",IFERROR('Market levels'!J12/'Market levels'!I12-1,""))</f>
        <v>0.0131534409044378</v>
      </c>
      <c r="I12" s="31" t="n">
        <f aca="false">IF($A12="","",IFERROR(('Market levels'!O12/'Market levels'!J12)^(1/5)-1,""))</f>
        <v>0.0289869339370692</v>
      </c>
      <c r="J12" s="32" t="n">
        <f aca="false">IF($A12="","",IFERROR('Market levels'!U12/'Market levels'!I12,""))</f>
        <v>0.613365049438262</v>
      </c>
      <c r="K12" s="31" t="n">
        <f aca="false">IF($A12="","",IFERROR(('Market levels'!U12/'Market levels'!P12)^(1/5)-1,""))</f>
        <v>0.0387654221228175</v>
      </c>
      <c r="L12" s="31" t="n">
        <f aca="false">IF($A12="","",IFERROR('Market levels'!V12/'Market levels'!U12-1,""))</f>
        <v>0.00339175244460854</v>
      </c>
      <c r="M12" s="31" t="n">
        <f aca="false">IF($A12="","",IFERROR(('Market levels'!AA12/'Market levels'!V12)^(1/5)-1,""))</f>
        <v>0.0349653818762163</v>
      </c>
      <c r="N12" s="31" t="n">
        <f aca="false">IF($A12="","",IFERROR(('Market levels'!AG12/'Market levels'!AB12)^(1/5)-1,""))</f>
        <v>-0.0140534901957474</v>
      </c>
      <c r="O12" s="31" t="n">
        <f aca="false">IF($A12="","",IFERROR('Market levels'!AH12/'Market levels'!AG12-1,""))</f>
        <v>0.0286395693986801</v>
      </c>
      <c r="P12" s="31" t="n">
        <f aca="false">IF($A12="","",IFERROR(('Market levels'!AM12/'Market levels'!AH12)^(1/5)-1,""))</f>
        <v>0.0194522013587353</v>
      </c>
      <c r="Q12" s="29" t="n">
        <v>51.2</v>
      </c>
      <c r="R12" s="33" t="n">
        <v>0.035</v>
      </c>
      <c r="S12" s="33" t="n">
        <v>0.02</v>
      </c>
      <c r="T12" s="33" t="n">
        <v>0.03</v>
      </c>
      <c r="U12" s="33"/>
      <c r="V12" s="33"/>
      <c r="W12" s="17" t="n">
        <v>4</v>
      </c>
      <c r="X12" s="17" t="n">
        <v>3</v>
      </c>
      <c r="Y12" s="17" t="n">
        <v>5</v>
      </c>
      <c r="Z12" s="17" t="n">
        <v>4</v>
      </c>
    </row>
    <row r="13" customFormat="false" ht="15" hidden="false" customHeight="false" outlineLevel="0" collapsed="false">
      <c r="A13" s="14" t="s">
        <v>165</v>
      </c>
      <c r="B13" s="14" t="s">
        <v>200</v>
      </c>
      <c r="C13" s="14" t="s">
        <v>197</v>
      </c>
      <c r="D13" s="14" t="s">
        <v>165</v>
      </c>
      <c r="E13" s="29" t="n">
        <v>270</v>
      </c>
      <c r="F13" s="30" t="n">
        <f aca="false">IF($A13="","",'Market levels'!I13)</f>
        <v>24549.72</v>
      </c>
      <c r="G13" s="31" t="n">
        <f aca="false">IF($A13="","",IFERROR(('Market levels'!I13/'Market levels'!D13)^(1/5)-1,""))</f>
        <v>0.0241636167909041</v>
      </c>
      <c r="H13" s="31" t="n">
        <f aca="false">IF($A13="","",IFERROR('Market levels'!J13/'Market levels'!I13-1,""))</f>
        <v>0.0267648673793428</v>
      </c>
      <c r="I13" s="31" t="n">
        <f aca="false">IF($A13="","",IFERROR(('Market levels'!O13/'Market levels'!J13)^(1/5)-1,""))</f>
        <v>0.0289147714067022</v>
      </c>
      <c r="J13" s="32" t="n">
        <f aca="false">IF($A13="","",IFERROR('Market levels'!U13/'Market levels'!I13,""))</f>
        <v>0.429948284542553</v>
      </c>
      <c r="K13" s="31" t="n">
        <f aca="false">IF($A13="","",IFERROR(('Market levels'!U13/'Market levels'!P13)^(1/5)-1,""))</f>
        <v>0.00692442654922432</v>
      </c>
      <c r="L13" s="31" t="n">
        <f aca="false">IF($A13="","",IFERROR('Market levels'!V13/'Market levels'!U13-1,""))</f>
        <v>0.0252759090146857</v>
      </c>
      <c r="M13" s="31" t="n">
        <f aca="false">IF($A13="","",IFERROR(('Market levels'!AA13/'Market levels'!V13)^(1/5)-1,""))</f>
        <v>0.0379030127118749</v>
      </c>
      <c r="N13" s="31" t="n">
        <f aca="false">IF($A13="","",IFERROR(('Market levels'!AG13/'Market levels'!AB13)^(1/5)-1,""))</f>
        <v>0.0384261657086995</v>
      </c>
      <c r="O13" s="31" t="n">
        <f aca="false">IF($A13="","",IFERROR('Market levels'!AH13/'Market levels'!AG13-1,""))</f>
        <v>0.0278878796908235</v>
      </c>
      <c r="P13" s="31" t="n">
        <f aca="false">IF($A13="","",IFERROR(('Market levels'!AM13/'Market levels'!AH13)^(1/5)-1,""))</f>
        <v>0.0219397195404747</v>
      </c>
      <c r="Q13" s="29" t="n">
        <v>36.5</v>
      </c>
      <c r="R13" s="33" t="n">
        <v>0.04</v>
      </c>
      <c r="S13" s="33" t="n">
        <v>0.025</v>
      </c>
      <c r="T13" s="33" t="n">
        <v>0.035</v>
      </c>
      <c r="U13" s="33"/>
      <c r="V13" s="33"/>
      <c r="W13" s="17" t="n">
        <v>4</v>
      </c>
      <c r="X13" s="17" t="n">
        <v>3</v>
      </c>
      <c r="Y13" s="17" t="n">
        <v>5</v>
      </c>
      <c r="Z13" s="17" t="n">
        <v>4</v>
      </c>
    </row>
    <row r="14" customFormat="false" ht="15" hidden="false" customHeight="false" outlineLevel="0" collapsed="false">
      <c r="A14" s="14" t="s">
        <v>175</v>
      </c>
      <c r="B14" s="14" t="s">
        <v>201</v>
      </c>
      <c r="C14" s="14" t="s">
        <v>196</v>
      </c>
      <c r="D14" s="14" t="s">
        <v>175</v>
      </c>
      <c r="E14" s="29" t="n">
        <v>90</v>
      </c>
      <c r="F14" s="30" t="n">
        <f aca="false">IF($A14="","",'Market levels'!I14)</f>
        <v>8363.88</v>
      </c>
      <c r="G14" s="31" t="n">
        <f aca="false">IF($A14="","",IFERROR(('Market levels'!I14/'Market levels'!D14)^(1/5)-1,""))</f>
        <v>-0.000390270398990311</v>
      </c>
      <c r="H14" s="31" t="n">
        <f aca="false">IF($A14="","",IFERROR('Market levels'!J14/'Market levels'!I14-1,""))</f>
        <v>0.0205347279014041</v>
      </c>
      <c r="I14" s="31" t="n">
        <f aca="false">IF($A14="","",IFERROR(('Market levels'!O14/'Market levels'!J14)^(1/5)-1,""))</f>
        <v>0.0257026876814164</v>
      </c>
      <c r="J14" s="32" t="n">
        <f aca="false">IF($A14="","",IFERROR('Market levels'!U14/'Market levels'!I14,""))</f>
        <v>0.606806888668895</v>
      </c>
      <c r="K14" s="31" t="n">
        <f aca="false">IF($A14="","",IFERROR(('Market levels'!U14/'Market levels'!P14)^(1/5)-1,""))</f>
        <v>0.0459838541730646</v>
      </c>
      <c r="L14" s="31" t="n">
        <f aca="false">IF($A14="","",IFERROR('Market levels'!V14/'Market levels'!U14-1,""))</f>
        <v>-0.00483916094939019</v>
      </c>
      <c r="M14" s="31" t="n">
        <f aca="false">IF($A14="","",IFERROR(('Market levels'!AA14/'Market levels'!V14)^(1/5)-1,""))</f>
        <v>0.0266223472909226</v>
      </c>
      <c r="N14" s="31" t="n">
        <f aca="false">IF($A14="","",IFERROR(('Market levels'!AG14/'Market levels'!AB14)^(1/5)-1,""))</f>
        <v>-0.0533889216975546</v>
      </c>
      <c r="O14" s="31" t="n">
        <f aca="false">IF($A14="","",IFERROR('Market levels'!AH14/'Market levels'!AG14-1,""))</f>
        <v>0.059693731717255</v>
      </c>
      <c r="P14" s="31" t="n">
        <f aca="false">IF($A14="","",IFERROR(('Market levels'!AM14/'Market levels'!AH14)^(1/5)-1,""))</f>
        <v>0.0243639450466462</v>
      </c>
      <c r="Q14" s="29" t="n">
        <v>6.3</v>
      </c>
      <c r="R14" s="33" t="n">
        <v>0.01</v>
      </c>
      <c r="S14" s="33" t="n">
        <v>0</v>
      </c>
      <c r="T14" s="33" t="n">
        <v>0.035</v>
      </c>
      <c r="U14" s="33"/>
      <c r="V14" s="33"/>
      <c r="W14" s="17" t="n">
        <v>4</v>
      </c>
      <c r="X14" s="17" t="n">
        <v>3</v>
      </c>
      <c r="Y14" s="17" t="n">
        <v>3</v>
      </c>
      <c r="Z14" s="17" t="n">
        <v>3</v>
      </c>
    </row>
    <row r="15" customFormat="false" ht="15" hidden="false" customHeight="false" outlineLevel="0" collapsed="false">
      <c r="A15" s="14" t="s">
        <v>175</v>
      </c>
      <c r="B15" s="14" t="s">
        <v>201</v>
      </c>
      <c r="C15" s="14" t="s">
        <v>197</v>
      </c>
      <c r="D15" s="14" t="s">
        <v>175</v>
      </c>
      <c r="E15" s="29" t="n">
        <v>185</v>
      </c>
      <c r="F15" s="30" t="n">
        <f aca="false">IF($A15="","",'Market levels'!I15)</f>
        <v>16933.1</v>
      </c>
      <c r="G15" s="31" t="n">
        <f aca="false">IF($A15="","",IFERROR(('Market levels'!I15/'Market levels'!D15)^(1/5)-1,""))</f>
        <v>-0.00402900622497826</v>
      </c>
      <c r="H15" s="31" t="n">
        <f aca="false">IF($A15="","",IFERROR('Market levels'!J15/'Market levels'!I15-1,""))</f>
        <v>-0.00652981438720612</v>
      </c>
      <c r="I15" s="31" t="n">
        <f aca="false">IF($A15="","",IFERROR(('Market levels'!O15/'Market levels'!J15)^(1/5)-1,""))</f>
        <v>0.0226991071956315</v>
      </c>
      <c r="J15" s="32" t="n">
        <f aca="false">IF($A15="","",IFERROR('Market levels'!U15/'Market levels'!I15,""))</f>
        <v>0.541020840838358</v>
      </c>
      <c r="K15" s="31" t="n">
        <f aca="false">IF($A15="","",IFERROR(('Market levels'!U15/'Market levels'!P15)^(1/5)-1,""))</f>
        <v>0.0501975479380685</v>
      </c>
      <c r="L15" s="31" t="n">
        <f aca="false">IF($A15="","",IFERROR('Market levels'!V15/'Market levels'!U15-1,""))</f>
        <v>-0.0239303756292871</v>
      </c>
      <c r="M15" s="31" t="n">
        <f aca="false">IF($A15="","",IFERROR(('Market levels'!AA15/'Market levels'!V15)^(1/5)-1,""))</f>
        <v>0.0266289617092792</v>
      </c>
      <c r="N15" s="31" t="n">
        <f aca="false">IF($A15="","",IFERROR(('Market levels'!AG15/'Market levels'!AB15)^(1/5)-1,""))</f>
        <v>-0.051187487299301</v>
      </c>
      <c r="O15" s="31" t="n">
        <f aca="false">IF($A15="","",IFERROR('Market levels'!AH15/'Market levels'!AG15-1,""))</f>
        <v>0.0139810652166641</v>
      </c>
      <c r="P15" s="31" t="n">
        <f aca="false">IF($A15="","",IFERROR(('Market levels'!AM15/'Market levels'!AH15)^(1/5)-1,""))</f>
        <v>0.0181655774098575</v>
      </c>
      <c r="Q15" s="29" t="n">
        <v>10.2</v>
      </c>
      <c r="R15" s="33" t="n">
        <v>0.015</v>
      </c>
      <c r="S15" s="33" t="n">
        <v>0.005</v>
      </c>
      <c r="T15" s="33" t="n">
        <v>0.04</v>
      </c>
      <c r="U15" s="33"/>
      <c r="V15" s="33"/>
      <c r="W15" s="17" t="n">
        <v>4</v>
      </c>
      <c r="X15" s="17" t="n">
        <v>3</v>
      </c>
      <c r="Y15" s="17" t="n">
        <v>3</v>
      </c>
      <c r="Z15" s="17" t="n">
        <v>3</v>
      </c>
    </row>
    <row r="16" customFormat="false" ht="15" hidden="false" customHeight="false" outlineLevel="0" collapsed="false">
      <c r="A16" s="14" t="s">
        <v>167</v>
      </c>
      <c r="B16" s="14" t="s">
        <v>202</v>
      </c>
      <c r="C16" s="14" t="s">
        <v>196</v>
      </c>
      <c r="D16" s="14" t="s">
        <v>167</v>
      </c>
      <c r="E16" s="29" t="n">
        <v>50</v>
      </c>
      <c r="F16" s="30" t="n">
        <f aca="false">IF($A16="","",'Market levels'!I16)</f>
        <v>4324.92</v>
      </c>
      <c r="G16" s="31" t="n">
        <f aca="false">IF($A16="","",IFERROR(('Market levels'!I16/'Market levels'!D16)^(1/5)-1,""))</f>
        <v>-0.0244620040690535</v>
      </c>
      <c r="H16" s="31" t="n">
        <f aca="false">IF($A16="","",IFERROR('Market levels'!J16/'Market levels'!I16-1,""))</f>
        <v>-0.0556125893658148</v>
      </c>
      <c r="I16" s="31" t="n">
        <f aca="false">IF($A16="","",IFERROR(('Market levels'!O16/'Market levels'!J16)^(1/5)-1,""))</f>
        <v>0.0286285547308702</v>
      </c>
      <c r="J16" s="32" t="n">
        <f aca="false">IF($A16="","",IFERROR('Market levels'!U16/'Market levels'!I16,""))</f>
        <v>0.75231911804149</v>
      </c>
      <c r="K16" s="31" t="n">
        <f aca="false">IF($A16="","",IFERROR(('Market levels'!U16/'Market levels'!P16)^(1/5)-1,""))</f>
        <v>0.00918783915111576</v>
      </c>
      <c r="L16" s="31" t="n">
        <f aca="false">IF($A16="","",IFERROR('Market levels'!V16/'Market levels'!U16-1,""))</f>
        <v>-0.0598883739227715</v>
      </c>
      <c r="M16" s="31" t="n">
        <f aca="false">IF($A16="","",IFERROR(('Market levels'!AA16/'Market levels'!V16)^(1/5)-1,""))</f>
        <v>0.021261829806934</v>
      </c>
      <c r="N16" s="31" t="n">
        <f aca="false">IF($A16="","",IFERROR(('Market levels'!AG16/'Market levels'!AB16)^(1/5)-1,""))</f>
        <v>-0.0972647889181081</v>
      </c>
      <c r="O16" s="31" t="n">
        <f aca="false">IF($A16="","",IFERROR('Market levels'!AH16/'Market levels'!AG16-1,""))</f>
        <v>-0.0426250933532482</v>
      </c>
      <c r="P16" s="31" t="n">
        <f aca="false">IF($A16="","",IFERROR(('Market levels'!AM16/'Market levels'!AH16)^(1/5)-1,""))</f>
        <v>0.0494301639433219</v>
      </c>
      <c r="Q16" s="29" t="n">
        <v>3.8</v>
      </c>
      <c r="R16" s="33" t="n">
        <v>0.015</v>
      </c>
      <c r="S16" s="33" t="n">
        <v>0.005</v>
      </c>
      <c r="T16" s="33" t="n">
        <v>0.03</v>
      </c>
      <c r="U16" s="33"/>
      <c r="V16" s="33"/>
      <c r="W16" s="17" t="n">
        <v>4</v>
      </c>
      <c r="X16" s="17" t="n">
        <v>3</v>
      </c>
      <c r="Y16" s="17" t="n">
        <v>3</v>
      </c>
      <c r="Z16" s="17" t="n">
        <v>3</v>
      </c>
    </row>
    <row r="17" customFormat="false" ht="15" hidden="false" customHeight="false" outlineLevel="0" collapsed="false">
      <c r="A17" s="14" t="s">
        <v>167</v>
      </c>
      <c r="B17" s="14" t="s">
        <v>202</v>
      </c>
      <c r="C17" s="14" t="s">
        <v>197</v>
      </c>
      <c r="D17" s="14" t="s">
        <v>167</v>
      </c>
      <c r="E17" s="29" t="n">
        <v>130</v>
      </c>
      <c r="F17" s="30" t="n">
        <f aca="false">IF($A17="","",'Market levels'!I17)</f>
        <v>11770.8</v>
      </c>
      <c r="G17" s="31" t="n">
        <f aca="false">IF($A17="","",IFERROR(('Market levels'!I17/'Market levels'!D17)^(1/5)-1,""))</f>
        <v>-0.0137269352433753</v>
      </c>
      <c r="H17" s="31" t="n">
        <f aca="false">IF($A17="","",IFERROR('Market levels'!J17/'Market levels'!I17-1,""))</f>
        <v>0.0243441397356168</v>
      </c>
      <c r="I17" s="31" t="n">
        <f aca="false">IF($A17="","",IFERROR(('Market levels'!O17/'Market levels'!J17)^(1/5)-1,""))</f>
        <v>0.0223445448537853</v>
      </c>
      <c r="J17" s="32" t="n">
        <f aca="false">IF($A17="","",IFERROR('Market levels'!U17/'Market levels'!I17,""))</f>
        <v>0.591599551432358</v>
      </c>
      <c r="K17" s="31" t="n">
        <f aca="false">IF($A17="","",IFERROR(('Market levels'!U17/'Market levels'!P17)^(1/5)-1,""))</f>
        <v>0.0153103604232856</v>
      </c>
      <c r="L17" s="31" t="n">
        <f aca="false">IF($A17="","",IFERROR('Market levels'!V17/'Market levels'!U17-1,""))</f>
        <v>-0.00598253776782132</v>
      </c>
      <c r="M17" s="31" t="n">
        <f aca="false">IF($A17="","",IFERROR(('Market levels'!AA17/'Market levels'!V17)^(1/5)-1,""))</f>
        <v>0.0313870044129079</v>
      </c>
      <c r="N17" s="31" t="n">
        <f aca="false">IF($A17="","",IFERROR(('Market levels'!AG17/'Market levels'!AB17)^(1/5)-1,""))</f>
        <v>-0.0483484732141297</v>
      </c>
      <c r="O17" s="31" t="n">
        <f aca="false">IF($A17="","",IFERROR('Market levels'!AH17/'Market levels'!AG17-1,""))</f>
        <v>0.0682746713263438</v>
      </c>
      <c r="P17" s="31" t="n">
        <f aca="false">IF($A17="","",IFERROR(('Market levels'!AM17/'Market levels'!AH17)^(1/5)-1,""))</f>
        <v>0.00962630833084033</v>
      </c>
      <c r="Q17" s="29" t="n">
        <v>7.2</v>
      </c>
      <c r="R17" s="33" t="n">
        <v>0.02</v>
      </c>
      <c r="S17" s="33" t="n">
        <v>0.01</v>
      </c>
      <c r="T17" s="33" t="n">
        <v>0.035</v>
      </c>
      <c r="U17" s="33"/>
      <c r="V17" s="33"/>
      <c r="W17" s="17" t="n">
        <v>4</v>
      </c>
      <c r="X17" s="17" t="n">
        <v>3</v>
      </c>
      <c r="Y17" s="17" t="n">
        <v>3</v>
      </c>
      <c r="Z17" s="17" t="n">
        <v>3</v>
      </c>
    </row>
    <row r="18" customFormat="false" ht="15" hidden="false" customHeight="false" outlineLevel="0" collapsed="false">
      <c r="A18" s="14" t="s">
        <v>155</v>
      </c>
      <c r="B18" s="14" t="s">
        <v>203</v>
      </c>
      <c r="C18" s="14" t="s">
        <v>196</v>
      </c>
      <c r="D18" s="14" t="s">
        <v>155</v>
      </c>
      <c r="E18" s="29" t="n">
        <v>20</v>
      </c>
      <c r="F18" s="30" t="n">
        <f aca="false">IF($A18="","",'Market levels'!I18)</f>
        <v>1692.48</v>
      </c>
      <c r="G18" s="31" t="n">
        <f aca="false">IF($A18="","",IFERROR(('Market levels'!I18/'Market levels'!D18)^(1/5)-1,""))</f>
        <v>-0.0624297451878662</v>
      </c>
      <c r="H18" s="31" t="n">
        <f aca="false">IF($A18="","",IFERROR('Market levels'!J18/'Market levels'!I18-1,""))</f>
        <v>-0.0297078842881453</v>
      </c>
      <c r="I18" s="31" t="n">
        <f aca="false">IF($A18="","",IFERROR(('Market levels'!O18/'Market levels'!J18)^(1/5)-1,""))</f>
        <v>0.0410537557782591</v>
      </c>
      <c r="J18" s="32" t="n">
        <f aca="false">IF($A18="","",IFERROR('Market levels'!U18/'Market levels'!I18,""))</f>
        <v>0.800228067687654</v>
      </c>
      <c r="K18" s="31" t="n">
        <f aca="false">IF($A18="","",IFERROR(('Market levels'!U18/'Market levels'!P18)^(1/5)-1,""))</f>
        <v>-0.0401624266565354</v>
      </c>
      <c r="L18" s="31" t="n">
        <f aca="false">IF($A18="","",IFERROR('Market levels'!V18/'Market levels'!U18-1,""))</f>
        <v>-0.0163397003772973</v>
      </c>
      <c r="M18" s="31" t="n">
        <f aca="false">IF($A18="","",IFERROR(('Market levels'!AA18/'Market levels'!V18)^(1/5)-1,""))</f>
        <v>0.0379303960728621</v>
      </c>
      <c r="N18" s="31" t="n">
        <f aca="false">IF($A18="","",IFERROR(('Market levels'!AG18/'Market levels'!AB18)^(1/5)-1,""))</f>
        <v>-0.128804316121209</v>
      </c>
      <c r="O18" s="31" t="n">
        <f aca="false">IF($A18="","",IFERROR('Market levels'!AH18/'Market levels'!AG18-1,""))</f>
        <v>-0.0832569282186273</v>
      </c>
      <c r="P18" s="31" t="n">
        <f aca="false">IF($A18="","",IFERROR(('Market levels'!AM18/'Market levels'!AH18)^(1/5)-1,""))</f>
        <v>0.0540684666979081</v>
      </c>
      <c r="Q18" s="29" t="n">
        <v>1.3</v>
      </c>
      <c r="R18" s="33" t="n">
        <v>0.005</v>
      </c>
      <c r="S18" s="33" t="n">
        <v>-0.005</v>
      </c>
      <c r="T18" s="33" t="n">
        <v>0.03</v>
      </c>
      <c r="U18" s="33"/>
      <c r="V18" s="33"/>
      <c r="W18" s="17" t="n">
        <v>4</v>
      </c>
      <c r="X18" s="17" t="n">
        <v>3</v>
      </c>
      <c r="Y18" s="17" t="n">
        <v>3</v>
      </c>
      <c r="Z18" s="17" t="n">
        <v>3</v>
      </c>
    </row>
    <row r="19" customFormat="false" ht="15" hidden="false" customHeight="false" outlineLevel="0" collapsed="false">
      <c r="A19" s="14" t="s">
        <v>155</v>
      </c>
      <c r="B19" s="14" t="s">
        <v>203</v>
      </c>
      <c r="C19" s="14" t="s">
        <v>197</v>
      </c>
      <c r="D19" s="14" t="s">
        <v>155</v>
      </c>
      <c r="E19" s="29" t="n">
        <v>50</v>
      </c>
      <c r="F19" s="30" t="n">
        <f aca="false">IF($A19="","",'Market levels'!I19)</f>
        <v>4695.02</v>
      </c>
      <c r="G19" s="31" t="n">
        <f aca="false">IF($A19="","",IFERROR(('Market levels'!I19/'Market levels'!D19)^(1/5)-1,""))</f>
        <v>-0.062718340864463</v>
      </c>
      <c r="H19" s="31" t="n">
        <f aca="false">IF($A19="","",IFERROR('Market levels'!J19/'Market levels'!I19-1,""))</f>
        <v>-0.00852818518344989</v>
      </c>
      <c r="I19" s="31" t="n">
        <f aca="false">IF($A19="","",IFERROR(('Market levels'!O19/'Market levels'!J19)^(1/5)-1,""))</f>
        <v>0.0330537597407516</v>
      </c>
      <c r="J19" s="32" t="n">
        <f aca="false">IF($A19="","",IFERROR('Market levels'!U19/'Market levels'!I19,""))</f>
        <v>0.625839719532611</v>
      </c>
      <c r="K19" s="31" t="n">
        <f aca="false">IF($A19="","",IFERROR(('Market levels'!U19/'Market levels'!P19)^(1/5)-1,""))</f>
        <v>-0.0193795965026594</v>
      </c>
      <c r="L19" s="31" t="n">
        <f aca="false">IF($A19="","",IFERROR('Market levels'!V19/'Market levels'!U19-1,""))</f>
        <v>0.0296631079558796</v>
      </c>
      <c r="M19" s="31" t="n">
        <f aca="false">IF($A19="","",IFERROR(('Market levels'!AA19/'Market levels'!V19)^(1/5)-1,""))</f>
        <v>0.029650174076602</v>
      </c>
      <c r="N19" s="31" t="n">
        <f aca="false">IF($A19="","",IFERROR(('Market levels'!AG19/'Market levels'!AB19)^(1/5)-1,""))</f>
        <v>-0.115789490686626</v>
      </c>
      <c r="O19" s="31" t="n">
        <f aca="false">IF($A19="","",IFERROR('Market levels'!AH19/'Market levels'!AG19-1,""))</f>
        <v>-0.0724089053845585</v>
      </c>
      <c r="P19" s="31" t="n">
        <f aca="false">IF($A19="","",IFERROR(('Market levels'!AM19/'Market levels'!AH19)^(1/5)-1,""))</f>
        <v>0.0392567847289851</v>
      </c>
      <c r="Q19" s="29" t="n">
        <v>2.5</v>
      </c>
      <c r="R19" s="33" t="n">
        <v>0.01</v>
      </c>
      <c r="S19" s="33" t="n">
        <v>0</v>
      </c>
      <c r="T19" s="33" t="n">
        <v>0.035</v>
      </c>
      <c r="U19" s="33"/>
      <c r="V19" s="33"/>
      <c r="W19" s="17" t="n">
        <v>4</v>
      </c>
      <c r="X19" s="17" t="n">
        <v>3</v>
      </c>
      <c r="Y19" s="17" t="n">
        <v>3</v>
      </c>
      <c r="Z19" s="17" t="n">
        <v>3</v>
      </c>
    </row>
    <row r="20" customFormat="false" ht="15" hidden="false" customHeight="false" outlineLevel="0" collapsed="false">
      <c r="A20" s="14" t="s">
        <v>151</v>
      </c>
      <c r="B20" s="14" t="s">
        <v>204</v>
      </c>
      <c r="C20" s="14" t="s">
        <v>196</v>
      </c>
      <c r="D20" s="14" t="s">
        <v>151</v>
      </c>
      <c r="E20" s="29" t="n">
        <v>135</v>
      </c>
      <c r="F20" s="30" t="n">
        <f aca="false">IF($A20="","",'Market levels'!I20)</f>
        <v>12045.18</v>
      </c>
      <c r="G20" s="31" t="n">
        <f aca="false">IF($A20="","",IFERROR(('Market levels'!I20/'Market levels'!D20)^(1/5)-1,""))</f>
        <v>0.0326397767255737</v>
      </c>
      <c r="H20" s="31" t="n">
        <f aca="false">IF($A20="","",IFERROR('Market levels'!J20/'Market levels'!I20-1,""))</f>
        <v>-0.0530170574453849</v>
      </c>
      <c r="I20" s="31" t="n">
        <f aca="false">IF($A20="","",IFERROR(('Market levels'!O20/'Market levels'!J20)^(1/5)-1,""))</f>
        <v>0.0181504700923969</v>
      </c>
      <c r="J20" s="32" t="n">
        <f aca="false">IF($A20="","",IFERROR('Market levels'!U20/'Market levels'!I20,""))</f>
        <v>0.816850391608926</v>
      </c>
      <c r="K20" s="31" t="n">
        <f aca="false">IF($A20="","",IFERROR(('Market levels'!U20/'Market levels'!P20)^(1/5)-1,""))</f>
        <v>0.0582416845072404</v>
      </c>
      <c r="L20" s="31" t="n">
        <f aca="false">IF($A20="","",IFERROR('Market levels'!V20/'Market levels'!U20-1,""))</f>
        <v>-0.0506153503721374</v>
      </c>
      <c r="M20" s="31" t="n">
        <f aca="false">IF($A20="","",IFERROR(('Market levels'!AA20/'Market levels'!V20)^(1/5)-1,""))</f>
        <v>0.0281623776166671</v>
      </c>
      <c r="N20" s="31" t="n">
        <f aca="false">IF($A20="","",IFERROR(('Market levels'!AG20/'Market levels'!AB20)^(1/5)-1,""))</f>
        <v>-0.0495651228964285</v>
      </c>
      <c r="O20" s="31" t="n">
        <f aca="false">IF($A20="","",IFERROR('Market levels'!AH20/'Market levels'!AG20-1,""))</f>
        <v>-0.0637287121442204</v>
      </c>
      <c r="P20" s="31" t="n">
        <f aca="false">IF($A20="","",IFERROR(('Market levels'!AM20/'Market levels'!AH20)^(1/5)-1,""))</f>
        <v>-0.0328957912463279</v>
      </c>
      <c r="Q20" s="29" t="n">
        <v>10.8</v>
      </c>
      <c r="R20" s="33" t="n">
        <v>0.02</v>
      </c>
      <c r="S20" s="33" t="n">
        <v>0.01</v>
      </c>
      <c r="T20" s="33" t="n">
        <v>0.03</v>
      </c>
      <c r="U20" s="33"/>
      <c r="V20" s="33"/>
      <c r="W20" s="17" t="n">
        <v>4</v>
      </c>
      <c r="X20" s="17" t="n">
        <v>3</v>
      </c>
      <c r="Y20" s="17" t="n">
        <v>3</v>
      </c>
      <c r="Z20" s="17" t="n">
        <v>3</v>
      </c>
    </row>
    <row r="21" customFormat="false" ht="15" hidden="false" customHeight="false" outlineLevel="0" collapsed="false">
      <c r="A21" s="14" t="s">
        <v>151</v>
      </c>
      <c r="B21" s="14" t="s">
        <v>204</v>
      </c>
      <c r="C21" s="14" t="s">
        <v>197</v>
      </c>
      <c r="D21" s="14" t="s">
        <v>151</v>
      </c>
      <c r="E21" s="29" t="n">
        <v>90</v>
      </c>
      <c r="F21" s="30" t="n">
        <f aca="false">IF($A21="","",'Market levels'!I21)</f>
        <v>8042.48</v>
      </c>
      <c r="G21" s="31" t="n">
        <f aca="false">IF($A21="","",IFERROR(('Market levels'!I21/'Market levels'!D21)^(1/5)-1,""))</f>
        <v>0.0354377644926591</v>
      </c>
      <c r="H21" s="31" t="n">
        <f aca="false">IF($A21="","",IFERROR('Market levels'!J21/'Market levels'!I21-1,""))</f>
        <v>-0.0407821965363917</v>
      </c>
      <c r="I21" s="31" t="n">
        <f aca="false">IF($A21="","",IFERROR(('Market levels'!O21/'Market levels'!J21)^(1/5)-1,""))</f>
        <v>0.0215696868689033</v>
      </c>
      <c r="J21" s="32" t="n">
        <f aca="false">IF($A21="","",IFERROR('Market levels'!U21/'Market levels'!I21,""))</f>
        <v>0.450710477365191</v>
      </c>
      <c r="K21" s="31" t="n">
        <f aca="false">IF($A21="","",IFERROR(('Market levels'!U21/'Market levels'!P21)^(1/5)-1,""))</f>
        <v>0.0682346136542571</v>
      </c>
      <c r="L21" s="31" t="n">
        <f aca="false">IF($A21="","",IFERROR('Market levels'!V21/'Market levels'!U21-1,""))</f>
        <v>-0.0350664720828288</v>
      </c>
      <c r="M21" s="31" t="n">
        <f aca="false">IF($A21="","",IFERROR(('Market levels'!AA21/'Market levels'!V21)^(1/5)-1,""))</f>
        <v>0.0287223647508359</v>
      </c>
      <c r="N21" s="31" t="n">
        <f aca="false">IF($A21="","",IFERROR(('Market levels'!AG21/'Market levels'!AB21)^(1/5)-1,""))</f>
        <v>0.012511518316763</v>
      </c>
      <c r="O21" s="31" t="n">
        <f aca="false">IF($A21="","",IFERROR('Market levels'!AH21/'Market levels'!AG21-1,""))</f>
        <v>-0.0454721401650197</v>
      </c>
      <c r="P21" s="31" t="n">
        <f aca="false">IF($A21="","",IFERROR(('Market levels'!AM21/'Market levels'!AH21)^(1/5)-1,""))</f>
        <v>0.015480878882054</v>
      </c>
      <c r="Q21" s="29" t="n">
        <v>5.4</v>
      </c>
      <c r="R21" s="33" t="n">
        <v>0.025</v>
      </c>
      <c r="S21" s="33" t="n">
        <v>0.015</v>
      </c>
      <c r="T21" s="33" t="n">
        <v>0.035</v>
      </c>
      <c r="U21" s="33"/>
      <c r="V21" s="33"/>
      <c r="W21" s="17" t="n">
        <v>4</v>
      </c>
      <c r="X21" s="17" t="n">
        <v>3</v>
      </c>
      <c r="Y21" s="17" t="n">
        <v>3</v>
      </c>
      <c r="Z21" s="17" t="n">
        <v>3</v>
      </c>
    </row>
    <row r="22" customFormat="false" ht="15" hidden="false" customHeight="false" outlineLevel="0" collapsed="false">
      <c r="A22" s="14" t="s">
        <v>149</v>
      </c>
      <c r="B22" s="14" t="s">
        <v>205</v>
      </c>
      <c r="C22" s="14" t="s">
        <v>196</v>
      </c>
      <c r="D22" s="14" t="s">
        <v>149</v>
      </c>
      <c r="E22" s="29" t="n">
        <v>1060</v>
      </c>
      <c r="F22" s="30" t="n">
        <f aca="false">IF($A22="","",'Market levels'!I22)</f>
        <v>96006.35</v>
      </c>
      <c r="G22" s="31" t="n">
        <f aca="false">IF($A22="","",IFERROR(('Market levels'!I22/'Market levels'!D22)^(1/5)-1,""))</f>
        <v>-0.0534251096435302</v>
      </c>
      <c r="H22" s="31" t="n">
        <f aca="false">IF($A22="","",IFERROR('Market levels'!J22/'Market levels'!I22-1,""))</f>
        <v>-0.00566275043265374</v>
      </c>
      <c r="I22" s="31" t="n">
        <f aca="false">IF($A22="","",IFERROR(('Market levels'!O22/'Market levels'!J22)^(1/5)-1,""))</f>
        <v>0.0287276954117597</v>
      </c>
      <c r="J22" s="32" t="n">
        <f aca="false">IF($A22="","",IFERROR('Market levels'!U22/'Market levels'!I22,""))</f>
        <v>0.824697116388656</v>
      </c>
      <c r="K22" s="31" t="n">
        <f aca="false">IF($A22="","",IFERROR(('Market levels'!U22/'Market levels'!P22)^(1/5)-1,""))</f>
        <v>-0.030846031919548</v>
      </c>
      <c r="L22" s="31" t="n">
        <f aca="false">IF($A22="","",IFERROR('Market levels'!V22/'Market levels'!U22-1,""))</f>
        <v>-0.0229630989934343</v>
      </c>
      <c r="M22" s="31" t="n">
        <f aca="false">IF($A22="","",IFERROR(('Market levels'!AA22/'Market levels'!V22)^(1/5)-1,""))</f>
        <v>0.0297289891885875</v>
      </c>
      <c r="N22" s="31" t="n">
        <f aca="false">IF($A22="","",IFERROR(('Market levels'!AG22/'Market levels'!AB22)^(1/5)-1,""))</f>
        <v>-0.129815449999589</v>
      </c>
      <c r="O22" s="31" t="n">
        <f aca="false">IF($A22="","",IFERROR('Market levels'!AH22/'Market levels'!AG22-1,""))</f>
        <v>0.0757252294834458</v>
      </c>
      <c r="P22" s="31" t="n">
        <f aca="false">IF($A22="","",IFERROR(('Market levels'!AM22/'Market levels'!AH22)^(1/5)-1,""))</f>
        <v>0.024404828150171</v>
      </c>
      <c r="Q22" s="29" t="n">
        <v>63.6</v>
      </c>
      <c r="R22" s="33" t="n">
        <v>0.02</v>
      </c>
      <c r="S22" s="33" t="n">
        <v>-0.02</v>
      </c>
      <c r="T22" s="33" t="n">
        <v>0.03</v>
      </c>
      <c r="U22" s="33"/>
      <c r="V22" s="33"/>
      <c r="W22" s="17" t="n">
        <v>3</v>
      </c>
      <c r="X22" s="17" t="n">
        <v>2</v>
      </c>
      <c r="Y22" s="17" t="n">
        <v>3</v>
      </c>
      <c r="Z22" s="17" t="n">
        <v>3</v>
      </c>
    </row>
    <row r="23" customFormat="false" ht="15" hidden="false" customHeight="false" outlineLevel="0" collapsed="false">
      <c r="A23" s="14" t="s">
        <v>149</v>
      </c>
      <c r="B23" s="14" t="s">
        <v>205</v>
      </c>
      <c r="C23" s="14" t="s">
        <v>197</v>
      </c>
      <c r="D23" s="14" t="s">
        <v>149</v>
      </c>
      <c r="E23" s="29" t="n">
        <v>1195</v>
      </c>
      <c r="F23" s="30" t="n">
        <f aca="false">IF($A23="","",'Market levels'!I23)</f>
        <v>108414.85</v>
      </c>
      <c r="G23" s="31" t="n">
        <f aca="false">IF($A23="","",IFERROR(('Market levels'!I23/'Market levels'!D23)^(1/5)-1,""))</f>
        <v>-0.0519121631727134</v>
      </c>
      <c r="H23" s="31" t="n">
        <f aca="false">IF($A23="","",IFERROR('Market levels'!J23/'Market levels'!I23-1,""))</f>
        <v>0.0236626255536028</v>
      </c>
      <c r="I23" s="31" t="n">
        <f aca="false">IF($A23="","",IFERROR(('Market levels'!O23/'Market levels'!J23)^(1/5)-1,""))</f>
        <v>0.0372633789674854</v>
      </c>
      <c r="J23" s="32" t="n">
        <f aca="false">IF($A23="","",IFERROR('Market levels'!U23/'Market levels'!I23,""))</f>
        <v>0.63452931032972</v>
      </c>
      <c r="K23" s="31" t="n">
        <f aca="false">IF($A23="","",IFERROR(('Market levels'!U23/'Market levels'!P23)^(1/5)-1,""))</f>
        <v>-0.0440679867822753</v>
      </c>
      <c r="L23" s="31" t="n">
        <f aca="false">IF($A23="","",IFERROR('Market levels'!V23/'Market levels'!U23-1,""))</f>
        <v>0.0199575825236509</v>
      </c>
      <c r="M23" s="31" t="n">
        <f aca="false">IF($A23="","",IFERROR(('Market levels'!AA23/'Market levels'!V23)^(1/5)-1,""))</f>
        <v>0.041331877077611</v>
      </c>
      <c r="N23" s="31" t="n">
        <f aca="false">IF($A23="","",IFERROR(('Market levels'!AG23/'Market levels'!AB23)^(1/5)-1,""))</f>
        <v>-0.0646681041890747</v>
      </c>
      <c r="O23" s="31" t="n">
        <f aca="false">IF($A23="","",IFERROR('Market levels'!AH23/'Market levels'!AG23-1,""))</f>
        <v>0.030095312127342</v>
      </c>
      <c r="P23" s="31" t="n">
        <f aca="false">IF($A23="","",IFERROR(('Market levels'!AM23/'Market levels'!AH23)^(1/5)-1,""))</f>
        <v>0.0301162820635343</v>
      </c>
      <c r="Q23" s="29" t="n">
        <v>53.8</v>
      </c>
      <c r="R23" s="33" t="n">
        <v>0.025</v>
      </c>
      <c r="S23" s="33" t="n">
        <v>-0.015</v>
      </c>
      <c r="T23" s="33" t="n">
        <v>0.035</v>
      </c>
      <c r="U23" s="33"/>
      <c r="V23" s="33"/>
      <c r="W23" s="17" t="n">
        <v>3</v>
      </c>
      <c r="X23" s="17" t="n">
        <v>2</v>
      </c>
      <c r="Y23" s="17" t="n">
        <v>3</v>
      </c>
      <c r="Z23" s="17" t="n">
        <v>3</v>
      </c>
    </row>
    <row r="24" customFormat="false" ht="15" hidden="false" customHeight="false" outlineLevel="0" collapsed="false">
      <c r="A24" s="14" t="s">
        <v>115</v>
      </c>
      <c r="B24" s="14" t="s">
        <v>206</v>
      </c>
      <c r="C24" s="14" t="s">
        <v>196</v>
      </c>
      <c r="D24" s="14" t="s">
        <v>115</v>
      </c>
      <c r="E24" s="29" t="n">
        <v>85</v>
      </c>
      <c r="F24" s="30" t="n">
        <f aca="false">IF($A24="","",'Market levels'!I24)</f>
        <v>7724.59</v>
      </c>
      <c r="G24" s="31" t="n">
        <f aca="false">IF($A24="","",IFERROR(('Market levels'!I24/'Market levels'!D24)^(1/5)-1,""))</f>
        <v>-0.040347959574352</v>
      </c>
      <c r="H24" s="31" t="n">
        <f aca="false">IF($A24="","",IFERROR('Market levels'!J24/'Market levels'!I24-1,""))</f>
        <v>0.0249825557084584</v>
      </c>
      <c r="I24" s="31" t="n">
        <f aca="false">IF($A24="","",IFERROR(('Market levels'!O24/'Market levels'!J24)^(1/5)-1,""))</f>
        <v>0.0373754977616738</v>
      </c>
      <c r="J24" s="32" t="n">
        <f aca="false">IF($A24="","",IFERROR('Market levels'!U24/'Market levels'!I24,""))</f>
        <v>0.422373226281265</v>
      </c>
      <c r="K24" s="31" t="n">
        <f aca="false">IF($A24="","",IFERROR(('Market levels'!U24/'Market levels'!P24)^(1/5)-1,""))</f>
        <v>-0.0120433774159285</v>
      </c>
      <c r="L24" s="31" t="n">
        <f aca="false">IF($A24="","",IFERROR('Market levels'!V24/'Market levels'!U24-1,""))</f>
        <v>0.00751227526006448</v>
      </c>
      <c r="M24" s="31" t="n">
        <f aca="false">IF($A24="","",IFERROR(('Market levels'!AA24/'Market levels'!V24)^(1/5)-1,""))</f>
        <v>0.0363238899541662</v>
      </c>
      <c r="N24" s="31" t="n">
        <f aca="false">IF($A24="","",IFERROR(('Market levels'!AG24/'Market levels'!AB24)^(1/5)-1,""))</f>
        <v>-0.0582815705090648</v>
      </c>
      <c r="O24" s="31" t="n">
        <f aca="false">IF($A24="","",IFERROR('Market levels'!AH24/'Market levels'!AG24-1,""))</f>
        <v>0.0377572037212595</v>
      </c>
      <c r="P24" s="31" t="n">
        <f aca="false">IF($A24="","",IFERROR(('Market levels'!AM24/'Market levels'!AH24)^(1/5)-1,""))</f>
        <v>0.0381194653775636</v>
      </c>
      <c r="Q24" s="29" t="n">
        <v>6</v>
      </c>
      <c r="R24" s="33" t="n">
        <v>0.02</v>
      </c>
      <c r="S24" s="33" t="n">
        <v>-0.01</v>
      </c>
      <c r="T24" s="33" t="n">
        <v>0.025</v>
      </c>
      <c r="U24" s="33"/>
      <c r="V24" s="33"/>
      <c r="W24" s="17" t="n">
        <v>4</v>
      </c>
      <c r="X24" s="17" t="n">
        <v>3</v>
      </c>
      <c r="Y24" s="17" t="n">
        <v>3</v>
      </c>
      <c r="Z24" s="17" t="n">
        <v>4</v>
      </c>
    </row>
    <row r="25" customFormat="false" ht="15" hidden="false" customHeight="false" outlineLevel="0" collapsed="false">
      <c r="A25" s="14" t="s">
        <v>115</v>
      </c>
      <c r="B25" s="14" t="s">
        <v>206</v>
      </c>
      <c r="C25" s="14" t="s">
        <v>197</v>
      </c>
      <c r="D25" s="14" t="s">
        <v>115</v>
      </c>
      <c r="E25" s="29" t="n">
        <v>240</v>
      </c>
      <c r="F25" s="30" t="n">
        <f aca="false">IF($A25="","",'Market levels'!I25)</f>
        <v>21958.65</v>
      </c>
      <c r="G25" s="31" t="n">
        <f aca="false">IF($A25="","",IFERROR(('Market levels'!I25/'Market levels'!D25)^(1/5)-1,""))</f>
        <v>-0.0499056314974363</v>
      </c>
      <c r="H25" s="31" t="n">
        <f aca="false">IF($A25="","",IFERROR('Market levels'!J25/'Market levels'!I25-1,""))</f>
        <v>0.0319045114339906</v>
      </c>
      <c r="I25" s="31" t="n">
        <f aca="false">IF($A25="","",IFERROR(('Market levels'!O25/'Market levels'!J25)^(1/5)-1,""))</f>
        <v>0.0257312661499052</v>
      </c>
      <c r="J25" s="32" t="n">
        <f aca="false">IF($A25="","",IFERROR('Market levels'!U25/'Market levels'!I25,""))</f>
        <v>0.365886791765432</v>
      </c>
      <c r="K25" s="31" t="n">
        <f aca="false">IF($A25="","",IFERROR(('Market levels'!U25/'Market levels'!P25)^(1/5)-1,""))</f>
        <v>-0.00562353815248129</v>
      </c>
      <c r="L25" s="31" t="n">
        <f aca="false">IF($A25="","",IFERROR('Market levels'!V25/'Market levels'!U25-1,""))</f>
        <v>0.113371535824793</v>
      </c>
      <c r="M25" s="31" t="n">
        <f aca="false">IF($A25="","",IFERROR(('Market levels'!AA25/'Market levels'!V25)^(1/5)-1,""))</f>
        <v>0.0210523171085899</v>
      </c>
      <c r="N25" s="31" t="n">
        <f aca="false">IF($A25="","",IFERROR(('Market levels'!AG25/'Market levels'!AB25)^(1/5)-1,""))</f>
        <v>-0.0707882974039739</v>
      </c>
      <c r="O25" s="31" t="n">
        <f aca="false">IF($A25="","",IFERROR('Market levels'!AH25/'Market levels'!AG25-1,""))</f>
        <v>-0.0151024075229796</v>
      </c>
      <c r="P25" s="31" t="n">
        <f aca="false">IF($A25="","",IFERROR(('Market levels'!AM25/'Market levels'!AH25)^(1/5)-1,""))</f>
        <v>0.0287378216168481</v>
      </c>
      <c r="Q25" s="29" t="n">
        <v>12</v>
      </c>
      <c r="R25" s="33" t="n">
        <v>0.025</v>
      </c>
      <c r="S25" s="33" t="n">
        <v>-0.005</v>
      </c>
      <c r="T25" s="33" t="n">
        <v>0.03</v>
      </c>
      <c r="U25" s="33"/>
      <c r="V25" s="33"/>
      <c r="W25" s="17" t="n">
        <v>4</v>
      </c>
      <c r="X25" s="17" t="n">
        <v>3</v>
      </c>
      <c r="Y25" s="17" t="n">
        <v>3</v>
      </c>
      <c r="Z25" s="17" t="n">
        <v>4</v>
      </c>
    </row>
    <row r="26" customFormat="false" ht="15" hidden="false" customHeight="false" outlineLevel="0" collapsed="false">
      <c r="A26" s="14" t="s">
        <v>145</v>
      </c>
      <c r="B26" s="14" t="s">
        <v>207</v>
      </c>
      <c r="C26" s="14" t="s">
        <v>196</v>
      </c>
      <c r="D26" s="14" t="s">
        <v>145</v>
      </c>
      <c r="E26" s="29" t="n">
        <v>75</v>
      </c>
      <c r="F26" s="30" t="n">
        <f aca="false">IF($A26="","",'Market levels'!I26)</f>
        <v>6790.22</v>
      </c>
      <c r="G26" s="31" t="n">
        <f aca="false">IF($A26="","",IFERROR(('Market levels'!I26/'Market levels'!D26)^(1/5)-1,""))</f>
        <v>0.000294211687557056</v>
      </c>
      <c r="H26" s="31" t="n">
        <f aca="false">IF($A26="","",IFERROR('Market levels'!J26/'Market levels'!I26-1,""))</f>
        <v>-0.00784952475766632</v>
      </c>
      <c r="I26" s="31" t="n">
        <f aca="false">IF($A26="","",IFERROR(('Market levels'!O26/'Market levels'!J26)^(1/5)-1,""))</f>
        <v>0.0143685816568195</v>
      </c>
      <c r="J26" s="32" t="n">
        <f aca="false">IF($A26="","",IFERROR('Market levels'!U26/'Market levels'!I26,""))</f>
        <v>0.433918194108586</v>
      </c>
      <c r="K26" s="31" t="n">
        <f aca="false">IF($A26="","",IFERROR(('Market levels'!U26/'Market levels'!P26)^(1/5)-1,""))</f>
        <v>-0.00549538485364742</v>
      </c>
      <c r="L26" s="31" t="n">
        <f aca="false">IF($A26="","",IFERROR('Market levels'!V26/'Market levels'!U26-1,""))</f>
        <v>0.0266935921802878</v>
      </c>
      <c r="M26" s="31" t="n">
        <f aca="false">IF($A26="","",IFERROR(('Market levels'!AA26/'Market levels'!V26)^(1/5)-1,""))</f>
        <v>0.0362517979469283</v>
      </c>
      <c r="N26" s="31" t="n">
        <f aca="false">IF($A26="","",IFERROR(('Market levels'!AG26/'Market levels'!AB26)^(1/5)-1,""))</f>
        <v>0.00487241319101606</v>
      </c>
      <c r="O26" s="31" t="n">
        <f aca="false">IF($A26="","",IFERROR('Market levels'!AH26/'Market levels'!AG26-1,""))</f>
        <v>-0.0343278301273214</v>
      </c>
      <c r="P26" s="31" t="n">
        <f aca="false">IF($A26="","",IFERROR(('Market levels'!AM26/'Market levels'!AH26)^(1/5)-1,""))</f>
        <v>-0.00497562582892686</v>
      </c>
      <c r="Q26" s="29" t="n">
        <v>9</v>
      </c>
      <c r="R26" s="33" t="n">
        <v>0.025</v>
      </c>
      <c r="S26" s="33" t="n">
        <v>0.015</v>
      </c>
      <c r="T26" s="33" t="n">
        <v>0.02</v>
      </c>
      <c r="U26" s="33"/>
      <c r="V26" s="33"/>
      <c r="W26" s="17" t="n">
        <v>5</v>
      </c>
      <c r="X26" s="17" t="n">
        <v>4</v>
      </c>
      <c r="Y26" s="17" t="n">
        <v>4</v>
      </c>
      <c r="Z26" s="17" t="n">
        <v>4</v>
      </c>
    </row>
    <row r="27" customFormat="false" ht="15" hidden="false" customHeight="false" outlineLevel="0" collapsed="false">
      <c r="A27" s="14" t="s">
        <v>145</v>
      </c>
      <c r="B27" s="14" t="s">
        <v>207</v>
      </c>
      <c r="C27" s="14" t="s">
        <v>197</v>
      </c>
      <c r="D27" s="14" t="s">
        <v>145</v>
      </c>
      <c r="E27" s="29" t="n">
        <v>370</v>
      </c>
      <c r="F27" s="30" t="n">
        <f aca="false">IF($A27="","",'Market levels'!I27)</f>
        <v>33602.22</v>
      </c>
      <c r="G27" s="31" t="n">
        <f aca="false">IF($A27="","",IFERROR(('Market levels'!I27/'Market levels'!D27)^(1/5)-1,""))</f>
        <v>-0.00202959145329351</v>
      </c>
      <c r="H27" s="31" t="n">
        <f aca="false">IF($A27="","",IFERROR('Market levels'!J27/'Market levels'!I27-1,""))</f>
        <v>0.0223934609082377</v>
      </c>
      <c r="I27" s="31" t="n">
        <f aca="false">IF($A27="","",IFERROR(('Market levels'!O27/'Market levels'!J27)^(1/5)-1,""))</f>
        <v>0.0287017530362954</v>
      </c>
      <c r="J27" s="32" t="n">
        <f aca="false">IF($A27="","",IFERROR('Market levels'!U27/'Market levels'!I27,""))</f>
        <v>0.347129743213395</v>
      </c>
      <c r="K27" s="31" t="n">
        <f aca="false">IF($A27="","",IFERROR(('Market levels'!U27/'Market levels'!P27)^(1/5)-1,""))</f>
        <v>0.0136656008008185</v>
      </c>
      <c r="L27" s="31" t="n">
        <f aca="false">IF($A27="","",IFERROR('Market levels'!V27/'Market levels'!U27-1,""))</f>
        <v>-0.0220012636816688</v>
      </c>
      <c r="M27" s="31" t="n">
        <f aca="false">IF($A27="","",IFERROR(('Market levels'!AA27/'Market levels'!V27)^(1/5)-1,""))</f>
        <v>0.00920711679532471</v>
      </c>
      <c r="N27" s="31" t="n">
        <f aca="false">IF($A27="","",IFERROR(('Market levels'!AG27/'Market levels'!AB27)^(1/5)-1,""))</f>
        <v>-0.00980964662788009</v>
      </c>
      <c r="O27" s="31" t="n">
        <f aca="false">IF($A27="","",IFERROR('Market levels'!AH27/'Market levels'!AG27-1,""))</f>
        <v>0.0459980426558799</v>
      </c>
      <c r="P27" s="31" t="n">
        <f aca="false">IF($A27="","",IFERROR(('Market levels'!AM27/'Market levels'!AH27)^(1/5)-1,""))</f>
        <v>0.0378679398493862</v>
      </c>
      <c r="Q27" s="29" t="n">
        <v>37</v>
      </c>
      <c r="R27" s="33" t="n">
        <v>0.03</v>
      </c>
      <c r="S27" s="33" t="n">
        <v>0.02</v>
      </c>
      <c r="T27" s="33" t="n">
        <v>0.025</v>
      </c>
      <c r="U27" s="33"/>
      <c r="V27" s="33"/>
      <c r="W27" s="17" t="n">
        <v>5</v>
      </c>
      <c r="X27" s="17" t="n">
        <v>4</v>
      </c>
      <c r="Y27" s="17" t="n">
        <v>4</v>
      </c>
      <c r="Z27" s="17" t="n">
        <v>4</v>
      </c>
    </row>
    <row r="28" customFormat="false" ht="15" hidden="false" customHeight="false" outlineLevel="0" collapsed="false">
      <c r="A28" s="14" t="s">
        <v>177</v>
      </c>
      <c r="B28" s="14" t="s">
        <v>208</v>
      </c>
      <c r="C28" s="14" t="s">
        <v>196</v>
      </c>
      <c r="D28" s="14" t="s">
        <v>177</v>
      </c>
      <c r="E28" s="29" t="n">
        <v>1005</v>
      </c>
      <c r="F28" s="30" t="n">
        <f aca="false">IF($A28="","",'Market levels'!I28)</f>
        <v>91052.98</v>
      </c>
      <c r="G28" s="31" t="n">
        <f aca="false">IF($A28="","",IFERROR(('Market levels'!I28/'Market levels'!D28)^(1/5)-1,""))</f>
        <v>0.0484928270822107</v>
      </c>
      <c r="H28" s="31" t="n">
        <f aca="false">IF($A28="","",IFERROR('Market levels'!J28/'Market levels'!I28-1,""))</f>
        <v>0.00965295150142276</v>
      </c>
      <c r="I28" s="31" t="n">
        <f aca="false">IF($A28="","",IFERROR(('Market levels'!O28/'Market levels'!J28)^(1/5)-1,""))</f>
        <v>0.0423295425363863</v>
      </c>
      <c r="J28" s="32" t="n">
        <f aca="false">IF($A28="","",IFERROR('Market levels'!U28/'Market levels'!I28,""))</f>
        <v>0.476396818643388</v>
      </c>
      <c r="K28" s="31" t="n">
        <f aca="false">IF($A28="","",IFERROR(('Market levels'!U28/'Market levels'!P28)^(1/5)-1,""))</f>
        <v>0.0780631180286031</v>
      </c>
      <c r="L28" s="31" t="n">
        <f aca="false">IF($A28="","",IFERROR('Market levels'!V28/'Market levels'!U28-1,""))</f>
        <v>-0.0292014150242004</v>
      </c>
      <c r="M28" s="31" t="n">
        <f aca="false">IF($A28="","",IFERROR(('Market levels'!AA28/'Market levels'!V28)^(1/5)-1,""))</f>
        <v>0.03475600059401</v>
      </c>
      <c r="N28" s="31" t="n">
        <f aca="false">IF($A28="","",IFERROR(('Market levels'!AG28/'Market levels'!AB28)^(1/5)-1,""))</f>
        <v>0.0253395688618621</v>
      </c>
      <c r="O28" s="31" t="n">
        <f aca="false">IF($A28="","",IFERROR('Market levels'!AH28/'Market levels'!AG28-1,""))</f>
        <v>0.0450043344996176</v>
      </c>
      <c r="P28" s="31" t="n">
        <f aca="false">IF($A28="","",IFERROR(('Market levels'!AM28/'Market levels'!AH28)^(1/5)-1,""))</f>
        <v>0.0485635979840966</v>
      </c>
      <c r="Q28" s="29" t="n">
        <v>32.2</v>
      </c>
      <c r="R28" s="33" t="n">
        <v>-0.01</v>
      </c>
      <c r="S28" s="33" t="n">
        <v>0.015</v>
      </c>
      <c r="T28" s="33" t="n">
        <v>0.025</v>
      </c>
      <c r="U28" s="33"/>
      <c r="V28" s="33"/>
      <c r="W28" s="17" t="n">
        <v>3</v>
      </c>
      <c r="X28" s="17" t="n">
        <v>2</v>
      </c>
      <c r="Y28" s="17" t="n">
        <v>2</v>
      </c>
      <c r="Z28" s="17" t="n">
        <v>3</v>
      </c>
    </row>
    <row r="29" customFormat="false" ht="15" hidden="false" customHeight="false" outlineLevel="0" collapsed="false">
      <c r="A29" s="14" t="s">
        <v>177</v>
      </c>
      <c r="B29" s="14" t="s">
        <v>208</v>
      </c>
      <c r="C29" s="14" t="s">
        <v>197</v>
      </c>
      <c r="D29" s="14" t="s">
        <v>177</v>
      </c>
      <c r="E29" s="29" t="n">
        <v>760</v>
      </c>
      <c r="F29" s="30" t="n">
        <f aca="false">IF($A29="","",'Market levels'!I29)</f>
        <v>68667.69</v>
      </c>
      <c r="G29" s="31" t="n">
        <f aca="false">IF($A29="","",IFERROR(('Market levels'!I29/'Market levels'!D29)^(1/5)-1,""))</f>
        <v>0.00479005986441861</v>
      </c>
      <c r="H29" s="31" t="n">
        <f aca="false">IF($A29="","",IFERROR('Market levels'!J29/'Market levels'!I29-1,""))</f>
        <v>-0.00535419205160392</v>
      </c>
      <c r="I29" s="31" t="n">
        <f aca="false">IF($A29="","",IFERROR(('Market levels'!O29/'Market levels'!J29)^(1/5)-1,""))</f>
        <v>0.0403468721186624</v>
      </c>
      <c r="J29" s="32" t="n">
        <f aca="false">IF($A29="","",IFERROR('Market levels'!U29/'Market levels'!I29,""))</f>
        <v>0.407700623102364</v>
      </c>
      <c r="K29" s="31" t="n">
        <f aca="false">IF($A29="","",IFERROR(('Market levels'!U29/'Market levels'!P29)^(1/5)-1,""))</f>
        <v>0.0532599551238662</v>
      </c>
      <c r="L29" s="31" t="n">
        <f aca="false">IF($A29="","",IFERROR('Market levels'!V29/'Market levels'!U29-1,""))</f>
        <v>-0.00083047993524743</v>
      </c>
      <c r="M29" s="31" t="n">
        <f aca="false">IF($A29="","",IFERROR(('Market levels'!AA29/'Market levels'!V29)^(1/5)-1,""))</f>
        <v>0.0538909749105168</v>
      </c>
      <c r="N29" s="31" t="n">
        <f aca="false">IF($A29="","",IFERROR(('Market levels'!AG29/'Market levels'!AB29)^(1/5)-1,""))</f>
        <v>-0.0219632883829541</v>
      </c>
      <c r="O29" s="31" t="n">
        <f aca="false">IF($A29="","",IFERROR('Market levels'!AH29/'Market levels'!AG29-1,""))</f>
        <v>-0.00846802319934958</v>
      </c>
      <c r="P29" s="31" t="n">
        <f aca="false">IF($A29="","",IFERROR(('Market levels'!AM29/'Market levels'!AH29)^(1/5)-1,""))</f>
        <v>0.030520471588577</v>
      </c>
      <c r="Q29" s="29" t="n">
        <v>21.3</v>
      </c>
      <c r="R29" s="33" t="n">
        <v>-0.005</v>
      </c>
      <c r="S29" s="33" t="n">
        <v>0.02</v>
      </c>
      <c r="T29" s="33" t="n">
        <v>0.03</v>
      </c>
      <c r="U29" s="33"/>
      <c r="V29" s="33"/>
      <c r="W29" s="17" t="n">
        <v>3</v>
      </c>
      <c r="X29" s="17" t="n">
        <v>2</v>
      </c>
      <c r="Y29" s="17" t="n">
        <v>2</v>
      </c>
      <c r="Z29" s="17" t="n">
        <v>3</v>
      </c>
    </row>
    <row r="30" customFormat="false" ht="15" hidden="false" customHeight="false" outlineLevel="0" collapsed="false">
      <c r="A30" s="14" t="s">
        <v>157</v>
      </c>
      <c r="B30" s="14" t="s">
        <v>209</v>
      </c>
      <c r="C30" s="14" t="s">
        <v>196</v>
      </c>
      <c r="D30" s="14" t="s">
        <v>157</v>
      </c>
      <c r="E30" s="29" t="n">
        <v>525</v>
      </c>
      <c r="F30" s="30" t="n">
        <f aca="false">IF($A30="","",'Market levels'!I30)</f>
        <v>47504.24</v>
      </c>
      <c r="G30" s="31" t="n">
        <f aca="false">IF($A30="","",IFERROR(('Market levels'!I30/'Market levels'!D30)^(1/5)-1,""))</f>
        <v>-0.0154949361668216</v>
      </c>
      <c r="H30" s="31" t="n">
        <f aca="false">IF($A30="","",IFERROR('Market levels'!J30/'Market levels'!I30-1,""))</f>
        <v>0.00409163476775953</v>
      </c>
      <c r="I30" s="31" t="n">
        <f aca="false">IF($A30="","",IFERROR(('Market levels'!O30/'Market levels'!J30)^(1/5)-1,""))</f>
        <v>0.0191750853803925</v>
      </c>
      <c r="J30" s="32" t="n">
        <f aca="false">IF($A30="","",IFERROR('Market levels'!U30/'Market levels'!I30,""))</f>
        <v>0.774944720723876</v>
      </c>
      <c r="K30" s="31" t="n">
        <f aca="false">IF($A30="","",IFERROR(('Market levels'!U30/'Market levels'!P30)^(1/5)-1,""))</f>
        <v>0.0280821798617414</v>
      </c>
      <c r="L30" s="31" t="n">
        <f aca="false">IF($A30="","",IFERROR('Market levels'!V30/'Market levels'!U30-1,""))</f>
        <v>0.0176184277578997</v>
      </c>
      <c r="M30" s="31" t="n">
        <f aca="false">IF($A30="","",IFERROR(('Market levels'!AA30/'Market levels'!V30)^(1/5)-1,""))</f>
        <v>0.0192596423783837</v>
      </c>
      <c r="N30" s="31" t="n">
        <f aca="false">IF($A30="","",IFERROR(('Market levels'!AG30/'Market levels'!AB30)^(1/5)-1,""))</f>
        <v>-0.111514335254401</v>
      </c>
      <c r="O30" s="31" t="n">
        <f aca="false">IF($A30="","",IFERROR('Market levels'!AH30/'Market levels'!AG30-1,""))</f>
        <v>-0.0424858854297232</v>
      </c>
      <c r="P30" s="31" t="n">
        <f aca="false">IF($A30="","",IFERROR(('Market levels'!AM30/'Market levels'!AH30)^(1/5)-1,""))</f>
        <v>0.0188654098880188</v>
      </c>
      <c r="Q30" s="29" t="n">
        <v>94.5</v>
      </c>
      <c r="R30" s="33" t="n">
        <v>0.04</v>
      </c>
      <c r="S30" s="33" t="n">
        <v>0.01</v>
      </c>
      <c r="T30" s="33" t="n">
        <v>0.035</v>
      </c>
      <c r="U30" s="33"/>
      <c r="V30" s="33"/>
      <c r="W30" s="17" t="n">
        <v>4</v>
      </c>
      <c r="X30" s="17" t="n">
        <v>3</v>
      </c>
      <c r="Y30" s="17" t="n">
        <v>4</v>
      </c>
      <c r="Z30" s="17" t="n">
        <v>4</v>
      </c>
    </row>
    <row r="31" customFormat="false" ht="15" hidden="false" customHeight="false" outlineLevel="0" collapsed="false">
      <c r="A31" s="14" t="s">
        <v>157</v>
      </c>
      <c r="B31" s="14" t="s">
        <v>209</v>
      </c>
      <c r="C31" s="14" t="s">
        <v>197</v>
      </c>
      <c r="D31" s="14" t="s">
        <v>157</v>
      </c>
      <c r="E31" s="29" t="n">
        <v>1025</v>
      </c>
      <c r="F31" s="30" t="n">
        <f aca="false">IF($A31="","",'Market levels'!I31)</f>
        <v>92949.87</v>
      </c>
      <c r="G31" s="31" t="n">
        <f aca="false">IF($A31="","",IFERROR(('Market levels'!I31/'Market levels'!D31)^(1/5)-1,""))</f>
        <v>0.00737970337835248</v>
      </c>
      <c r="H31" s="31" t="n">
        <f aca="false">IF($A31="","",IFERROR('Market levels'!J31/'Market levels'!I31-1,""))</f>
        <v>0.0104207784260486</v>
      </c>
      <c r="I31" s="31" t="n">
        <f aca="false">IF($A31="","",IFERROR(('Market levels'!O31/'Market levels'!J31)^(1/5)-1,""))</f>
        <v>0.0121628290255464</v>
      </c>
      <c r="J31" s="32" t="n">
        <f aca="false">IF($A31="","",IFERROR('Market levels'!U31/'Market levels'!I31,""))</f>
        <v>0.634343436951553</v>
      </c>
      <c r="K31" s="31" t="n">
        <f aca="false">IF($A31="","",IFERROR(('Market levels'!U31/'Market levels'!P31)^(1/5)-1,""))</f>
        <v>0.0445764611895643</v>
      </c>
      <c r="L31" s="31" t="n">
        <f aca="false">IF($A31="","",IFERROR('Market levels'!V31/'Market levels'!U31-1,""))</f>
        <v>0.0164129049590125</v>
      </c>
      <c r="M31" s="31" t="n">
        <f aca="false">IF($A31="","",IFERROR(('Market levels'!AA31/'Market levels'!V31)^(1/5)-1,""))</f>
        <v>0.0168941707468939</v>
      </c>
      <c r="N31" s="31" t="n">
        <f aca="false">IF($A31="","",IFERROR(('Market levels'!AG31/'Market levels'!AB31)^(1/5)-1,""))</f>
        <v>-0.0422906958929223</v>
      </c>
      <c r="O31" s="31" t="n">
        <f aca="false">IF($A31="","",IFERROR('Market levels'!AH31/'Market levels'!AG31-1,""))</f>
        <v>2.55974729705954E-005</v>
      </c>
      <c r="P31" s="31" t="n">
        <f aca="false">IF($A31="","",IFERROR(('Market levels'!AM31/'Market levels'!AH31)^(1/5)-1,""))</f>
        <v>0.00359828535973383</v>
      </c>
      <c r="Q31" s="29" t="n">
        <v>143.5</v>
      </c>
      <c r="R31" s="33" t="n">
        <v>0.045</v>
      </c>
      <c r="S31" s="33" t="n">
        <v>0.015</v>
      </c>
      <c r="T31" s="33" t="n">
        <v>0.04</v>
      </c>
      <c r="U31" s="33"/>
      <c r="V31" s="33"/>
      <c r="W31" s="17" t="n">
        <v>4</v>
      </c>
      <c r="X31" s="17" t="n">
        <v>3</v>
      </c>
      <c r="Y31" s="17" t="n">
        <v>4</v>
      </c>
      <c r="Z31" s="17" t="n">
        <v>4</v>
      </c>
    </row>
    <row r="32" customFormat="false" ht="15" hidden="false" customHeight="false" outlineLevel="0" collapsed="false">
      <c r="A32" s="14" t="s">
        <v>163</v>
      </c>
      <c r="B32" s="14" t="s">
        <v>210</v>
      </c>
      <c r="C32" s="14" t="s">
        <v>196</v>
      </c>
      <c r="D32" s="14" t="s">
        <v>163</v>
      </c>
      <c r="E32" s="29" t="n">
        <v>300</v>
      </c>
      <c r="F32" s="30" t="n">
        <f aca="false">IF($A32="","",'Market levels'!I32)</f>
        <v>27391</v>
      </c>
      <c r="G32" s="31" t="n">
        <f aca="false">IF($A32="","",IFERROR(('Market levels'!I32/'Market levels'!D32)^(1/5)-1,""))</f>
        <v>0.105067721311887</v>
      </c>
      <c r="H32" s="31" t="n">
        <f aca="false">IF($A32="","",IFERROR('Market levels'!J32/'Market levels'!I32-1,""))</f>
        <v>-0.0282235040706802</v>
      </c>
      <c r="I32" s="31" t="n">
        <f aca="false">IF($A32="","",IFERROR(('Market levels'!O32/'Market levels'!J32)^(1/5)-1,""))</f>
        <v>-0.0223924451401707</v>
      </c>
      <c r="J32" s="32" t="n">
        <f aca="false">IF($A32="","",IFERROR('Market levels'!U32/'Market levels'!I32,""))</f>
        <v>0.791549048957687</v>
      </c>
      <c r="K32" s="31" t="n">
        <f aca="false">IF($A32="","",IFERROR(('Market levels'!U32/'Market levels'!P32)^(1/5)-1,""))</f>
        <v>0.107577956686453</v>
      </c>
      <c r="L32" s="31" t="n">
        <f aca="false">IF($A32="","",IFERROR('Market levels'!V32/'Market levels'!U32-1,""))</f>
        <v>-0.0414001546031331</v>
      </c>
      <c r="M32" s="31" t="n">
        <f aca="false">IF($A32="","",IFERROR(('Market levels'!AA32/'Market levels'!V32)^(1/5)-1,""))</f>
        <v>-0.0126639827652932</v>
      </c>
      <c r="N32" s="31" t="n">
        <f aca="false">IF($A32="","",IFERROR(('Market levels'!AG32/'Market levels'!AB32)^(1/5)-1,""))</f>
        <v>0.0958361832028132</v>
      </c>
      <c r="O32" s="31" t="n">
        <f aca="false">IF($A32="","",IFERROR('Market levels'!AH32/'Market levels'!AG32-1,""))</f>
        <v>0.0218120805369129</v>
      </c>
      <c r="P32" s="31" t="n">
        <f aca="false">IF($A32="","",IFERROR(('Market levels'!AM32/'Market levels'!AH32)^(1/5)-1,""))</f>
        <v>-0.0606206801980648</v>
      </c>
      <c r="Q32" s="29" t="n">
        <v>33</v>
      </c>
      <c r="R32" s="33" t="n">
        <v>0.03</v>
      </c>
      <c r="S32" s="33" t="n">
        <v>-0.03</v>
      </c>
      <c r="T32" s="33" t="n">
        <v>0.02</v>
      </c>
      <c r="U32" s="33"/>
      <c r="V32" s="33"/>
      <c r="W32" s="17" t="n">
        <v>3</v>
      </c>
      <c r="X32" s="17" t="n">
        <v>3</v>
      </c>
      <c r="Y32" s="17" t="n">
        <v>4</v>
      </c>
      <c r="Z32" s="17" t="n">
        <v>3</v>
      </c>
    </row>
    <row r="33" customFormat="false" ht="15" hidden="false" customHeight="false" outlineLevel="0" collapsed="false">
      <c r="A33" s="14" t="s">
        <v>163</v>
      </c>
      <c r="B33" s="14" t="s">
        <v>210</v>
      </c>
      <c r="C33" s="14" t="s">
        <v>197</v>
      </c>
      <c r="D33" s="14" t="s">
        <v>163</v>
      </c>
      <c r="E33" s="29" t="n">
        <v>1030</v>
      </c>
      <c r="F33" s="30" t="n">
        <f aca="false">IF($A33="","",'Market levels'!I33)</f>
        <v>93406.3</v>
      </c>
      <c r="G33" s="31" t="n">
        <f aca="false">IF($A33="","",IFERROR(('Market levels'!I33/'Market levels'!D33)^(1/5)-1,""))</f>
        <v>0.0957594627731746</v>
      </c>
      <c r="H33" s="31" t="n">
        <f aca="false">IF($A33="","",IFERROR('Market levels'!J33/'Market levels'!I33-1,""))</f>
        <v>0.0017024547594755</v>
      </c>
      <c r="I33" s="31" t="n">
        <f aca="false">IF($A33="","",IFERROR(('Market levels'!O33/'Market levels'!J33)^(1/5)-1,""))</f>
        <v>0.014115777056698</v>
      </c>
      <c r="J33" s="32" t="n">
        <f aca="false">IF($A33="","",IFERROR('Market levels'!U33/'Market levels'!I33,""))</f>
        <v>0.82766365866114</v>
      </c>
      <c r="K33" s="31" t="n">
        <f aca="false">IF($A33="","",IFERROR(('Market levels'!U33/'Market levels'!P33)^(1/5)-1,""))</f>
        <v>0.0974080767571552</v>
      </c>
      <c r="L33" s="31" t="n">
        <f aca="false">IF($A33="","",IFERROR('Market levels'!V33/'Market levels'!U33-1,""))</f>
        <v>-0.0009399940498519</v>
      </c>
      <c r="M33" s="31" t="n">
        <f aca="false">IF($A33="","",IFERROR(('Market levels'!AA33/'Market levels'!V33)^(1/5)-1,""))</f>
        <v>0.0122338287491848</v>
      </c>
      <c r="N33" s="31" t="n">
        <f aca="false">IF($A33="","",IFERROR(('Market levels'!AG33/'Market levels'!AB33)^(1/5)-1,""))</f>
        <v>0.0880431610028938</v>
      </c>
      <c r="O33" s="31" t="n">
        <f aca="false">IF($A33="","",IFERROR('Market levels'!AH33/'Market levels'!AG33-1,""))</f>
        <v>0.0143930969789967</v>
      </c>
      <c r="P33" s="31" t="n">
        <f aca="false">IF($A33="","",IFERROR(('Market levels'!AM33/'Market levels'!AH33)^(1/5)-1,""))</f>
        <v>0.0228332714927464</v>
      </c>
      <c r="Q33" s="29" t="n">
        <v>97.8</v>
      </c>
      <c r="R33" s="33" t="n">
        <v>0.035</v>
      </c>
      <c r="S33" s="33" t="n">
        <v>-0.025</v>
      </c>
      <c r="T33" s="33" t="n">
        <v>0.025</v>
      </c>
      <c r="U33" s="33"/>
      <c r="V33" s="33"/>
      <c r="W33" s="17" t="n">
        <v>3</v>
      </c>
      <c r="X33" s="17" t="n">
        <v>3</v>
      </c>
      <c r="Y33" s="17" t="n">
        <v>4</v>
      </c>
      <c r="Z33" s="17" t="n">
        <v>3</v>
      </c>
    </row>
    <row r="34" customFormat="false" ht="15" hidden="false" customHeight="false" outlineLevel="0" collapsed="false">
      <c r="A34" s="14" t="s">
        <v>143</v>
      </c>
      <c r="B34" s="14" t="s">
        <v>211</v>
      </c>
      <c r="C34" s="14" t="s">
        <v>196</v>
      </c>
      <c r="D34" s="14" t="s">
        <v>143</v>
      </c>
      <c r="E34" s="29" t="n">
        <v>115</v>
      </c>
      <c r="F34" s="30" t="n">
        <f aca="false">IF($A34="","",'Market levels'!I34)</f>
        <v>10603.3</v>
      </c>
      <c r="G34" s="31" t="n">
        <f aca="false">IF($A34="","",IFERROR(('Market levels'!I34/'Market levels'!D34)^(1/5)-1,""))</f>
        <v>0.00562908296750186</v>
      </c>
      <c r="H34" s="31" t="n">
        <f aca="false">IF($A34="","",IFERROR('Market levels'!J34/'Market levels'!I34-1,""))</f>
        <v>-0.0300651683909728</v>
      </c>
      <c r="I34" s="31" t="n">
        <f aca="false">IF($A34="","",IFERROR(('Market levels'!O34/'Market levels'!J34)^(1/5)-1,""))</f>
        <v>0.0228529477061796</v>
      </c>
      <c r="J34" s="32" t="n">
        <f aca="false">IF($A34="","",IFERROR('Market levels'!U34/'Market levels'!I34,""))</f>
        <v>0.734945724444277</v>
      </c>
      <c r="K34" s="31" t="n">
        <f aca="false">IF($A34="","",IFERROR(('Market levels'!U34/'Market levels'!P34)^(1/5)-1,""))</f>
        <v>0.0308497612928871</v>
      </c>
      <c r="L34" s="31" t="n">
        <f aca="false">IF($A34="","",IFERROR('Market levels'!V34/'Market levels'!U34-1,""))</f>
        <v>-0.011184611534933</v>
      </c>
      <c r="M34" s="31" t="n">
        <f aca="false">IF($A34="","",IFERROR(('Market levels'!AA34/'Market levels'!V34)^(1/5)-1,""))</f>
        <v>0.022191660573325</v>
      </c>
      <c r="N34" s="31" t="n">
        <f aca="false">IF($A34="","",IFERROR(('Market levels'!AG34/'Market levels'!AB34)^(1/5)-1,""))</f>
        <v>-0.0491197569657782</v>
      </c>
      <c r="O34" s="31" t="n">
        <f aca="false">IF($A34="","",IFERROR('Market levels'!AH34/'Market levels'!AG34-1,""))</f>
        <v>-0.0824174064651568</v>
      </c>
      <c r="P34" s="31" t="n">
        <f aca="false">IF($A34="","",IFERROR(('Market levels'!AM34/'Market levels'!AH34)^(1/5)-1,""))</f>
        <v>0.0248187944641731</v>
      </c>
      <c r="Q34" s="29" t="n">
        <v>17.2</v>
      </c>
      <c r="R34" s="33" t="n">
        <v>0.03</v>
      </c>
      <c r="S34" s="33" t="n">
        <v>0.02</v>
      </c>
      <c r="T34" s="33" t="n">
        <v>0.035</v>
      </c>
      <c r="U34" s="33"/>
      <c r="V34" s="33"/>
      <c r="W34" s="17" t="n">
        <v>4</v>
      </c>
      <c r="X34" s="17" t="n">
        <v>3</v>
      </c>
      <c r="Y34" s="17" t="n">
        <v>4</v>
      </c>
      <c r="Z34" s="17" t="n">
        <v>4</v>
      </c>
    </row>
    <row r="35" customFormat="false" ht="15" hidden="false" customHeight="false" outlineLevel="0" collapsed="false">
      <c r="A35" s="14" t="s">
        <v>143</v>
      </c>
      <c r="B35" s="14" t="s">
        <v>211</v>
      </c>
      <c r="C35" s="14" t="s">
        <v>197</v>
      </c>
      <c r="D35" s="14" t="s">
        <v>143</v>
      </c>
      <c r="E35" s="29" t="n">
        <v>215</v>
      </c>
      <c r="F35" s="30" t="n">
        <f aca="false">IF($A35="","",'Market levels'!I35)</f>
        <v>19662.69</v>
      </c>
      <c r="G35" s="31" t="n">
        <f aca="false">IF($A35="","",IFERROR(('Market levels'!I35/'Market levels'!D35)^(1/5)-1,""))</f>
        <v>0.0259293584493279</v>
      </c>
      <c r="H35" s="31" t="n">
        <f aca="false">IF($A35="","",IFERROR('Market levels'!J35/'Market levels'!I35-1,""))</f>
        <v>0.0181236646664318</v>
      </c>
      <c r="I35" s="31" t="n">
        <f aca="false">IF($A35="","",IFERROR(('Market levels'!O35/'Market levels'!J35)^(1/5)-1,""))</f>
        <v>0.0306407394366455</v>
      </c>
      <c r="J35" s="32" t="n">
        <f aca="false">IF($A35="","",IFERROR('Market levels'!U35/'Market levels'!I35,""))</f>
        <v>0.586862733430675</v>
      </c>
      <c r="K35" s="31" t="n">
        <f aca="false">IF($A35="","",IFERROR(('Market levels'!U35/'Market levels'!P35)^(1/5)-1,""))</f>
        <v>0.0386848576517109</v>
      </c>
      <c r="L35" s="31" t="n">
        <f aca="false">IF($A35="","",IFERROR('Market levels'!V35/'Market levels'!U35-1,""))</f>
        <v>0.0187125735529885</v>
      </c>
      <c r="M35" s="31" t="n">
        <f aca="false">IF($A35="","",IFERROR(('Market levels'!AA35/'Market levels'!V35)^(1/5)-1,""))</f>
        <v>0.0377712242046187</v>
      </c>
      <c r="N35" s="31" t="n">
        <f aca="false">IF($A35="","",IFERROR(('Market levels'!AG35/'Market levels'!AB35)^(1/5)-1,""))</f>
        <v>0.00930642174728846</v>
      </c>
      <c r="O35" s="31" t="n">
        <f aca="false">IF($A35="","",IFERROR('Market levels'!AH35/'Market levels'!AG35-1,""))</f>
        <v>0.0172871178165765</v>
      </c>
      <c r="P35" s="31" t="n">
        <f aca="false">IF($A35="","",IFERROR(('Market levels'!AM35/'Market levels'!AH35)^(1/5)-1,""))</f>
        <v>0.020144731624145</v>
      </c>
      <c r="Q35" s="29" t="n">
        <v>25.8</v>
      </c>
      <c r="R35" s="33" t="n">
        <v>0.035</v>
      </c>
      <c r="S35" s="33" t="n">
        <v>0.025</v>
      </c>
      <c r="T35" s="33" t="n">
        <v>0.04</v>
      </c>
      <c r="U35" s="33"/>
      <c r="V35" s="33"/>
      <c r="W35" s="17" t="n">
        <v>4</v>
      </c>
      <c r="X35" s="17" t="n">
        <v>3</v>
      </c>
      <c r="Y35" s="17" t="n">
        <v>4</v>
      </c>
      <c r="Z35" s="17" t="n">
        <v>4</v>
      </c>
    </row>
    <row r="36" customFormat="false" ht="15" hidden="false" customHeight="false" outlineLevel="0" collapsed="false">
      <c r="A36" s="14" t="s">
        <v>153</v>
      </c>
      <c r="B36" s="14" t="s">
        <v>212</v>
      </c>
      <c r="C36" s="14" t="s">
        <v>196</v>
      </c>
      <c r="D36" s="14" t="s">
        <v>153</v>
      </c>
      <c r="E36" s="29" t="n">
        <v>215</v>
      </c>
      <c r="F36" s="30" t="n">
        <f aca="false">IF($A36="","",'Market levels'!I36)</f>
        <v>19526.91</v>
      </c>
      <c r="G36" s="31" t="n">
        <f aca="false">IF($A36="","",IFERROR(('Market levels'!I36/'Market levels'!D36)^(1/5)-1,""))</f>
        <v>0.0326404738113613</v>
      </c>
      <c r="H36" s="31" t="n">
        <f aca="false">IF($A36="","",IFERROR('Market levels'!J36/'Market levels'!I36-1,""))</f>
        <v>0.0176740713200401</v>
      </c>
      <c r="I36" s="31" t="n">
        <f aca="false">IF($A36="","",IFERROR(('Market levels'!O36/'Market levels'!J36)^(1/5)-1,""))</f>
        <v>0.02324374871934</v>
      </c>
      <c r="J36" s="32" t="n">
        <f aca="false">IF($A36="","",IFERROR('Market levels'!U36/'Market levels'!I36,""))</f>
        <v>0.370363257678762</v>
      </c>
      <c r="K36" s="31" t="n">
        <f aca="false">IF($A36="","",IFERROR(('Market levels'!U36/'Market levels'!P36)^(1/5)-1,""))</f>
        <v>0.0174934729126028</v>
      </c>
      <c r="L36" s="31" t="n">
        <f aca="false">IF($A36="","",IFERROR('Market levels'!V36/'Market levels'!U36-1,""))</f>
        <v>-0.0301297695674121</v>
      </c>
      <c r="M36" s="31" t="n">
        <f aca="false">IF($A36="","",IFERROR(('Market levels'!AA36/'Market levels'!V36)^(1/5)-1,""))</f>
        <v>0.0295128136891052</v>
      </c>
      <c r="N36" s="31" t="n">
        <f aca="false">IF($A36="","",IFERROR(('Market levels'!AG36/'Market levels'!AB36)^(1/5)-1,""))</f>
        <v>0.0422168609023978</v>
      </c>
      <c r="O36" s="31" t="n">
        <f aca="false">IF($A36="","",IFERROR('Market levels'!AH36/'Market levels'!AG36-1,""))</f>
        <v>0.0457931200517943</v>
      </c>
      <c r="P36" s="31" t="n">
        <f aca="false">IF($A36="","",IFERROR(('Market levels'!AM36/'Market levels'!AH36)^(1/5)-1,""))</f>
        <v>0.0197580582580648</v>
      </c>
      <c r="Q36" s="29" t="n">
        <v>21.1</v>
      </c>
      <c r="R36" s="33" t="n">
        <v>0.075</v>
      </c>
      <c r="S36" s="33" t="n">
        <v>0.06</v>
      </c>
      <c r="T36" s="33" t="n">
        <v>0.08</v>
      </c>
      <c r="U36" s="33"/>
      <c r="V36" s="33"/>
      <c r="W36" s="17" t="n">
        <v>3</v>
      </c>
      <c r="X36" s="17" t="n">
        <v>3</v>
      </c>
      <c r="Y36" s="17" t="n">
        <v>3</v>
      </c>
      <c r="Z36" s="17" t="n">
        <v>4</v>
      </c>
    </row>
    <row r="37" customFormat="false" ht="15" hidden="false" customHeight="false" outlineLevel="0" collapsed="false">
      <c r="A37" s="14" t="s">
        <v>153</v>
      </c>
      <c r="B37" s="14" t="s">
        <v>212</v>
      </c>
      <c r="C37" s="14" t="s">
        <v>197</v>
      </c>
      <c r="D37" s="14" t="s">
        <v>153</v>
      </c>
      <c r="E37" s="29" t="n">
        <v>945</v>
      </c>
      <c r="F37" s="30" t="n">
        <f aca="false">IF($A37="","",'Market levels'!I37)</f>
        <v>85393.01</v>
      </c>
      <c r="G37" s="31" t="n">
        <f aca="false">IF($A37="","",IFERROR(('Market levels'!I37/'Market levels'!D37)^(1/5)-1,""))</f>
        <v>0.0467386273311994</v>
      </c>
      <c r="H37" s="31" t="n">
        <f aca="false">IF($A37="","",IFERROR('Market levels'!J37/'Market levels'!I37-1,""))</f>
        <v>0.0667727955719091</v>
      </c>
      <c r="I37" s="31" t="n">
        <f aca="false">IF($A37="","",IFERROR(('Market levels'!O37/'Market levels'!J37)^(1/5)-1,""))</f>
        <v>0.0365555194596321</v>
      </c>
      <c r="J37" s="32" t="n">
        <f aca="false">IF($A37="","",IFERROR('Market levels'!U37/'Market levels'!I37,""))</f>
        <v>0.358499952162361</v>
      </c>
      <c r="K37" s="31" t="n">
        <f aca="false">IF($A37="","",IFERROR(('Market levels'!U37/'Market levels'!P37)^(1/5)-1,""))</f>
        <v>0.0506196522202851</v>
      </c>
      <c r="L37" s="31" t="n">
        <f aca="false">IF($A37="","",IFERROR('Market levels'!V37/'Market levels'!U37-1,""))</f>
        <v>-0.00126513267560391</v>
      </c>
      <c r="M37" s="31" t="n">
        <f aca="false">IF($A37="","",IFERROR(('Market levels'!AA37/'Market levels'!V37)^(1/5)-1,""))</f>
        <v>0.0406819560795881</v>
      </c>
      <c r="N37" s="31" t="n">
        <f aca="false">IF($A37="","",IFERROR(('Market levels'!AG37/'Market levels'!AB37)^(1/5)-1,""))</f>
        <v>0.0446067368696885</v>
      </c>
      <c r="O37" s="31" t="n">
        <f aca="false">IF($A37="","",IFERROR('Market levels'!AH37/'Market levels'!AG37-1,""))</f>
        <v>0.10479554257587</v>
      </c>
      <c r="P37" s="31" t="n">
        <f aca="false">IF($A37="","",IFERROR(('Market levels'!AM37/'Market levels'!AH37)^(1/5)-1,""))</f>
        <v>0.0344456205032071</v>
      </c>
      <c r="Q37" s="29" t="n">
        <v>70.9</v>
      </c>
      <c r="R37" s="33" t="n">
        <v>0.08</v>
      </c>
      <c r="S37" s="33" t="n">
        <v>0.065</v>
      </c>
      <c r="T37" s="33" t="n">
        <v>0.085</v>
      </c>
      <c r="U37" s="33"/>
      <c r="V37" s="33"/>
      <c r="W37" s="17" t="n">
        <v>3</v>
      </c>
      <c r="X37" s="17" t="n">
        <v>3</v>
      </c>
      <c r="Y37" s="17" t="n">
        <v>3</v>
      </c>
      <c r="Z37" s="17" t="n">
        <v>4</v>
      </c>
    </row>
    <row r="38" customFormat="false" ht="15" hidden="false" customHeight="false" outlineLevel="0" collapsed="false">
      <c r="A38" s="14" t="s">
        <v>171</v>
      </c>
      <c r="B38" s="14" t="s">
        <v>213</v>
      </c>
      <c r="C38" s="14" t="s">
        <v>196</v>
      </c>
      <c r="D38" s="14" t="s">
        <v>171</v>
      </c>
      <c r="E38" s="29" t="n">
        <v>45</v>
      </c>
      <c r="F38" s="30" t="n">
        <f aca="false">IF($A38="","",'Market levels'!I38)</f>
        <v>3971.49</v>
      </c>
      <c r="G38" s="31" t="n">
        <f aca="false">IF($A38="","",IFERROR(('Market levels'!I38/'Market levels'!D38)^(1/5)-1,""))</f>
        <v>0.0302065041126041</v>
      </c>
      <c r="H38" s="31" t="n">
        <f aca="false">IF($A38="","",IFERROR('Market levels'!J38/'Market levels'!I38-1,""))</f>
        <v>0.0422738065562294</v>
      </c>
      <c r="I38" s="31" t="n">
        <f aca="false">IF($A38="","",IFERROR(('Market levels'!O38/'Market levels'!J38)^(1/5)-1,""))</f>
        <v>0.00194248928808927</v>
      </c>
      <c r="J38" s="32" t="n">
        <f aca="false">IF($A38="","",IFERROR('Market levels'!U38/'Market levels'!I38,""))</f>
        <v>0.79572654092041</v>
      </c>
      <c r="K38" s="31" t="n">
        <f aca="false">IF($A38="","",IFERROR(('Market levels'!U38/'Market levels'!P38)^(1/5)-1,""))</f>
        <v>0.0767251779377851</v>
      </c>
      <c r="L38" s="31" t="n">
        <f aca="false">IF($A38="","",IFERROR('Market levels'!V38/'Market levels'!U38-1,""))</f>
        <v>0.0311465657454226</v>
      </c>
      <c r="M38" s="31" t="n">
        <f aca="false">IF($A38="","",IFERROR(('Market levels'!AA38/'Market levels'!V38)^(1/5)-1,""))</f>
        <v>-0.00232400479225148</v>
      </c>
      <c r="N38" s="31" t="n">
        <f aca="false">IF($A38="","",IFERROR(('Market levels'!AG38/'Market levels'!AB38)^(1/5)-1,""))</f>
        <v>-0.0811615626027069</v>
      </c>
      <c r="O38" s="31" t="n">
        <f aca="false">IF($A38="","",IFERROR('Market levels'!AH38/'Market levels'!AG38-1,""))</f>
        <v>0.085618844527716</v>
      </c>
      <c r="P38" s="31" t="n">
        <f aca="false">IF($A38="","",IFERROR(('Market levels'!AM38/'Market levels'!AH38)^(1/5)-1,""))</f>
        <v>0.0171271224812015</v>
      </c>
      <c r="Q38" s="29" t="n">
        <v>3.6</v>
      </c>
      <c r="R38" s="33" t="n">
        <v>0.065</v>
      </c>
      <c r="S38" s="33" t="n">
        <v>0.05</v>
      </c>
      <c r="T38" s="33" t="n">
        <v>0.05</v>
      </c>
      <c r="U38" s="33"/>
      <c r="V38" s="33"/>
      <c r="W38" s="17" t="n">
        <v>3</v>
      </c>
      <c r="X38" s="17" t="n">
        <v>3</v>
      </c>
      <c r="Y38" s="17" t="n">
        <v>3</v>
      </c>
      <c r="Z38" s="17" t="n">
        <v>4</v>
      </c>
    </row>
    <row r="39" customFormat="false" ht="15" hidden="false" customHeight="false" outlineLevel="0" collapsed="false">
      <c r="A39" s="14" t="s">
        <v>171</v>
      </c>
      <c r="B39" s="14" t="s">
        <v>213</v>
      </c>
      <c r="C39" s="14" t="s">
        <v>197</v>
      </c>
      <c r="D39" s="14" t="s">
        <v>171</v>
      </c>
      <c r="E39" s="29" t="n">
        <v>95</v>
      </c>
      <c r="F39" s="30" t="n">
        <f aca="false">IF($A39="","",'Market levels'!I39)</f>
        <v>8433.78</v>
      </c>
      <c r="G39" s="31" t="n">
        <f aca="false">IF($A39="","",IFERROR(('Market levels'!I39/'Market levels'!D39)^(1/5)-1,""))</f>
        <v>0.0374424361121726</v>
      </c>
      <c r="H39" s="31" t="n">
        <f aca="false">IF($A39="","",IFERROR('Market levels'!J39/'Market levels'!I39-1,""))</f>
        <v>0.0845552053764742</v>
      </c>
      <c r="I39" s="31" t="n">
        <f aca="false">IF($A39="","",IFERROR(('Market levels'!O39/'Market levels'!J39)^(1/5)-1,""))</f>
        <v>0.0275274473643183</v>
      </c>
      <c r="J39" s="32" t="n">
        <f aca="false">IF($A39="","",IFERROR('Market levels'!U39/'Market levels'!I39,""))</f>
        <v>0.540378098551302</v>
      </c>
      <c r="K39" s="31" t="n">
        <f aca="false">IF($A39="","",IFERROR(('Market levels'!U39/'Market levels'!P39)^(1/5)-1,""))</f>
        <v>0.0161817401524029</v>
      </c>
      <c r="L39" s="31" t="n">
        <f aca="false">IF($A39="","",IFERROR('Market levels'!V39/'Market levels'!U39-1,""))</f>
        <v>0.0875866442271192</v>
      </c>
      <c r="M39" s="31" t="n">
        <f aca="false">IF($A39="","",IFERROR(('Market levels'!AA39/'Market levels'!V39)^(1/5)-1,""))</f>
        <v>0.0311504606403505</v>
      </c>
      <c r="N39" s="31" t="n">
        <f aca="false">IF($A39="","",IFERROR(('Market levels'!AG39/'Market levels'!AB39)^(1/5)-1,""))</f>
        <v>0.0663143162899706</v>
      </c>
      <c r="O39" s="31" t="n">
        <f aca="false">IF($A39="","",IFERROR('Market levels'!AH39/'Market levels'!AG39-1,""))</f>
        <v>0.0809911385710784</v>
      </c>
      <c r="P39" s="31" t="n">
        <f aca="false">IF($A39="","",IFERROR(('Market levels'!AM39/'Market levels'!AH39)^(1/5)-1,""))</f>
        <v>0.0231748286927724</v>
      </c>
      <c r="Q39" s="29" t="n">
        <v>5.7</v>
      </c>
      <c r="R39" s="33" t="n">
        <v>0.07</v>
      </c>
      <c r="S39" s="33" t="n">
        <v>0.055</v>
      </c>
      <c r="T39" s="33" t="n">
        <v>0.055</v>
      </c>
      <c r="U39" s="33"/>
      <c r="V39" s="33"/>
      <c r="W39" s="17" t="n">
        <v>3</v>
      </c>
      <c r="X39" s="17" t="n">
        <v>3</v>
      </c>
      <c r="Y39" s="17" t="n">
        <v>3</v>
      </c>
      <c r="Z39" s="17" t="n">
        <v>4</v>
      </c>
    </row>
    <row r="40" customFormat="false" ht="15" hidden="false" customHeight="false" outlineLevel="0" collapsed="false">
      <c r="A40" s="14"/>
      <c r="B40" s="14"/>
      <c r="C40" s="14"/>
      <c r="D40" s="14"/>
      <c r="E40" s="29"/>
      <c r="F40" s="30" t="str">
        <f aca="false">IF($A40="","",'Market levels'!I40)</f>
        <v/>
      </c>
      <c r="G40" s="31" t="str">
        <f aca="false">IF($A40="","",IFERROR(('Market levels'!I40/'Market levels'!D40)^(1/5)-1,""))</f>
        <v/>
      </c>
      <c r="H40" s="31" t="str">
        <f aca="false">IF($A40="","",IFERROR('Market levels'!J40/'Market levels'!I40-1,""))</f>
        <v/>
      </c>
      <c r="I40" s="31" t="str">
        <f aca="false">IF($A40="","",IFERROR(('Market levels'!O40/'Market levels'!J40)^(1/5)-1,""))</f>
        <v/>
      </c>
      <c r="J40" s="32" t="str">
        <f aca="false">IF($A40="","",IFERROR('Market levels'!U40/'Market levels'!I40,""))</f>
        <v/>
      </c>
      <c r="K40" s="31" t="str">
        <f aca="false">IF($A40="","",IFERROR(('Market levels'!U40/'Market levels'!P40)^(1/5)-1,""))</f>
        <v/>
      </c>
      <c r="L40" s="31" t="str">
        <f aca="false">IF($A40="","",IFERROR('Market levels'!V40/'Market levels'!U40-1,""))</f>
        <v/>
      </c>
      <c r="M40" s="31" t="str">
        <f aca="false">IF($A40="","",IFERROR(('Market levels'!AA40/'Market levels'!V40)^(1/5)-1,""))</f>
        <v/>
      </c>
      <c r="N40" s="31" t="str">
        <f aca="false">IF($A40="","",IFERROR(('Market levels'!AG40/'Market levels'!AB40)^(1/5)-1,""))</f>
        <v/>
      </c>
      <c r="O40" s="31" t="str">
        <f aca="false">IF($A40="","",IFERROR('Market levels'!AH40/'Market levels'!AG40-1,""))</f>
        <v/>
      </c>
      <c r="P40" s="31" t="str">
        <f aca="false">IF($A40="","",IFERROR(('Market levels'!AM40/'Market levels'!AH40)^(1/5)-1,""))</f>
        <v/>
      </c>
      <c r="Q40" s="29"/>
      <c r="R40" s="33"/>
      <c r="S40" s="33"/>
      <c r="T40" s="33"/>
      <c r="U40" s="33"/>
      <c r="V40" s="33"/>
      <c r="W40" s="17"/>
      <c r="X40" s="17"/>
      <c r="Y40" s="17"/>
      <c r="Z40" s="17"/>
    </row>
    <row r="41" customFormat="false" ht="15" hidden="false" customHeight="false" outlineLevel="0" collapsed="false">
      <c r="A41" s="14"/>
      <c r="B41" s="14"/>
      <c r="C41" s="14"/>
      <c r="D41" s="14"/>
      <c r="E41" s="29"/>
      <c r="F41" s="30" t="str">
        <f aca="false">IF($A41="","",'Market levels'!I41)</f>
        <v/>
      </c>
      <c r="G41" s="31" t="str">
        <f aca="false">IF($A41="","",IFERROR(('Market levels'!I41/'Market levels'!D41)^(1/5)-1,""))</f>
        <v/>
      </c>
      <c r="H41" s="31" t="str">
        <f aca="false">IF($A41="","",IFERROR('Market levels'!J41/'Market levels'!I41-1,""))</f>
        <v/>
      </c>
      <c r="I41" s="31" t="str">
        <f aca="false">IF($A41="","",IFERROR(('Market levels'!O41/'Market levels'!J41)^(1/5)-1,""))</f>
        <v/>
      </c>
      <c r="J41" s="32" t="str">
        <f aca="false">IF($A41="","",IFERROR('Market levels'!U41/'Market levels'!I41,""))</f>
        <v/>
      </c>
      <c r="K41" s="31" t="str">
        <f aca="false">IF($A41="","",IFERROR(('Market levels'!U41/'Market levels'!P41)^(1/5)-1,""))</f>
        <v/>
      </c>
      <c r="L41" s="31" t="str">
        <f aca="false">IF($A41="","",IFERROR('Market levels'!V41/'Market levels'!U41-1,""))</f>
        <v/>
      </c>
      <c r="M41" s="31" t="str">
        <f aca="false">IF($A41="","",IFERROR(('Market levels'!AA41/'Market levels'!V41)^(1/5)-1,""))</f>
        <v/>
      </c>
      <c r="N41" s="31" t="str">
        <f aca="false">IF($A41="","",IFERROR(('Market levels'!AG41/'Market levels'!AB41)^(1/5)-1,""))</f>
        <v/>
      </c>
      <c r="O41" s="31" t="str">
        <f aca="false">IF($A41="","",IFERROR('Market levels'!AH41/'Market levels'!AG41-1,""))</f>
        <v/>
      </c>
      <c r="P41" s="31" t="str">
        <f aca="false">IF($A41="","",IFERROR(('Market levels'!AM41/'Market levels'!AH41)^(1/5)-1,""))</f>
        <v/>
      </c>
      <c r="Q41" s="29"/>
      <c r="R41" s="33"/>
      <c r="S41" s="33"/>
      <c r="T41" s="33"/>
      <c r="U41" s="33"/>
      <c r="V41" s="33"/>
      <c r="W41" s="17"/>
      <c r="X41" s="17"/>
      <c r="Y41" s="17"/>
      <c r="Z41" s="17"/>
    </row>
    <row r="42" customFormat="false" ht="15" hidden="false" customHeight="false" outlineLevel="0" collapsed="false">
      <c r="A42" s="14"/>
      <c r="B42" s="14"/>
      <c r="C42" s="14"/>
      <c r="D42" s="14"/>
      <c r="E42" s="29"/>
      <c r="F42" s="30" t="str">
        <f aca="false">IF($A42="","",'Market levels'!I42)</f>
        <v/>
      </c>
      <c r="G42" s="31" t="str">
        <f aca="false">IF($A42="","",IFERROR(('Market levels'!I42/'Market levels'!D42)^(1/5)-1,""))</f>
        <v/>
      </c>
      <c r="H42" s="31" t="str">
        <f aca="false">IF($A42="","",IFERROR('Market levels'!J42/'Market levels'!I42-1,""))</f>
        <v/>
      </c>
      <c r="I42" s="31" t="str">
        <f aca="false">IF($A42="","",IFERROR(('Market levels'!O42/'Market levels'!J42)^(1/5)-1,""))</f>
        <v/>
      </c>
      <c r="J42" s="32" t="str">
        <f aca="false">IF($A42="","",IFERROR('Market levels'!U42/'Market levels'!I42,""))</f>
        <v/>
      </c>
      <c r="K42" s="31" t="str">
        <f aca="false">IF($A42="","",IFERROR(('Market levels'!U42/'Market levels'!P42)^(1/5)-1,""))</f>
        <v/>
      </c>
      <c r="L42" s="31" t="str">
        <f aca="false">IF($A42="","",IFERROR('Market levels'!V42/'Market levels'!U42-1,""))</f>
        <v/>
      </c>
      <c r="M42" s="31" t="str">
        <f aca="false">IF($A42="","",IFERROR(('Market levels'!AA42/'Market levels'!V42)^(1/5)-1,""))</f>
        <v/>
      </c>
      <c r="N42" s="31" t="str">
        <f aca="false">IF($A42="","",IFERROR(('Market levels'!AG42/'Market levels'!AB42)^(1/5)-1,""))</f>
        <v/>
      </c>
      <c r="O42" s="31" t="str">
        <f aca="false">IF($A42="","",IFERROR('Market levels'!AH42/'Market levels'!AG42-1,""))</f>
        <v/>
      </c>
      <c r="P42" s="31" t="str">
        <f aca="false">IF($A42="","",IFERROR(('Market levels'!AM42/'Market levels'!AH42)^(1/5)-1,""))</f>
        <v/>
      </c>
      <c r="Q42" s="29"/>
      <c r="R42" s="33"/>
      <c r="S42" s="33"/>
      <c r="T42" s="33"/>
      <c r="U42" s="33"/>
      <c r="V42" s="33"/>
      <c r="W42" s="17"/>
      <c r="X42" s="17"/>
      <c r="Y42" s="17"/>
      <c r="Z42" s="17"/>
    </row>
    <row r="43" customFormat="false" ht="15" hidden="false" customHeight="false" outlineLevel="0" collapsed="false">
      <c r="A43" s="14"/>
      <c r="B43" s="14"/>
      <c r="C43" s="14"/>
      <c r="D43" s="14"/>
      <c r="E43" s="29"/>
      <c r="F43" s="30" t="str">
        <f aca="false">IF($A43="","",'Market levels'!I43)</f>
        <v/>
      </c>
      <c r="G43" s="31" t="str">
        <f aca="false">IF($A43="","",IFERROR(('Market levels'!I43/'Market levels'!D43)^(1/5)-1,""))</f>
        <v/>
      </c>
      <c r="H43" s="31" t="str">
        <f aca="false">IF($A43="","",IFERROR('Market levels'!J43/'Market levels'!I43-1,""))</f>
        <v/>
      </c>
      <c r="I43" s="31" t="str">
        <f aca="false">IF($A43="","",IFERROR(('Market levels'!O43/'Market levels'!J43)^(1/5)-1,""))</f>
        <v/>
      </c>
      <c r="J43" s="32" t="str">
        <f aca="false">IF($A43="","",IFERROR('Market levels'!U43/'Market levels'!I43,""))</f>
        <v/>
      </c>
      <c r="K43" s="31" t="str">
        <f aca="false">IF($A43="","",IFERROR(('Market levels'!U43/'Market levels'!P43)^(1/5)-1,""))</f>
        <v/>
      </c>
      <c r="L43" s="31" t="str">
        <f aca="false">IF($A43="","",IFERROR('Market levels'!V43/'Market levels'!U43-1,""))</f>
        <v/>
      </c>
      <c r="M43" s="31" t="str">
        <f aca="false">IF($A43="","",IFERROR(('Market levels'!AA43/'Market levels'!V43)^(1/5)-1,""))</f>
        <v/>
      </c>
      <c r="N43" s="31" t="str">
        <f aca="false">IF($A43="","",IFERROR(('Market levels'!AG43/'Market levels'!AB43)^(1/5)-1,""))</f>
        <v/>
      </c>
      <c r="O43" s="31" t="str">
        <f aca="false">IF($A43="","",IFERROR('Market levels'!AH43/'Market levels'!AG43-1,""))</f>
        <v/>
      </c>
      <c r="P43" s="31" t="str">
        <f aca="false">IF($A43="","",IFERROR(('Market levels'!AM43/'Market levels'!AH43)^(1/5)-1,""))</f>
        <v/>
      </c>
      <c r="Q43" s="29"/>
      <c r="R43" s="33"/>
      <c r="S43" s="33"/>
      <c r="T43" s="33"/>
      <c r="U43" s="33"/>
      <c r="V43" s="33"/>
      <c r="W43" s="17"/>
      <c r="X43" s="17"/>
      <c r="Y43" s="17"/>
      <c r="Z43" s="17"/>
    </row>
    <row r="44" customFormat="false" ht="15" hidden="false" customHeight="false" outlineLevel="0" collapsed="false">
      <c r="A44" s="14"/>
      <c r="B44" s="14"/>
      <c r="C44" s="14"/>
      <c r="D44" s="14"/>
      <c r="E44" s="29"/>
      <c r="F44" s="30" t="str">
        <f aca="false">IF($A44="","",'Market levels'!I44)</f>
        <v/>
      </c>
      <c r="G44" s="31" t="str">
        <f aca="false">IF($A44="","",IFERROR(('Market levels'!I44/'Market levels'!D44)^(1/5)-1,""))</f>
        <v/>
      </c>
      <c r="H44" s="31" t="str">
        <f aca="false">IF($A44="","",IFERROR('Market levels'!J44/'Market levels'!I44-1,""))</f>
        <v/>
      </c>
      <c r="I44" s="31" t="str">
        <f aca="false">IF($A44="","",IFERROR(('Market levels'!O44/'Market levels'!J44)^(1/5)-1,""))</f>
        <v/>
      </c>
      <c r="J44" s="32" t="str">
        <f aca="false">IF($A44="","",IFERROR('Market levels'!U44/'Market levels'!I44,""))</f>
        <v/>
      </c>
      <c r="K44" s="31" t="str">
        <f aca="false">IF($A44="","",IFERROR(('Market levels'!U44/'Market levels'!P44)^(1/5)-1,""))</f>
        <v/>
      </c>
      <c r="L44" s="31" t="str">
        <f aca="false">IF($A44="","",IFERROR('Market levels'!V44/'Market levels'!U44-1,""))</f>
        <v/>
      </c>
      <c r="M44" s="31" t="str">
        <f aca="false">IF($A44="","",IFERROR(('Market levels'!AA44/'Market levels'!V44)^(1/5)-1,""))</f>
        <v/>
      </c>
      <c r="N44" s="31" t="str">
        <f aca="false">IF($A44="","",IFERROR(('Market levels'!AG44/'Market levels'!AB44)^(1/5)-1,""))</f>
        <v/>
      </c>
      <c r="O44" s="31" t="str">
        <f aca="false">IF($A44="","",IFERROR('Market levels'!AH44/'Market levels'!AG44-1,""))</f>
        <v/>
      </c>
      <c r="P44" s="31" t="str">
        <f aca="false">IF($A44="","",IFERROR(('Market levels'!AM44/'Market levels'!AH44)^(1/5)-1,""))</f>
        <v/>
      </c>
      <c r="Q44" s="29"/>
      <c r="R44" s="33"/>
      <c r="S44" s="33"/>
      <c r="T44" s="33"/>
      <c r="U44" s="33"/>
      <c r="V44" s="33"/>
      <c r="W44" s="17"/>
      <c r="X44" s="17"/>
      <c r="Y44" s="17"/>
      <c r="Z44" s="17"/>
    </row>
    <row r="45" customFormat="false" ht="15" hidden="false" customHeight="false" outlineLevel="0" collapsed="false">
      <c r="A45" s="14"/>
      <c r="B45" s="14"/>
      <c r="C45" s="14"/>
      <c r="D45" s="14"/>
      <c r="E45" s="29"/>
      <c r="F45" s="30" t="str">
        <f aca="false">IF($A45="","",'Market levels'!I45)</f>
        <v/>
      </c>
      <c r="G45" s="31" t="str">
        <f aca="false">IF($A45="","",IFERROR(('Market levels'!I45/'Market levels'!D45)^(1/5)-1,""))</f>
        <v/>
      </c>
      <c r="H45" s="31" t="str">
        <f aca="false">IF($A45="","",IFERROR('Market levels'!J45/'Market levels'!I45-1,""))</f>
        <v/>
      </c>
      <c r="I45" s="31" t="str">
        <f aca="false">IF($A45="","",IFERROR(('Market levels'!O45/'Market levels'!J45)^(1/5)-1,""))</f>
        <v/>
      </c>
      <c r="J45" s="32" t="str">
        <f aca="false">IF($A45="","",IFERROR('Market levels'!U45/'Market levels'!I45,""))</f>
        <v/>
      </c>
      <c r="K45" s="31" t="str">
        <f aca="false">IF($A45="","",IFERROR(('Market levels'!U45/'Market levels'!P45)^(1/5)-1,""))</f>
        <v/>
      </c>
      <c r="L45" s="31" t="str">
        <f aca="false">IF($A45="","",IFERROR('Market levels'!V45/'Market levels'!U45-1,""))</f>
        <v/>
      </c>
      <c r="M45" s="31" t="str">
        <f aca="false">IF($A45="","",IFERROR(('Market levels'!AA45/'Market levels'!V45)^(1/5)-1,""))</f>
        <v/>
      </c>
      <c r="N45" s="31" t="str">
        <f aca="false">IF($A45="","",IFERROR(('Market levels'!AG45/'Market levels'!AB45)^(1/5)-1,""))</f>
        <v/>
      </c>
      <c r="O45" s="31" t="str">
        <f aca="false">IF($A45="","",IFERROR('Market levels'!AH45/'Market levels'!AG45-1,""))</f>
        <v/>
      </c>
      <c r="P45" s="31" t="str">
        <f aca="false">IF($A45="","",IFERROR(('Market levels'!AM45/'Market levels'!AH45)^(1/5)-1,""))</f>
        <v/>
      </c>
      <c r="Q45" s="29"/>
      <c r="R45" s="33"/>
      <c r="S45" s="33"/>
      <c r="T45" s="33"/>
      <c r="U45" s="33"/>
      <c r="V45" s="33"/>
      <c r="W45" s="17"/>
      <c r="X45" s="17"/>
      <c r="Y45" s="17"/>
      <c r="Z45" s="17"/>
    </row>
    <row r="46" customFormat="false" ht="15" hidden="false" customHeight="false" outlineLevel="0" collapsed="false">
      <c r="A46" s="14"/>
      <c r="B46" s="14"/>
      <c r="C46" s="14"/>
      <c r="D46" s="14"/>
      <c r="E46" s="29"/>
      <c r="F46" s="30" t="str">
        <f aca="false">IF($A46="","",'Market levels'!I46)</f>
        <v/>
      </c>
      <c r="G46" s="31" t="str">
        <f aca="false">IF($A46="","",IFERROR(('Market levels'!I46/'Market levels'!D46)^(1/5)-1,""))</f>
        <v/>
      </c>
      <c r="H46" s="31" t="str">
        <f aca="false">IF($A46="","",IFERROR('Market levels'!J46/'Market levels'!I46-1,""))</f>
        <v/>
      </c>
      <c r="I46" s="31" t="str">
        <f aca="false">IF($A46="","",IFERROR(('Market levels'!O46/'Market levels'!J46)^(1/5)-1,""))</f>
        <v/>
      </c>
      <c r="J46" s="32" t="str">
        <f aca="false">IF($A46="","",IFERROR('Market levels'!U46/'Market levels'!I46,""))</f>
        <v/>
      </c>
      <c r="K46" s="31" t="str">
        <f aca="false">IF($A46="","",IFERROR(('Market levels'!U46/'Market levels'!P46)^(1/5)-1,""))</f>
        <v/>
      </c>
      <c r="L46" s="31" t="str">
        <f aca="false">IF($A46="","",IFERROR('Market levels'!V46/'Market levels'!U46-1,""))</f>
        <v/>
      </c>
      <c r="M46" s="31" t="str">
        <f aca="false">IF($A46="","",IFERROR(('Market levels'!AA46/'Market levels'!V46)^(1/5)-1,""))</f>
        <v/>
      </c>
      <c r="N46" s="31" t="str">
        <f aca="false">IF($A46="","",IFERROR(('Market levels'!AG46/'Market levels'!AB46)^(1/5)-1,""))</f>
        <v/>
      </c>
      <c r="O46" s="31" t="str">
        <f aca="false">IF($A46="","",IFERROR('Market levels'!AH46/'Market levels'!AG46-1,""))</f>
        <v/>
      </c>
      <c r="P46" s="31" t="str">
        <f aca="false">IF($A46="","",IFERROR(('Market levels'!AM46/'Market levels'!AH46)^(1/5)-1,""))</f>
        <v/>
      </c>
      <c r="Q46" s="29"/>
      <c r="R46" s="33"/>
      <c r="S46" s="33"/>
      <c r="T46" s="33"/>
      <c r="U46" s="33"/>
      <c r="V46" s="33"/>
      <c r="W46" s="17"/>
      <c r="X46" s="17"/>
      <c r="Y46" s="17"/>
      <c r="Z46" s="17"/>
    </row>
    <row r="47" customFormat="false" ht="15" hidden="false" customHeight="false" outlineLevel="0" collapsed="false">
      <c r="A47" s="14"/>
      <c r="B47" s="14"/>
      <c r="C47" s="14"/>
      <c r="D47" s="14"/>
      <c r="E47" s="29"/>
      <c r="F47" s="30" t="str">
        <f aca="false">IF($A47="","",'Market levels'!I47)</f>
        <v/>
      </c>
      <c r="G47" s="31" t="str">
        <f aca="false">IF($A47="","",IFERROR(('Market levels'!I47/'Market levels'!D47)^(1/5)-1,""))</f>
        <v/>
      </c>
      <c r="H47" s="31" t="str">
        <f aca="false">IF($A47="","",IFERROR('Market levels'!J47/'Market levels'!I47-1,""))</f>
        <v/>
      </c>
      <c r="I47" s="31" t="str">
        <f aca="false">IF($A47="","",IFERROR(('Market levels'!O47/'Market levels'!J47)^(1/5)-1,""))</f>
        <v/>
      </c>
      <c r="J47" s="32" t="str">
        <f aca="false">IF($A47="","",IFERROR('Market levels'!U47/'Market levels'!I47,""))</f>
        <v/>
      </c>
      <c r="K47" s="31" t="str">
        <f aca="false">IF($A47="","",IFERROR(('Market levels'!U47/'Market levels'!P47)^(1/5)-1,""))</f>
        <v/>
      </c>
      <c r="L47" s="31" t="str">
        <f aca="false">IF($A47="","",IFERROR('Market levels'!V47/'Market levels'!U47-1,""))</f>
        <v/>
      </c>
      <c r="M47" s="31" t="str">
        <f aca="false">IF($A47="","",IFERROR(('Market levels'!AA47/'Market levels'!V47)^(1/5)-1,""))</f>
        <v/>
      </c>
      <c r="N47" s="31" t="str">
        <f aca="false">IF($A47="","",IFERROR(('Market levels'!AG47/'Market levels'!AB47)^(1/5)-1,""))</f>
        <v/>
      </c>
      <c r="O47" s="31" t="str">
        <f aca="false">IF($A47="","",IFERROR('Market levels'!AH47/'Market levels'!AG47-1,""))</f>
        <v/>
      </c>
      <c r="P47" s="31" t="str">
        <f aca="false">IF($A47="","",IFERROR(('Market levels'!AM47/'Market levels'!AH47)^(1/5)-1,""))</f>
        <v/>
      </c>
      <c r="Q47" s="29"/>
      <c r="R47" s="33"/>
      <c r="S47" s="33"/>
      <c r="T47" s="33"/>
      <c r="U47" s="33"/>
      <c r="V47" s="33"/>
      <c r="W47" s="17"/>
      <c r="X47" s="17"/>
      <c r="Y47" s="17"/>
      <c r="Z47" s="17"/>
    </row>
    <row r="48" customFormat="false" ht="15" hidden="false" customHeight="false" outlineLevel="0" collapsed="false">
      <c r="A48" s="14"/>
      <c r="B48" s="14"/>
      <c r="C48" s="14"/>
      <c r="D48" s="14"/>
      <c r="E48" s="29"/>
      <c r="F48" s="30" t="str">
        <f aca="false">IF($A48="","",'Market levels'!I48)</f>
        <v/>
      </c>
      <c r="G48" s="31" t="str">
        <f aca="false">IF($A48="","",IFERROR(('Market levels'!I48/'Market levels'!D48)^(1/5)-1,""))</f>
        <v/>
      </c>
      <c r="H48" s="31" t="str">
        <f aca="false">IF($A48="","",IFERROR('Market levels'!J48/'Market levels'!I48-1,""))</f>
        <v/>
      </c>
      <c r="I48" s="31" t="str">
        <f aca="false">IF($A48="","",IFERROR(('Market levels'!O48/'Market levels'!J48)^(1/5)-1,""))</f>
        <v/>
      </c>
      <c r="J48" s="32" t="str">
        <f aca="false">IF($A48="","",IFERROR('Market levels'!U48/'Market levels'!I48,""))</f>
        <v/>
      </c>
      <c r="K48" s="31" t="str">
        <f aca="false">IF($A48="","",IFERROR(('Market levels'!U48/'Market levels'!P48)^(1/5)-1,""))</f>
        <v/>
      </c>
      <c r="L48" s="31" t="str">
        <f aca="false">IF($A48="","",IFERROR('Market levels'!V48/'Market levels'!U48-1,""))</f>
        <v/>
      </c>
      <c r="M48" s="31" t="str">
        <f aca="false">IF($A48="","",IFERROR(('Market levels'!AA48/'Market levels'!V48)^(1/5)-1,""))</f>
        <v/>
      </c>
      <c r="N48" s="31" t="str">
        <f aca="false">IF($A48="","",IFERROR(('Market levels'!AG48/'Market levels'!AB48)^(1/5)-1,""))</f>
        <v/>
      </c>
      <c r="O48" s="31" t="str">
        <f aca="false">IF($A48="","",IFERROR('Market levels'!AH48/'Market levels'!AG48-1,""))</f>
        <v/>
      </c>
      <c r="P48" s="31" t="str">
        <f aca="false">IF($A48="","",IFERROR(('Market levels'!AM48/'Market levels'!AH48)^(1/5)-1,""))</f>
        <v/>
      </c>
      <c r="Q48" s="29"/>
      <c r="R48" s="33"/>
      <c r="S48" s="33"/>
      <c r="T48" s="33"/>
      <c r="U48" s="33"/>
      <c r="V48" s="33"/>
      <c r="W48" s="17"/>
      <c r="X48" s="17"/>
      <c r="Y48" s="17"/>
      <c r="Z48" s="17"/>
    </row>
    <row r="49" customFormat="false" ht="15" hidden="false" customHeight="false" outlineLevel="0" collapsed="false">
      <c r="A49" s="14"/>
      <c r="B49" s="14"/>
      <c r="C49" s="14"/>
      <c r="D49" s="14"/>
      <c r="E49" s="29"/>
      <c r="F49" s="30" t="str">
        <f aca="false">IF($A49="","",'Market levels'!I49)</f>
        <v/>
      </c>
      <c r="G49" s="31" t="str">
        <f aca="false">IF($A49="","",IFERROR(('Market levels'!I49/'Market levels'!D49)^(1/5)-1,""))</f>
        <v/>
      </c>
      <c r="H49" s="31" t="str">
        <f aca="false">IF($A49="","",IFERROR('Market levels'!J49/'Market levels'!I49-1,""))</f>
        <v/>
      </c>
      <c r="I49" s="31" t="str">
        <f aca="false">IF($A49="","",IFERROR(('Market levels'!O49/'Market levels'!J49)^(1/5)-1,""))</f>
        <v/>
      </c>
      <c r="J49" s="32" t="str">
        <f aca="false">IF($A49="","",IFERROR('Market levels'!U49/'Market levels'!I49,""))</f>
        <v/>
      </c>
      <c r="K49" s="31" t="str">
        <f aca="false">IF($A49="","",IFERROR(('Market levels'!U49/'Market levels'!P49)^(1/5)-1,""))</f>
        <v/>
      </c>
      <c r="L49" s="31" t="str">
        <f aca="false">IF($A49="","",IFERROR('Market levels'!V49/'Market levels'!U49-1,""))</f>
        <v/>
      </c>
      <c r="M49" s="31" t="str">
        <f aca="false">IF($A49="","",IFERROR(('Market levels'!AA49/'Market levels'!V49)^(1/5)-1,""))</f>
        <v/>
      </c>
      <c r="N49" s="31" t="str">
        <f aca="false">IF($A49="","",IFERROR(('Market levels'!AG49/'Market levels'!AB49)^(1/5)-1,""))</f>
        <v/>
      </c>
      <c r="O49" s="31" t="str">
        <f aca="false">IF($A49="","",IFERROR('Market levels'!AH49/'Market levels'!AG49-1,""))</f>
        <v/>
      </c>
      <c r="P49" s="31" t="str">
        <f aca="false">IF($A49="","",IFERROR(('Market levels'!AM49/'Market levels'!AH49)^(1/5)-1,""))</f>
        <v/>
      </c>
      <c r="Q49" s="29"/>
      <c r="R49" s="33"/>
      <c r="S49" s="33"/>
      <c r="T49" s="33"/>
      <c r="U49" s="33"/>
      <c r="V49" s="33"/>
      <c r="W49" s="17"/>
      <c r="X49" s="17"/>
      <c r="Y49" s="17"/>
      <c r="Z49" s="17"/>
    </row>
    <row r="50" customFormat="false" ht="15" hidden="false" customHeight="false" outlineLevel="0" collapsed="false">
      <c r="A50" s="14"/>
      <c r="B50" s="14"/>
      <c r="C50" s="14"/>
      <c r="D50" s="14"/>
      <c r="E50" s="29"/>
      <c r="F50" s="30" t="str">
        <f aca="false">IF($A50="","",'Market levels'!I50)</f>
        <v/>
      </c>
      <c r="G50" s="31" t="str">
        <f aca="false">IF($A50="","",IFERROR(('Market levels'!I50/'Market levels'!D50)^(1/5)-1,""))</f>
        <v/>
      </c>
      <c r="H50" s="31" t="str">
        <f aca="false">IF($A50="","",IFERROR('Market levels'!J50/'Market levels'!I50-1,""))</f>
        <v/>
      </c>
      <c r="I50" s="31" t="str">
        <f aca="false">IF($A50="","",IFERROR(('Market levels'!O50/'Market levels'!J50)^(1/5)-1,""))</f>
        <v/>
      </c>
      <c r="J50" s="32" t="str">
        <f aca="false">IF($A50="","",IFERROR('Market levels'!U50/'Market levels'!I50,""))</f>
        <v/>
      </c>
      <c r="K50" s="31" t="str">
        <f aca="false">IF($A50="","",IFERROR(('Market levels'!U50/'Market levels'!P50)^(1/5)-1,""))</f>
        <v/>
      </c>
      <c r="L50" s="31" t="str">
        <f aca="false">IF($A50="","",IFERROR('Market levels'!V50/'Market levels'!U50-1,""))</f>
        <v/>
      </c>
      <c r="M50" s="31" t="str">
        <f aca="false">IF($A50="","",IFERROR(('Market levels'!AA50/'Market levels'!V50)^(1/5)-1,""))</f>
        <v/>
      </c>
      <c r="N50" s="31" t="str">
        <f aca="false">IF($A50="","",IFERROR(('Market levels'!AG50/'Market levels'!AB50)^(1/5)-1,""))</f>
        <v/>
      </c>
      <c r="O50" s="31" t="str">
        <f aca="false">IF($A50="","",IFERROR('Market levels'!AH50/'Market levels'!AG50-1,""))</f>
        <v/>
      </c>
      <c r="P50" s="31" t="str">
        <f aca="false">IF($A50="","",IFERROR(('Market levels'!AM50/'Market levels'!AH50)^(1/5)-1,""))</f>
        <v/>
      </c>
      <c r="Q50" s="29"/>
      <c r="R50" s="33"/>
      <c r="S50" s="33"/>
      <c r="T50" s="33"/>
      <c r="U50" s="33"/>
      <c r="V50" s="33"/>
      <c r="W50" s="17"/>
      <c r="X50" s="17"/>
      <c r="Y50" s="17"/>
      <c r="Z50" s="17"/>
    </row>
    <row r="51" customFormat="false" ht="15" hidden="false" customHeight="false" outlineLevel="0" collapsed="false">
      <c r="A51" s="14"/>
      <c r="B51" s="14"/>
      <c r="C51" s="14"/>
      <c r="D51" s="14"/>
      <c r="E51" s="29"/>
      <c r="F51" s="30" t="str">
        <f aca="false">IF($A51="","",'Market levels'!I51)</f>
        <v/>
      </c>
      <c r="G51" s="31" t="str">
        <f aca="false">IF($A51="","",IFERROR(('Market levels'!I51/'Market levels'!D51)^(1/5)-1,""))</f>
        <v/>
      </c>
      <c r="H51" s="31" t="str">
        <f aca="false">IF($A51="","",IFERROR('Market levels'!J51/'Market levels'!I51-1,""))</f>
        <v/>
      </c>
      <c r="I51" s="31" t="str">
        <f aca="false">IF($A51="","",IFERROR(('Market levels'!O51/'Market levels'!J51)^(1/5)-1,""))</f>
        <v/>
      </c>
      <c r="J51" s="32" t="str">
        <f aca="false">IF($A51="","",IFERROR('Market levels'!U51/'Market levels'!I51,""))</f>
        <v/>
      </c>
      <c r="K51" s="31" t="str">
        <f aca="false">IF($A51="","",IFERROR(('Market levels'!U51/'Market levels'!P51)^(1/5)-1,""))</f>
        <v/>
      </c>
      <c r="L51" s="31" t="str">
        <f aca="false">IF($A51="","",IFERROR('Market levels'!V51/'Market levels'!U51-1,""))</f>
        <v/>
      </c>
      <c r="M51" s="31" t="str">
        <f aca="false">IF($A51="","",IFERROR(('Market levels'!AA51/'Market levels'!V51)^(1/5)-1,""))</f>
        <v/>
      </c>
      <c r="N51" s="31" t="str">
        <f aca="false">IF($A51="","",IFERROR(('Market levels'!AG51/'Market levels'!AB51)^(1/5)-1,""))</f>
        <v/>
      </c>
      <c r="O51" s="31" t="str">
        <f aca="false">IF($A51="","",IFERROR('Market levels'!AH51/'Market levels'!AG51-1,""))</f>
        <v/>
      </c>
      <c r="P51" s="31" t="str">
        <f aca="false">IF($A51="","",IFERROR(('Market levels'!AM51/'Market levels'!AH51)^(1/5)-1,""))</f>
        <v/>
      </c>
      <c r="Q51" s="29"/>
      <c r="R51" s="33"/>
      <c r="S51" s="33"/>
      <c r="T51" s="33"/>
      <c r="U51" s="33"/>
      <c r="V51" s="33"/>
      <c r="W51" s="17"/>
      <c r="X51" s="17"/>
      <c r="Y51" s="17"/>
      <c r="Z51" s="17"/>
    </row>
    <row r="52" customFormat="false" ht="15" hidden="false" customHeight="false" outlineLevel="0" collapsed="false">
      <c r="A52" s="14"/>
      <c r="B52" s="14"/>
      <c r="C52" s="14"/>
      <c r="D52" s="14"/>
      <c r="E52" s="29"/>
      <c r="F52" s="30" t="str">
        <f aca="false">IF($A52="","",'Market levels'!I52)</f>
        <v/>
      </c>
      <c r="G52" s="31" t="str">
        <f aca="false">IF($A52="","",IFERROR(('Market levels'!I52/'Market levels'!D52)^(1/5)-1,""))</f>
        <v/>
      </c>
      <c r="H52" s="31" t="str">
        <f aca="false">IF($A52="","",IFERROR('Market levels'!J52/'Market levels'!I52-1,""))</f>
        <v/>
      </c>
      <c r="I52" s="31" t="str">
        <f aca="false">IF($A52="","",IFERROR(('Market levels'!O52/'Market levels'!J52)^(1/5)-1,""))</f>
        <v/>
      </c>
      <c r="J52" s="32" t="str">
        <f aca="false">IF($A52="","",IFERROR('Market levels'!U52/'Market levels'!I52,""))</f>
        <v/>
      </c>
      <c r="K52" s="31" t="str">
        <f aca="false">IF($A52="","",IFERROR(('Market levels'!U52/'Market levels'!P52)^(1/5)-1,""))</f>
        <v/>
      </c>
      <c r="L52" s="31" t="str">
        <f aca="false">IF($A52="","",IFERROR('Market levels'!V52/'Market levels'!U52-1,""))</f>
        <v/>
      </c>
      <c r="M52" s="31" t="str">
        <f aca="false">IF($A52="","",IFERROR(('Market levels'!AA52/'Market levels'!V52)^(1/5)-1,""))</f>
        <v/>
      </c>
      <c r="N52" s="31" t="str">
        <f aca="false">IF($A52="","",IFERROR(('Market levels'!AG52/'Market levels'!AB52)^(1/5)-1,""))</f>
        <v/>
      </c>
      <c r="O52" s="31" t="str">
        <f aca="false">IF($A52="","",IFERROR('Market levels'!AH52/'Market levels'!AG52-1,""))</f>
        <v/>
      </c>
      <c r="P52" s="31" t="str">
        <f aca="false">IF($A52="","",IFERROR(('Market levels'!AM52/'Market levels'!AH52)^(1/5)-1,""))</f>
        <v/>
      </c>
      <c r="Q52" s="29"/>
      <c r="R52" s="33"/>
      <c r="S52" s="33"/>
      <c r="T52" s="33"/>
      <c r="U52" s="33"/>
      <c r="V52" s="33"/>
      <c r="W52" s="17"/>
      <c r="X52" s="17"/>
      <c r="Y52" s="17"/>
      <c r="Z52" s="17"/>
    </row>
    <row r="53" customFormat="false" ht="15" hidden="false" customHeight="false" outlineLevel="0" collapsed="false">
      <c r="A53" s="14"/>
      <c r="B53" s="14"/>
      <c r="C53" s="14"/>
      <c r="D53" s="14"/>
      <c r="E53" s="29"/>
      <c r="F53" s="30" t="str">
        <f aca="false">IF($A53="","",'Market levels'!I53)</f>
        <v/>
      </c>
      <c r="G53" s="31" t="str">
        <f aca="false">IF($A53="","",IFERROR(('Market levels'!I53/'Market levels'!D53)^(1/5)-1,""))</f>
        <v/>
      </c>
      <c r="H53" s="31" t="str">
        <f aca="false">IF($A53="","",IFERROR('Market levels'!J53/'Market levels'!I53-1,""))</f>
        <v/>
      </c>
      <c r="I53" s="31" t="str">
        <f aca="false">IF($A53="","",IFERROR(('Market levels'!O53/'Market levels'!J53)^(1/5)-1,""))</f>
        <v/>
      </c>
      <c r="J53" s="32" t="str">
        <f aca="false">IF($A53="","",IFERROR('Market levels'!U53/'Market levels'!I53,""))</f>
        <v/>
      </c>
      <c r="K53" s="31" t="str">
        <f aca="false">IF($A53="","",IFERROR(('Market levels'!U53/'Market levels'!P53)^(1/5)-1,""))</f>
        <v/>
      </c>
      <c r="L53" s="31" t="str">
        <f aca="false">IF($A53="","",IFERROR('Market levels'!V53/'Market levels'!U53-1,""))</f>
        <v/>
      </c>
      <c r="M53" s="31" t="str">
        <f aca="false">IF($A53="","",IFERROR(('Market levels'!AA53/'Market levels'!V53)^(1/5)-1,""))</f>
        <v/>
      </c>
      <c r="N53" s="31" t="str">
        <f aca="false">IF($A53="","",IFERROR(('Market levels'!AG53/'Market levels'!AB53)^(1/5)-1,""))</f>
        <v/>
      </c>
      <c r="O53" s="31" t="str">
        <f aca="false">IF($A53="","",IFERROR('Market levels'!AH53/'Market levels'!AG53-1,""))</f>
        <v/>
      </c>
      <c r="P53" s="31" t="str">
        <f aca="false">IF($A53="","",IFERROR(('Market levels'!AM53/'Market levels'!AH53)^(1/5)-1,""))</f>
        <v/>
      </c>
      <c r="Q53" s="29"/>
      <c r="R53" s="33"/>
      <c r="S53" s="33"/>
      <c r="T53" s="33"/>
      <c r="U53" s="33"/>
      <c r="V53" s="33"/>
      <c r="W53" s="17"/>
      <c r="X53" s="17"/>
      <c r="Y53" s="17"/>
      <c r="Z53" s="17"/>
    </row>
    <row r="54" customFormat="false" ht="15" hidden="false" customHeight="false" outlineLevel="0" collapsed="false">
      <c r="A54" s="14"/>
      <c r="B54" s="14"/>
      <c r="C54" s="14"/>
      <c r="D54" s="14"/>
      <c r="E54" s="29"/>
      <c r="F54" s="30" t="str">
        <f aca="false">IF($A54="","",'Market levels'!I54)</f>
        <v/>
      </c>
      <c r="G54" s="31" t="str">
        <f aca="false">IF($A54="","",IFERROR(('Market levels'!I54/'Market levels'!D54)^(1/5)-1,""))</f>
        <v/>
      </c>
      <c r="H54" s="31" t="str">
        <f aca="false">IF($A54="","",IFERROR('Market levels'!J54/'Market levels'!I54-1,""))</f>
        <v/>
      </c>
      <c r="I54" s="31" t="str">
        <f aca="false">IF($A54="","",IFERROR(('Market levels'!O54/'Market levels'!J54)^(1/5)-1,""))</f>
        <v/>
      </c>
      <c r="J54" s="32" t="str">
        <f aca="false">IF($A54="","",IFERROR('Market levels'!U54/'Market levels'!I54,""))</f>
        <v/>
      </c>
      <c r="K54" s="31" t="str">
        <f aca="false">IF($A54="","",IFERROR(('Market levels'!U54/'Market levels'!P54)^(1/5)-1,""))</f>
        <v/>
      </c>
      <c r="L54" s="31" t="str">
        <f aca="false">IF($A54="","",IFERROR('Market levels'!V54/'Market levels'!U54-1,""))</f>
        <v/>
      </c>
      <c r="M54" s="31" t="str">
        <f aca="false">IF($A54="","",IFERROR(('Market levels'!AA54/'Market levels'!V54)^(1/5)-1,""))</f>
        <v/>
      </c>
      <c r="N54" s="31" t="str">
        <f aca="false">IF($A54="","",IFERROR(('Market levels'!AG54/'Market levels'!AB54)^(1/5)-1,""))</f>
        <v/>
      </c>
      <c r="O54" s="31" t="str">
        <f aca="false">IF($A54="","",IFERROR('Market levels'!AH54/'Market levels'!AG54-1,""))</f>
        <v/>
      </c>
      <c r="P54" s="31" t="str">
        <f aca="false">IF($A54="","",IFERROR(('Market levels'!AM54/'Market levels'!AH54)^(1/5)-1,""))</f>
        <v/>
      </c>
      <c r="Q54" s="29"/>
      <c r="R54" s="33"/>
      <c r="S54" s="33"/>
      <c r="T54" s="33"/>
      <c r="U54" s="33"/>
      <c r="V54" s="33"/>
      <c r="W54" s="17"/>
      <c r="X54" s="17"/>
      <c r="Y54" s="17"/>
      <c r="Z54" s="17"/>
    </row>
    <row r="55" customFormat="false" ht="15" hidden="false" customHeight="false" outlineLevel="0" collapsed="false">
      <c r="A55" s="14"/>
      <c r="B55" s="14"/>
      <c r="C55" s="14"/>
      <c r="D55" s="14"/>
      <c r="E55" s="29"/>
      <c r="F55" s="30" t="str">
        <f aca="false">IF($A55="","",'Market levels'!I55)</f>
        <v/>
      </c>
      <c r="G55" s="31" t="str">
        <f aca="false">IF($A55="","",IFERROR(('Market levels'!I55/'Market levels'!D55)^(1/5)-1,""))</f>
        <v/>
      </c>
      <c r="H55" s="31" t="str">
        <f aca="false">IF($A55="","",IFERROR('Market levels'!J55/'Market levels'!I55-1,""))</f>
        <v/>
      </c>
      <c r="I55" s="31" t="str">
        <f aca="false">IF($A55="","",IFERROR(('Market levels'!O55/'Market levels'!J55)^(1/5)-1,""))</f>
        <v/>
      </c>
      <c r="J55" s="32" t="str">
        <f aca="false">IF($A55="","",IFERROR('Market levels'!U55/'Market levels'!I55,""))</f>
        <v/>
      </c>
      <c r="K55" s="31" t="str">
        <f aca="false">IF($A55="","",IFERROR(('Market levels'!U55/'Market levels'!P55)^(1/5)-1,""))</f>
        <v/>
      </c>
      <c r="L55" s="31" t="str">
        <f aca="false">IF($A55="","",IFERROR('Market levels'!V55/'Market levels'!U55-1,""))</f>
        <v/>
      </c>
      <c r="M55" s="31" t="str">
        <f aca="false">IF($A55="","",IFERROR(('Market levels'!AA55/'Market levels'!V55)^(1/5)-1,""))</f>
        <v/>
      </c>
      <c r="N55" s="31" t="str">
        <f aca="false">IF($A55="","",IFERROR(('Market levels'!AG55/'Market levels'!AB55)^(1/5)-1,""))</f>
        <v/>
      </c>
      <c r="O55" s="31" t="str">
        <f aca="false">IF($A55="","",IFERROR('Market levels'!AH55/'Market levels'!AG55-1,""))</f>
        <v/>
      </c>
      <c r="P55" s="31" t="str">
        <f aca="false">IF($A55="","",IFERROR(('Market levels'!AM55/'Market levels'!AH55)^(1/5)-1,""))</f>
        <v/>
      </c>
      <c r="Q55" s="29"/>
      <c r="R55" s="33"/>
      <c r="S55" s="33"/>
      <c r="T55" s="33"/>
      <c r="U55" s="33"/>
      <c r="V55" s="33"/>
      <c r="W55" s="17"/>
      <c r="X55" s="17"/>
      <c r="Y55" s="17"/>
      <c r="Z55" s="17"/>
    </row>
    <row r="56" customFormat="false" ht="15" hidden="false" customHeight="false" outlineLevel="0" collapsed="false">
      <c r="A56" s="14"/>
      <c r="B56" s="14"/>
      <c r="C56" s="14"/>
      <c r="D56" s="14"/>
      <c r="E56" s="29"/>
      <c r="F56" s="30" t="str">
        <f aca="false">IF($A56="","",'Market levels'!I56)</f>
        <v/>
      </c>
      <c r="G56" s="31" t="str">
        <f aca="false">IF($A56="","",IFERROR(('Market levels'!I56/'Market levels'!D56)^(1/5)-1,""))</f>
        <v/>
      </c>
      <c r="H56" s="31" t="str">
        <f aca="false">IF($A56="","",IFERROR('Market levels'!J56/'Market levels'!I56-1,""))</f>
        <v/>
      </c>
      <c r="I56" s="31" t="str">
        <f aca="false">IF($A56="","",IFERROR(('Market levels'!O56/'Market levels'!J56)^(1/5)-1,""))</f>
        <v/>
      </c>
      <c r="J56" s="32" t="str">
        <f aca="false">IF($A56="","",IFERROR('Market levels'!U56/'Market levels'!I56,""))</f>
        <v/>
      </c>
      <c r="K56" s="31" t="str">
        <f aca="false">IF($A56="","",IFERROR(('Market levels'!U56/'Market levels'!P56)^(1/5)-1,""))</f>
        <v/>
      </c>
      <c r="L56" s="31" t="str">
        <f aca="false">IF($A56="","",IFERROR('Market levels'!V56/'Market levels'!U56-1,""))</f>
        <v/>
      </c>
      <c r="M56" s="31" t="str">
        <f aca="false">IF($A56="","",IFERROR(('Market levels'!AA56/'Market levels'!V56)^(1/5)-1,""))</f>
        <v/>
      </c>
      <c r="N56" s="31" t="str">
        <f aca="false">IF($A56="","",IFERROR(('Market levels'!AG56/'Market levels'!AB56)^(1/5)-1,""))</f>
        <v/>
      </c>
      <c r="O56" s="31" t="str">
        <f aca="false">IF($A56="","",IFERROR('Market levels'!AH56/'Market levels'!AG56-1,""))</f>
        <v/>
      </c>
      <c r="P56" s="31" t="str">
        <f aca="false">IF($A56="","",IFERROR(('Market levels'!AM56/'Market levels'!AH56)^(1/5)-1,""))</f>
        <v/>
      </c>
      <c r="Q56" s="29"/>
      <c r="R56" s="33"/>
      <c r="S56" s="33"/>
      <c r="T56" s="33"/>
      <c r="U56" s="33"/>
      <c r="V56" s="33"/>
      <c r="W56" s="17"/>
      <c r="X56" s="17"/>
      <c r="Y56" s="17"/>
      <c r="Z56" s="17"/>
    </row>
    <row r="57" customFormat="false" ht="15" hidden="false" customHeight="false" outlineLevel="0" collapsed="false">
      <c r="A57" s="14"/>
      <c r="B57" s="14"/>
      <c r="C57" s="14"/>
      <c r="D57" s="14"/>
      <c r="E57" s="29"/>
      <c r="F57" s="30" t="str">
        <f aca="false">IF($A57="","",'Market levels'!I57)</f>
        <v/>
      </c>
      <c r="G57" s="31" t="str">
        <f aca="false">IF($A57="","",IFERROR(('Market levels'!I57/'Market levels'!D57)^(1/5)-1,""))</f>
        <v/>
      </c>
      <c r="H57" s="31" t="str">
        <f aca="false">IF($A57="","",IFERROR('Market levels'!J57/'Market levels'!I57-1,""))</f>
        <v/>
      </c>
      <c r="I57" s="31" t="str">
        <f aca="false">IF($A57="","",IFERROR(('Market levels'!O57/'Market levels'!J57)^(1/5)-1,""))</f>
        <v/>
      </c>
      <c r="J57" s="32" t="str">
        <f aca="false">IF($A57="","",IFERROR('Market levels'!U57/'Market levels'!I57,""))</f>
        <v/>
      </c>
      <c r="K57" s="31" t="str">
        <f aca="false">IF($A57="","",IFERROR(('Market levels'!U57/'Market levels'!P57)^(1/5)-1,""))</f>
        <v/>
      </c>
      <c r="L57" s="31" t="str">
        <f aca="false">IF($A57="","",IFERROR('Market levels'!V57/'Market levels'!U57-1,""))</f>
        <v/>
      </c>
      <c r="M57" s="31" t="str">
        <f aca="false">IF($A57="","",IFERROR(('Market levels'!AA57/'Market levels'!V57)^(1/5)-1,""))</f>
        <v/>
      </c>
      <c r="N57" s="31" t="str">
        <f aca="false">IF($A57="","",IFERROR(('Market levels'!AG57/'Market levels'!AB57)^(1/5)-1,""))</f>
        <v/>
      </c>
      <c r="O57" s="31" t="str">
        <f aca="false">IF($A57="","",IFERROR('Market levels'!AH57/'Market levels'!AG57-1,""))</f>
        <v/>
      </c>
      <c r="P57" s="31" t="str">
        <f aca="false">IF($A57="","",IFERROR(('Market levels'!AM57/'Market levels'!AH57)^(1/5)-1,""))</f>
        <v/>
      </c>
      <c r="Q57" s="29"/>
      <c r="R57" s="33"/>
      <c r="S57" s="33"/>
      <c r="T57" s="33"/>
      <c r="U57" s="33"/>
      <c r="V57" s="33"/>
      <c r="W57" s="17"/>
      <c r="X57" s="17"/>
      <c r="Y57" s="17"/>
      <c r="Z57" s="17"/>
    </row>
    <row r="58" customFormat="false" ht="15" hidden="false" customHeight="false" outlineLevel="0" collapsed="false">
      <c r="A58" s="14"/>
      <c r="B58" s="14"/>
      <c r="C58" s="14"/>
      <c r="D58" s="14"/>
      <c r="E58" s="29"/>
      <c r="F58" s="30" t="str">
        <f aca="false">IF($A58="","",'Market levels'!I58)</f>
        <v/>
      </c>
      <c r="G58" s="31" t="str">
        <f aca="false">IF($A58="","",IFERROR(('Market levels'!I58/'Market levels'!D58)^(1/5)-1,""))</f>
        <v/>
      </c>
      <c r="H58" s="31" t="str">
        <f aca="false">IF($A58="","",IFERROR('Market levels'!J58/'Market levels'!I58-1,""))</f>
        <v/>
      </c>
      <c r="I58" s="31" t="str">
        <f aca="false">IF($A58="","",IFERROR(('Market levels'!O58/'Market levels'!J58)^(1/5)-1,""))</f>
        <v/>
      </c>
      <c r="J58" s="32" t="str">
        <f aca="false">IF($A58="","",IFERROR('Market levels'!U58/'Market levels'!I58,""))</f>
        <v/>
      </c>
      <c r="K58" s="31" t="str">
        <f aca="false">IF($A58="","",IFERROR(('Market levels'!U58/'Market levels'!P58)^(1/5)-1,""))</f>
        <v/>
      </c>
      <c r="L58" s="31" t="str">
        <f aca="false">IF($A58="","",IFERROR('Market levels'!V58/'Market levels'!U58-1,""))</f>
        <v/>
      </c>
      <c r="M58" s="31" t="str">
        <f aca="false">IF($A58="","",IFERROR(('Market levels'!AA58/'Market levels'!V58)^(1/5)-1,""))</f>
        <v/>
      </c>
      <c r="N58" s="31" t="str">
        <f aca="false">IF($A58="","",IFERROR(('Market levels'!AG58/'Market levels'!AB58)^(1/5)-1,""))</f>
        <v/>
      </c>
      <c r="O58" s="31" t="str">
        <f aca="false">IF($A58="","",IFERROR('Market levels'!AH58/'Market levels'!AG58-1,""))</f>
        <v/>
      </c>
      <c r="P58" s="31" t="str">
        <f aca="false">IF($A58="","",IFERROR(('Market levels'!AM58/'Market levels'!AH58)^(1/5)-1,""))</f>
        <v/>
      </c>
      <c r="Q58" s="29"/>
      <c r="R58" s="33"/>
      <c r="S58" s="33"/>
      <c r="T58" s="33"/>
      <c r="U58" s="33"/>
      <c r="V58" s="33"/>
      <c r="W58" s="17"/>
      <c r="X58" s="17"/>
      <c r="Y58" s="17"/>
      <c r="Z58" s="17"/>
    </row>
    <row r="59" customFormat="false" ht="15" hidden="false" customHeight="false" outlineLevel="0" collapsed="false">
      <c r="A59" s="14"/>
      <c r="B59" s="14"/>
      <c r="C59" s="14"/>
      <c r="D59" s="14"/>
      <c r="E59" s="29"/>
      <c r="F59" s="30" t="str">
        <f aca="false">IF($A59="","",'Market levels'!I59)</f>
        <v/>
      </c>
      <c r="G59" s="31" t="str">
        <f aca="false">IF($A59="","",IFERROR(('Market levels'!I59/'Market levels'!D59)^(1/5)-1,""))</f>
        <v/>
      </c>
      <c r="H59" s="31" t="str">
        <f aca="false">IF($A59="","",IFERROR('Market levels'!J59/'Market levels'!I59-1,""))</f>
        <v/>
      </c>
      <c r="I59" s="31" t="str">
        <f aca="false">IF($A59="","",IFERROR(('Market levels'!O59/'Market levels'!J59)^(1/5)-1,""))</f>
        <v/>
      </c>
      <c r="J59" s="32" t="str">
        <f aca="false">IF($A59="","",IFERROR('Market levels'!U59/'Market levels'!I59,""))</f>
        <v/>
      </c>
      <c r="K59" s="31" t="str">
        <f aca="false">IF($A59="","",IFERROR(('Market levels'!U59/'Market levels'!P59)^(1/5)-1,""))</f>
        <v/>
      </c>
      <c r="L59" s="31" t="str">
        <f aca="false">IF($A59="","",IFERROR('Market levels'!V59/'Market levels'!U59-1,""))</f>
        <v/>
      </c>
      <c r="M59" s="31" t="str">
        <f aca="false">IF($A59="","",IFERROR(('Market levels'!AA59/'Market levels'!V59)^(1/5)-1,""))</f>
        <v/>
      </c>
      <c r="N59" s="31" t="str">
        <f aca="false">IF($A59="","",IFERROR(('Market levels'!AG59/'Market levels'!AB59)^(1/5)-1,""))</f>
        <v/>
      </c>
      <c r="O59" s="31" t="str">
        <f aca="false">IF($A59="","",IFERROR('Market levels'!AH59/'Market levels'!AG59-1,""))</f>
        <v/>
      </c>
      <c r="P59" s="31" t="str">
        <f aca="false">IF($A59="","",IFERROR(('Market levels'!AM59/'Market levels'!AH59)^(1/5)-1,""))</f>
        <v/>
      </c>
      <c r="Q59" s="29"/>
      <c r="R59" s="33"/>
      <c r="S59" s="33"/>
      <c r="T59" s="33"/>
      <c r="U59" s="33"/>
      <c r="V59" s="33"/>
      <c r="W59" s="17"/>
      <c r="X59" s="17"/>
      <c r="Y59" s="17"/>
      <c r="Z59" s="17"/>
    </row>
    <row r="60" customFormat="false" ht="15" hidden="false" customHeight="false" outlineLevel="0" collapsed="false">
      <c r="A60" s="14"/>
      <c r="B60" s="14"/>
      <c r="C60" s="14"/>
      <c r="D60" s="14"/>
      <c r="E60" s="29"/>
      <c r="F60" s="30" t="str">
        <f aca="false">IF($A60="","",'Market levels'!I60)</f>
        <v/>
      </c>
      <c r="G60" s="31" t="str">
        <f aca="false">IF($A60="","",IFERROR(('Market levels'!I60/'Market levels'!D60)^(1/5)-1,""))</f>
        <v/>
      </c>
      <c r="H60" s="31" t="str">
        <f aca="false">IF($A60="","",IFERROR('Market levels'!J60/'Market levels'!I60-1,""))</f>
        <v/>
      </c>
      <c r="I60" s="31" t="str">
        <f aca="false">IF($A60="","",IFERROR(('Market levels'!O60/'Market levels'!J60)^(1/5)-1,""))</f>
        <v/>
      </c>
      <c r="J60" s="32" t="str">
        <f aca="false">IF($A60="","",IFERROR('Market levels'!U60/'Market levels'!I60,""))</f>
        <v/>
      </c>
      <c r="K60" s="31" t="str">
        <f aca="false">IF($A60="","",IFERROR(('Market levels'!U60/'Market levels'!P60)^(1/5)-1,""))</f>
        <v/>
      </c>
      <c r="L60" s="31" t="str">
        <f aca="false">IF($A60="","",IFERROR('Market levels'!V60/'Market levels'!U60-1,""))</f>
        <v/>
      </c>
      <c r="M60" s="31" t="str">
        <f aca="false">IF($A60="","",IFERROR(('Market levels'!AA60/'Market levels'!V60)^(1/5)-1,""))</f>
        <v/>
      </c>
      <c r="N60" s="31" t="str">
        <f aca="false">IF($A60="","",IFERROR(('Market levels'!AG60/'Market levels'!AB60)^(1/5)-1,""))</f>
        <v/>
      </c>
      <c r="O60" s="31" t="str">
        <f aca="false">IF($A60="","",IFERROR('Market levels'!AH60/'Market levels'!AG60-1,""))</f>
        <v/>
      </c>
      <c r="P60" s="31" t="str">
        <f aca="false">IF($A60="","",IFERROR(('Market levels'!AM60/'Market levels'!AH60)^(1/5)-1,""))</f>
        <v/>
      </c>
      <c r="Q60" s="29"/>
      <c r="R60" s="33"/>
      <c r="S60" s="33"/>
      <c r="T60" s="33"/>
      <c r="U60" s="33"/>
      <c r="V60" s="33"/>
      <c r="W60" s="17"/>
      <c r="X60" s="17"/>
      <c r="Y60" s="17"/>
      <c r="Z60" s="17"/>
    </row>
    <row r="61" customFormat="false" ht="15" hidden="false" customHeight="false" outlineLevel="0" collapsed="false">
      <c r="A61" s="14"/>
      <c r="B61" s="14"/>
      <c r="C61" s="14"/>
      <c r="D61" s="14"/>
      <c r="E61" s="29"/>
      <c r="F61" s="30" t="str">
        <f aca="false">IF($A61="","",'Market levels'!I61)</f>
        <v/>
      </c>
      <c r="G61" s="31" t="str">
        <f aca="false">IF($A61="","",IFERROR(('Market levels'!I61/'Market levels'!D61)^(1/5)-1,""))</f>
        <v/>
      </c>
      <c r="H61" s="31" t="str">
        <f aca="false">IF($A61="","",IFERROR('Market levels'!J61/'Market levels'!I61-1,""))</f>
        <v/>
      </c>
      <c r="I61" s="31" t="str">
        <f aca="false">IF($A61="","",IFERROR(('Market levels'!O61/'Market levels'!J61)^(1/5)-1,""))</f>
        <v/>
      </c>
      <c r="J61" s="32" t="str">
        <f aca="false">IF($A61="","",IFERROR('Market levels'!U61/'Market levels'!I61,""))</f>
        <v/>
      </c>
      <c r="K61" s="31" t="str">
        <f aca="false">IF($A61="","",IFERROR(('Market levels'!U61/'Market levels'!P61)^(1/5)-1,""))</f>
        <v/>
      </c>
      <c r="L61" s="31" t="str">
        <f aca="false">IF($A61="","",IFERROR('Market levels'!V61/'Market levels'!U61-1,""))</f>
        <v/>
      </c>
      <c r="M61" s="31" t="str">
        <f aca="false">IF($A61="","",IFERROR(('Market levels'!AA61/'Market levels'!V61)^(1/5)-1,""))</f>
        <v/>
      </c>
      <c r="N61" s="31" t="str">
        <f aca="false">IF($A61="","",IFERROR(('Market levels'!AG61/'Market levels'!AB61)^(1/5)-1,""))</f>
        <v/>
      </c>
      <c r="O61" s="31" t="str">
        <f aca="false">IF($A61="","",IFERROR('Market levels'!AH61/'Market levels'!AG61-1,""))</f>
        <v/>
      </c>
      <c r="P61" s="31" t="str">
        <f aca="false">IF($A61="","",IFERROR(('Market levels'!AM61/'Market levels'!AH61)^(1/5)-1,""))</f>
        <v/>
      </c>
      <c r="Q61" s="29"/>
      <c r="R61" s="33"/>
      <c r="S61" s="33"/>
      <c r="T61" s="33"/>
      <c r="U61" s="33"/>
      <c r="V61" s="33"/>
      <c r="W61" s="17"/>
      <c r="X61" s="17"/>
      <c r="Y61" s="17"/>
      <c r="Z61" s="17"/>
    </row>
    <row r="62" customFormat="false" ht="15" hidden="false" customHeight="false" outlineLevel="0" collapsed="false">
      <c r="A62" s="14"/>
      <c r="B62" s="14"/>
      <c r="C62" s="14"/>
      <c r="D62" s="14"/>
      <c r="E62" s="29"/>
      <c r="F62" s="30" t="str">
        <f aca="false">IF($A62="","",'Market levels'!I62)</f>
        <v/>
      </c>
      <c r="G62" s="31" t="str">
        <f aca="false">IF($A62="","",IFERROR(('Market levels'!I62/'Market levels'!D62)^(1/5)-1,""))</f>
        <v/>
      </c>
      <c r="H62" s="31" t="str">
        <f aca="false">IF($A62="","",IFERROR('Market levels'!J62/'Market levels'!I62-1,""))</f>
        <v/>
      </c>
      <c r="I62" s="31" t="str">
        <f aca="false">IF($A62="","",IFERROR(('Market levels'!O62/'Market levels'!J62)^(1/5)-1,""))</f>
        <v/>
      </c>
      <c r="J62" s="32" t="str">
        <f aca="false">IF($A62="","",IFERROR('Market levels'!U62/'Market levels'!I62,""))</f>
        <v/>
      </c>
      <c r="K62" s="31" t="str">
        <f aca="false">IF($A62="","",IFERROR(('Market levels'!U62/'Market levels'!P62)^(1/5)-1,""))</f>
        <v/>
      </c>
      <c r="L62" s="31" t="str">
        <f aca="false">IF($A62="","",IFERROR('Market levels'!V62/'Market levels'!U62-1,""))</f>
        <v/>
      </c>
      <c r="M62" s="31" t="str">
        <f aca="false">IF($A62="","",IFERROR(('Market levels'!AA62/'Market levels'!V62)^(1/5)-1,""))</f>
        <v/>
      </c>
      <c r="N62" s="31" t="str">
        <f aca="false">IF($A62="","",IFERROR(('Market levels'!AG62/'Market levels'!AB62)^(1/5)-1,""))</f>
        <v/>
      </c>
      <c r="O62" s="31" t="str">
        <f aca="false">IF($A62="","",IFERROR('Market levels'!AH62/'Market levels'!AG62-1,""))</f>
        <v/>
      </c>
      <c r="P62" s="31" t="str">
        <f aca="false">IF($A62="","",IFERROR(('Market levels'!AM62/'Market levels'!AH62)^(1/5)-1,""))</f>
        <v/>
      </c>
      <c r="Q62" s="29"/>
      <c r="R62" s="33"/>
      <c r="S62" s="33"/>
      <c r="T62" s="33"/>
      <c r="U62" s="33"/>
      <c r="V62" s="33"/>
      <c r="W62" s="17"/>
      <c r="X62" s="17"/>
      <c r="Y62" s="17"/>
      <c r="Z62" s="17"/>
    </row>
    <row r="63" customFormat="false" ht="15" hidden="false" customHeight="false" outlineLevel="0" collapsed="false">
      <c r="A63" s="14"/>
      <c r="B63" s="14"/>
      <c r="C63" s="14"/>
      <c r="D63" s="14"/>
      <c r="E63" s="29"/>
      <c r="F63" s="30" t="str">
        <f aca="false">IF($A63="","",'Market levels'!I63)</f>
        <v/>
      </c>
      <c r="G63" s="31" t="str">
        <f aca="false">IF($A63="","",IFERROR(('Market levels'!I63/'Market levels'!D63)^(1/5)-1,""))</f>
        <v/>
      </c>
      <c r="H63" s="31" t="str">
        <f aca="false">IF($A63="","",IFERROR('Market levels'!J63/'Market levels'!I63-1,""))</f>
        <v/>
      </c>
      <c r="I63" s="31" t="str">
        <f aca="false">IF($A63="","",IFERROR(('Market levels'!O63/'Market levels'!J63)^(1/5)-1,""))</f>
        <v/>
      </c>
      <c r="J63" s="32" t="str">
        <f aca="false">IF($A63="","",IFERROR('Market levels'!U63/'Market levels'!I63,""))</f>
        <v/>
      </c>
      <c r="K63" s="31" t="str">
        <f aca="false">IF($A63="","",IFERROR(('Market levels'!U63/'Market levels'!P63)^(1/5)-1,""))</f>
        <v/>
      </c>
      <c r="L63" s="31" t="str">
        <f aca="false">IF($A63="","",IFERROR('Market levels'!V63/'Market levels'!U63-1,""))</f>
        <v/>
      </c>
      <c r="M63" s="31" t="str">
        <f aca="false">IF($A63="","",IFERROR(('Market levels'!AA63/'Market levels'!V63)^(1/5)-1,""))</f>
        <v/>
      </c>
      <c r="N63" s="31" t="str">
        <f aca="false">IF($A63="","",IFERROR(('Market levels'!AG63/'Market levels'!AB63)^(1/5)-1,""))</f>
        <v/>
      </c>
      <c r="O63" s="31" t="str">
        <f aca="false">IF($A63="","",IFERROR('Market levels'!AH63/'Market levels'!AG63-1,""))</f>
        <v/>
      </c>
      <c r="P63" s="31" t="str">
        <f aca="false">IF($A63="","",IFERROR(('Market levels'!AM63/'Market levels'!AH63)^(1/5)-1,""))</f>
        <v/>
      </c>
      <c r="Q63" s="29"/>
      <c r="R63" s="33"/>
      <c r="S63" s="33"/>
      <c r="T63" s="33"/>
      <c r="U63" s="33"/>
      <c r="V63" s="33"/>
      <c r="W63" s="17"/>
      <c r="X63" s="17"/>
      <c r="Y63" s="17"/>
      <c r="Z63" s="17"/>
    </row>
    <row r="64" customFormat="false" ht="15" hidden="false" customHeight="false" outlineLevel="0" collapsed="false">
      <c r="A64" s="14"/>
      <c r="B64" s="14"/>
      <c r="C64" s="14"/>
      <c r="D64" s="14"/>
      <c r="E64" s="29"/>
      <c r="F64" s="30" t="str">
        <f aca="false">IF($A64="","",'Market levels'!I64)</f>
        <v/>
      </c>
      <c r="G64" s="31" t="str">
        <f aca="false">IF($A64="","",IFERROR(('Market levels'!I64/'Market levels'!D64)^(1/5)-1,""))</f>
        <v/>
      </c>
      <c r="H64" s="31" t="str">
        <f aca="false">IF($A64="","",IFERROR('Market levels'!J64/'Market levels'!I64-1,""))</f>
        <v/>
      </c>
      <c r="I64" s="31" t="str">
        <f aca="false">IF($A64="","",IFERROR(('Market levels'!O64/'Market levels'!J64)^(1/5)-1,""))</f>
        <v/>
      </c>
      <c r="J64" s="32" t="str">
        <f aca="false">IF($A64="","",IFERROR('Market levels'!U64/'Market levels'!I64,""))</f>
        <v/>
      </c>
      <c r="K64" s="31" t="str">
        <f aca="false">IF($A64="","",IFERROR(('Market levels'!U64/'Market levels'!P64)^(1/5)-1,""))</f>
        <v/>
      </c>
      <c r="L64" s="31" t="str">
        <f aca="false">IF($A64="","",IFERROR('Market levels'!V64/'Market levels'!U64-1,""))</f>
        <v/>
      </c>
      <c r="M64" s="31" t="str">
        <f aca="false">IF($A64="","",IFERROR(('Market levels'!AA64/'Market levels'!V64)^(1/5)-1,""))</f>
        <v/>
      </c>
      <c r="N64" s="31" t="str">
        <f aca="false">IF($A64="","",IFERROR(('Market levels'!AG64/'Market levels'!AB64)^(1/5)-1,""))</f>
        <v/>
      </c>
      <c r="O64" s="31" t="str">
        <f aca="false">IF($A64="","",IFERROR('Market levels'!AH64/'Market levels'!AG64-1,""))</f>
        <v/>
      </c>
      <c r="P64" s="31" t="str">
        <f aca="false">IF($A64="","",IFERROR(('Market levels'!AM64/'Market levels'!AH64)^(1/5)-1,""))</f>
        <v/>
      </c>
      <c r="Q64" s="29"/>
      <c r="R64" s="33"/>
      <c r="S64" s="33"/>
      <c r="T64" s="33"/>
      <c r="U64" s="33"/>
      <c r="V64" s="33"/>
      <c r="W64" s="17"/>
      <c r="X64" s="17"/>
      <c r="Y64" s="17"/>
      <c r="Z64" s="17"/>
    </row>
    <row r="65" customFormat="false" ht="15" hidden="false" customHeight="false" outlineLevel="0" collapsed="false">
      <c r="A65" s="14"/>
      <c r="B65" s="14"/>
      <c r="C65" s="14"/>
      <c r="D65" s="14"/>
      <c r="E65" s="29"/>
      <c r="F65" s="30" t="str">
        <f aca="false">IF($A65="","",'Market levels'!I65)</f>
        <v/>
      </c>
      <c r="G65" s="31" t="str">
        <f aca="false">IF($A65="","",IFERROR(('Market levels'!I65/'Market levels'!D65)^(1/5)-1,""))</f>
        <v/>
      </c>
      <c r="H65" s="31" t="str">
        <f aca="false">IF($A65="","",IFERROR('Market levels'!J65/'Market levels'!I65-1,""))</f>
        <v/>
      </c>
      <c r="I65" s="31" t="str">
        <f aca="false">IF($A65="","",IFERROR(('Market levels'!O65/'Market levels'!J65)^(1/5)-1,""))</f>
        <v/>
      </c>
      <c r="J65" s="32" t="str">
        <f aca="false">IF($A65="","",IFERROR('Market levels'!U65/'Market levels'!I65,""))</f>
        <v/>
      </c>
      <c r="K65" s="31" t="str">
        <f aca="false">IF($A65="","",IFERROR(('Market levels'!U65/'Market levels'!P65)^(1/5)-1,""))</f>
        <v/>
      </c>
      <c r="L65" s="31" t="str">
        <f aca="false">IF($A65="","",IFERROR('Market levels'!V65/'Market levels'!U65-1,""))</f>
        <v/>
      </c>
      <c r="M65" s="31" t="str">
        <f aca="false">IF($A65="","",IFERROR(('Market levels'!AA65/'Market levels'!V65)^(1/5)-1,""))</f>
        <v/>
      </c>
      <c r="N65" s="31" t="str">
        <f aca="false">IF($A65="","",IFERROR(('Market levels'!AG65/'Market levels'!AB65)^(1/5)-1,""))</f>
        <v/>
      </c>
      <c r="O65" s="31" t="str">
        <f aca="false">IF($A65="","",IFERROR('Market levels'!AH65/'Market levels'!AG65-1,""))</f>
        <v/>
      </c>
      <c r="P65" s="31" t="str">
        <f aca="false">IF($A65="","",IFERROR(('Market levels'!AM65/'Market levels'!AH65)^(1/5)-1,""))</f>
        <v/>
      </c>
      <c r="Q65" s="29"/>
      <c r="R65" s="33"/>
      <c r="S65" s="33"/>
      <c r="T65" s="33"/>
      <c r="U65" s="33"/>
      <c r="V65" s="33"/>
      <c r="W65" s="17"/>
      <c r="X65" s="17"/>
      <c r="Y65" s="17"/>
      <c r="Z65" s="17"/>
    </row>
  </sheetData>
  <mergeCells count="5">
    <mergeCell ref="A4:D4"/>
    <mergeCell ref="E4:I4"/>
    <mergeCell ref="J4:P4"/>
    <mergeCell ref="Q4:V4"/>
    <mergeCell ref="W4:Z4"/>
  </mergeCells>
  <dataValidations count="3">
    <dataValidation allowBlank="true" errorStyle="stop" operator="between" showDropDown="false" showErrorMessage="false" showInputMessage="false" sqref="C6:C6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W6:Z6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U6:V6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215</v>
      </c>
    </row>
    <row r="4" customFormat="false" ht="15" hidden="false" customHeight="true" outlineLevel="0" collapsed="false">
      <c r="D4" s="22" t="s">
        <v>216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217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218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186</v>
      </c>
      <c r="B5" s="19" t="s">
        <v>188</v>
      </c>
      <c r="C5" s="19" t="s">
        <v>219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data'!$D6="",$A6,'Raw data'!$D6))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Commercial</v>
      </c>
      <c r="C7" s="36" t="str">
        <f aca="false">IF($A7="","",IF('Raw data'!$D7="",$A7,'Raw data'!$D7))</f>
        <v>Poland</v>
      </c>
      <c r="D7" s="37" t="n">
        <f aca="false">IF($A7="","",IF(AND(ISNUMBER(P7),ISNUMBER(AB7)),P7+AB7,""))</f>
        <v>23022.46</v>
      </c>
      <c r="E7" s="37" t="n">
        <f aca="false">IF($A7="","",IF(AND(ISNUMBER(Q7),ISNUMBER(AC7)),Q7+AC7,""))</f>
        <v>24690.96</v>
      </c>
      <c r="F7" s="37" t="n">
        <f aca="false">IF($A7="","",IF(AND(ISNUMBER(R7),ISNUMBER(AD7)),R7+AD7,""))</f>
        <v>26232.67</v>
      </c>
      <c r="G7" s="37" t="n">
        <f aca="false">IF($A7="","",IF(AND(ISNUMBER(S7),ISNUMBER(AE7)),S7+AE7,""))</f>
        <v>25718.99</v>
      </c>
      <c r="H7" s="37" t="n">
        <f aca="false">IF($A7="","",IF(AND(ISNUMBER(T7),ISNUMBER(AF7)),T7+AF7,""))</f>
        <v>23546.6</v>
      </c>
      <c r="I7" s="37" t="n">
        <f aca="false">IF($A7="","",IF(AND(ISNUMBER(U7),ISNUMBER(AG7)),U7+AG7,""))</f>
        <v>23418.23</v>
      </c>
      <c r="J7" s="37" t="n">
        <f aca="false">IF($A7="","",IF(AND(ISNUMBER(V7),ISNUMBER(AH7)),V7+AH7,""))</f>
        <v>24815.34</v>
      </c>
      <c r="K7" s="37" t="n">
        <f aca="false">IF($A7="","",IF(AND(ISNUMBER(W7),ISNUMBER(AI7)),W7+AI7,""))</f>
        <v>25932.61</v>
      </c>
      <c r="L7" s="37" t="n">
        <f aca="false">IF($A7="","",IF(AND(ISNUMBER(X7),ISNUMBER(AJ7)),X7+AJ7,""))</f>
        <v>26482.38</v>
      </c>
      <c r="M7" s="37" t="n">
        <f aca="false">IF($A7="","",IF(AND(ISNUMBER(Y7),ISNUMBER(AK7)),Y7+AK7,""))</f>
        <v>26945.25</v>
      </c>
      <c r="N7" s="37" t="n">
        <f aca="false">IF($A7="","",IF(AND(ISNUMBER(Z7),ISNUMBER(AL7)),Z7+AL7,""))</f>
        <v>27454.96</v>
      </c>
      <c r="O7" s="37" t="n">
        <f aca="false">IF($A7="","",IF(AND(ISNUMBER(AA7),ISNUMBER(AM7)),AA7+AM7,""))</f>
        <v>27864.75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Economics'!$B$7:$B$1000,Settings!$B$16))),""))</f>
        <v>7288.73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Economics'!$B$7:$B$1000,Settings!$B$16))),""))</f>
        <v>8032.69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Economics'!$B$7:$B$1000,Settings!$B$16))),""))</f>
        <v>8295.68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Economics'!$B$7:$B$1000,Settings!$B$16))),""))</f>
        <v>8116.65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Economics'!$B$7:$B$1000,Settings!$B$16))),""))</f>
        <v>7641.74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Economics'!$B$7:$B$1000,Settings!$B$16))),""))</f>
        <v>7658.13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Economics'!$B$7:$B$1000,Settings!$B$16))),""))</f>
        <v>8922.78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Economics'!$B$7:$B$1000,Settings!$B$16))),""))</f>
        <v>10039.98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Economics'!$B$7:$B$1000,Settings!$B$16))),""))</f>
        <v>10316.23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Economics'!$B$7:$B$1000,Settings!$B$16))),""))</f>
        <v>10203.37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Economics'!$B$7:$B$1000,Settings!$B$16))),""))</f>
        <v>10034.26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Economics'!$B$7:$B$1000,Settings!$B$16))),""))</f>
        <v>9875.23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Economics'!$B$7:$B$1000,Settings!$B$15))),""))</f>
        <v>15733.73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Economics'!$B$7:$B$1000,Settings!$B$15))),""))</f>
        <v>16658.27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Economics'!$B$7:$B$1000,Settings!$B$15))),""))</f>
        <v>17936.99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Economics'!$B$7:$B$1000,Settings!$B$15))),""))</f>
        <v>17602.34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Economics'!$B$7:$B$1000,Settings!$B$15))),""))</f>
        <v>15904.86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Economics'!$B$7:$B$1000,Settings!$B$15))),""))</f>
        <v>15760.1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Economics'!$B$7:$B$1000,Settings!$B$15))),""))</f>
        <v>15892.56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Economics'!$B$7:$B$1000,Settings!$B$15))),""))</f>
        <v>15892.63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Economics'!$B$7:$B$1000,Settings!$B$15))),""))</f>
        <v>16166.15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Economics'!$B$7:$B$1000,Settings!$B$15))),""))</f>
        <v>16741.88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Economics'!$B$7:$B$1000,Settings!$B$15))),""))</f>
        <v>17420.7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Economics'!$B$7:$B$1000,Settings!$B$15))),""))</f>
        <v>17989.52</v>
      </c>
    </row>
    <row r="8" customFormat="false" ht="15" hidden="false" customHeight="false" outlineLevel="0" collapsed="false">
      <c r="A8" s="36" t="str">
        <f aca="false">IF('Raw data'!$A8="","",'Raw data'!$A8)</f>
        <v>Czech Republic</v>
      </c>
      <c r="B8" s="36" t="str">
        <f aca="false">IF($A8="","",'Raw data'!$C8)</f>
        <v>Residential</v>
      </c>
      <c r="C8" s="36" t="str">
        <f aca="false">IF($A8="","",IF('Raw data'!$D8="",$A8,'Raw data'!$D8))</f>
        <v>Czech Republic</v>
      </c>
      <c r="D8" s="37" t="n">
        <f aca="false">IF($A8="","",IF(AND(ISNUMBER(P8),ISNUMBER(AB8)),P8+AB8,""))</f>
        <v>6593.17</v>
      </c>
      <c r="E8" s="37" t="n">
        <f aca="false">IF($A8="","",IF(AND(ISNUMBER(Q8),ISNUMBER(AC8)),Q8+AC8,""))</f>
        <v>6639.44</v>
      </c>
      <c r="F8" s="37" t="n">
        <f aca="false">IF($A8="","",IF(AND(ISNUMBER(R8),ISNUMBER(AD8)),R8+AD8,""))</f>
        <v>6514.5</v>
      </c>
      <c r="G8" s="37" t="n">
        <f aca="false">IF($A8="","",IF(AND(ISNUMBER(S8),ISNUMBER(AE8)),S8+AE8,""))</f>
        <v>6260.49</v>
      </c>
      <c r="H8" s="37" t="n">
        <f aca="false">IF($A8="","",IF(AND(ISNUMBER(T8),ISNUMBER(AF8)),T8+AF8,""))</f>
        <v>6042.31</v>
      </c>
      <c r="I8" s="37" t="n">
        <f aca="false">IF($A8="","",IF(AND(ISNUMBER(U8),ISNUMBER(AG8)),U8+AG8,""))</f>
        <v>5836.52</v>
      </c>
      <c r="J8" s="37" t="n">
        <f aca="false">IF($A8="","",IF(AND(ISNUMBER(V8),ISNUMBER(AH8)),V8+AH8,""))</f>
        <v>5738.38</v>
      </c>
      <c r="K8" s="37" t="n">
        <f aca="false">IF($A8="","",IF(AND(ISNUMBER(W8),ISNUMBER(AI8)),W8+AI8,""))</f>
        <v>5843.95</v>
      </c>
      <c r="L8" s="37" t="n">
        <f aca="false">IF($A8="","",IF(AND(ISNUMBER(X8),ISNUMBER(AJ8)),X8+AJ8,""))</f>
        <v>5961.88</v>
      </c>
      <c r="M8" s="37" t="n">
        <f aca="false">IF($A8="","",IF(AND(ISNUMBER(Y8),ISNUMBER(AK8)),Y8+AK8,""))</f>
        <v>6059.96</v>
      </c>
      <c r="N8" s="37" t="n">
        <f aca="false">IF($A8="","",IF(AND(ISNUMBER(Z8),ISNUMBER(AL8)),Z8+AL8,""))</f>
        <v>6217.52</v>
      </c>
      <c r="O8" s="37" t="n">
        <f aca="false">IF($A8="","",IF(AND(ISNUMBER(AA8),ISNUMBER(AM8)),AA8+AM8,""))</f>
        <v>6395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Economics'!$B$7:$B$1000,Settings!$B$16))),""))</f>
        <v>1612.86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Economics'!$B$7:$B$1000,Settings!$B$16))),""))</f>
        <v>1643.71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Economics'!$B$7:$B$1000,Settings!$B$16))),""))</f>
        <v>1568.02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Economics'!$B$7:$B$1000,Settings!$B$16))),""))</f>
        <v>1854.22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Economics'!$B$7:$B$1000,Settings!$B$16))),""))</f>
        <v>2004.93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Economics'!$B$7:$B$1000,Settings!$B$16))),""))</f>
        <v>1887.32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Economics'!$B$7:$B$1000,Settings!$B$16))),""))</f>
        <v>1709.38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Economics'!$B$7:$B$1000,Settings!$B$16))),""))</f>
        <v>1735.95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Economics'!$B$7:$B$1000,Settings!$B$16))),""))</f>
        <v>1808.74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Economics'!$B$7:$B$1000,Settings!$B$16))),""))</f>
        <v>1868.93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Economics'!$B$7:$B$1000,Settings!$B$16))),""))</f>
        <v>1930.29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Economics'!$B$7:$B$1000,Settings!$B$16))),""))</f>
        <v>1991.94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Economics'!$B$7:$B$1000,Settings!$B$15))),""))</f>
        <v>4980.31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Economics'!$B$7:$B$1000,Settings!$B$15))),""))</f>
        <v>4995.73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Economics'!$B$7:$B$1000,Settings!$B$15))),""))</f>
        <v>4946.48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Economics'!$B$7:$B$1000,Settings!$B$15))),""))</f>
        <v>4406.27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Economics'!$B$7:$B$1000,Settings!$B$15))),""))</f>
        <v>4037.38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Economics'!$B$7:$B$1000,Settings!$B$15))),""))</f>
        <v>3949.2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Economics'!$B$7:$B$1000,Settings!$B$15))),""))</f>
        <v>4029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Economics'!$B$7:$B$1000,Settings!$B$15))),""))</f>
        <v>4108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Economics'!$B$7:$B$1000,Settings!$B$15))),""))</f>
        <v>4153.14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Economics'!$B$7:$B$1000,Settings!$B$15))),""))</f>
        <v>4191.03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Economics'!$B$7:$B$1000,Settings!$B$15))),""))</f>
        <v>4287.23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Economics'!$B$7:$B$1000,Settings!$B$15))),""))</f>
        <v>4403.06</v>
      </c>
    </row>
    <row r="9" customFormat="false" ht="15" hidden="false" customHeight="false" outlineLevel="0" collapsed="false">
      <c r="A9" s="36" t="str">
        <f aca="false">IF('Raw data'!$A9="","",'Raw data'!$A9)</f>
        <v>Czech Republic</v>
      </c>
      <c r="B9" s="36" t="str">
        <f aca="false">IF($A9="","",'Raw data'!$C9)</f>
        <v>Commercial</v>
      </c>
      <c r="C9" s="36" t="str">
        <f aca="false">IF($A9="","",IF('Raw data'!$D9="",$A9,'Raw data'!$D9))</f>
        <v>Czech Republic</v>
      </c>
      <c r="D9" s="37" t="n">
        <f aca="false">IF($A9="","",IF(AND(ISNUMBER(P9),ISNUMBER(AB9)),P9+AB9,""))</f>
        <v>7896.16</v>
      </c>
      <c r="E9" s="37" t="n">
        <f aca="false">IF($A9="","",IF(AND(ISNUMBER(Q9),ISNUMBER(AC9)),Q9+AC9,""))</f>
        <v>7964.26</v>
      </c>
      <c r="F9" s="37" t="n">
        <f aca="false">IF($A9="","",IF(AND(ISNUMBER(R9),ISNUMBER(AD9)),R9+AD9,""))</f>
        <v>7825.68</v>
      </c>
      <c r="G9" s="37" t="n">
        <f aca="false">IF($A9="","",IF(AND(ISNUMBER(S9),ISNUMBER(AE9)),S9+AE9,""))</f>
        <v>7566.64</v>
      </c>
      <c r="H9" s="37" t="n">
        <f aca="false">IF($A9="","",IF(AND(ISNUMBER(T9),ISNUMBER(AF9)),T9+AF9,""))</f>
        <v>7611.46</v>
      </c>
      <c r="I9" s="37" t="n">
        <f aca="false">IF($A9="","",IF(AND(ISNUMBER(U9),ISNUMBER(AG9)),U9+AG9,""))</f>
        <v>7763.99</v>
      </c>
      <c r="J9" s="37" t="n">
        <f aca="false">IF($A9="","",IF(AND(ISNUMBER(V9),ISNUMBER(AH9)),V9+AH9,""))</f>
        <v>8161.12</v>
      </c>
      <c r="K9" s="37" t="n">
        <f aca="false">IF($A9="","",IF(AND(ISNUMBER(W9),ISNUMBER(AI9)),W9+AI9,""))</f>
        <v>8583.41</v>
      </c>
      <c r="L9" s="37" t="n">
        <f aca="false">IF($A9="","",IF(AND(ISNUMBER(X9),ISNUMBER(AJ9)),X9+AJ9,""))</f>
        <v>8955.14</v>
      </c>
      <c r="M9" s="37" t="n">
        <f aca="false">IF($A9="","",IF(AND(ISNUMBER(Y9),ISNUMBER(AK9)),Y9+AK9,""))</f>
        <v>9395.31</v>
      </c>
      <c r="N9" s="37" t="n">
        <f aca="false">IF($A9="","",IF(AND(ISNUMBER(Z9),ISNUMBER(AL9)),Z9+AL9,""))</f>
        <v>9729.59</v>
      </c>
      <c r="O9" s="37" t="n">
        <f aca="false">IF($A9="","",IF(AND(ISNUMBER(AA9),ISNUMBER(AM9)),AA9+AM9,""))</f>
        <v>9929.42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Economics'!$B$7:$B$1000,Settings!$B$16))),""))</f>
        <v>2472.3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Economics'!$B$7:$B$1000,Settings!$B$16))),""))</f>
        <v>2635.6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Economics'!$B$7:$B$1000,Settings!$B$16))),""))</f>
        <v>2339.06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Economics'!$B$7:$B$1000,Settings!$B$16))),""))</f>
        <v>2438.97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Economics'!$B$7:$B$1000,Settings!$B$16))),""))</f>
        <v>2433.11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Economics'!$B$7:$B$1000,Settings!$B$16))),""))</f>
        <v>2470.17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Economics'!$B$7:$B$1000,Settings!$B$16))),""))</f>
        <v>2558.37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Economics'!$B$7:$B$1000,Settings!$B$16))),""))</f>
        <v>2698.04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Economics'!$B$7:$B$1000,Settings!$B$16))),""))</f>
        <v>2894.32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Economics'!$B$7:$B$1000,Settings!$B$16))),""))</f>
        <v>3115.05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Economics'!$B$7:$B$1000,Settings!$B$16))),""))</f>
        <v>3261.16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Economics'!$B$7:$B$1000,Settings!$B$16))),""))</f>
        <v>3330.39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Economics'!$B$7:$B$1000,Settings!$B$15))),""))</f>
        <v>5423.86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Economics'!$B$7:$B$1000,Settings!$B$15))),""))</f>
        <v>5328.66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Economics'!$B$7:$B$1000,Settings!$B$15))),""))</f>
        <v>5486.62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Economics'!$B$7:$B$1000,Settings!$B$15))),""))</f>
        <v>5127.67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Economics'!$B$7:$B$1000,Settings!$B$15))),""))</f>
        <v>5178.35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Economics'!$B$7:$B$1000,Settings!$B$15))),""))</f>
        <v>5293.82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Economics'!$B$7:$B$1000,Settings!$B$15))),""))</f>
        <v>5602.75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Economics'!$B$7:$B$1000,Settings!$B$15))),""))</f>
        <v>5885.37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Economics'!$B$7:$B$1000,Settings!$B$15))),""))</f>
        <v>6060.82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Economics'!$B$7:$B$1000,Settings!$B$15))),""))</f>
        <v>6280.26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Economics'!$B$7:$B$1000,Settings!$B$15))),""))</f>
        <v>6468.43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Economics'!$B$7:$B$1000,Settings!$B$15))),""))</f>
        <v>6599.03</v>
      </c>
    </row>
    <row r="10" customFormat="false" ht="15" hidden="false" customHeight="false" outlineLevel="0" collapsed="false">
      <c r="A10" s="36" t="str">
        <f aca="false">IF('Raw data'!$A10="","",'Raw data'!$A10)</f>
        <v>Hungary</v>
      </c>
      <c r="B10" s="36" t="str">
        <f aca="false">IF($A10="","",'Raw data'!$C10)</f>
        <v>Residential</v>
      </c>
      <c r="C10" s="36" t="str">
        <f aca="false">IF($A10="","",IF('Raw data'!$D10="",$A10,'Raw data'!$D10))</f>
        <v>Hungary</v>
      </c>
      <c r="D10" s="37" t="n">
        <f aca="false">IF($A10="","",IF(AND(ISNUMBER(P10),ISNUMBER(AB10)),P10+AB10,""))</f>
        <v>1997.46</v>
      </c>
      <c r="E10" s="37" t="n">
        <f aca="false">IF($A10="","",IF(AND(ISNUMBER(Q10),ISNUMBER(AC10)),Q10+AC10,""))</f>
        <v>2261.92</v>
      </c>
      <c r="F10" s="37" t="n">
        <f aca="false">IF($A10="","",IF(AND(ISNUMBER(R10),ISNUMBER(AD10)),R10+AD10,""))</f>
        <v>2372.65</v>
      </c>
      <c r="G10" s="37" t="n">
        <f aca="false">IF($A10="","",IF(AND(ISNUMBER(S10),ISNUMBER(AE10)),S10+AE10,""))</f>
        <v>2092.71</v>
      </c>
      <c r="H10" s="37" t="n">
        <f aca="false">IF($A10="","",IF(AND(ISNUMBER(T10),ISNUMBER(AF10)),T10+AF10,""))</f>
        <v>2073.06</v>
      </c>
      <c r="I10" s="37" t="n">
        <f aca="false">IF($A10="","",IF(AND(ISNUMBER(U10),ISNUMBER(AG10)),U10+AG10,""))</f>
        <v>1964.39</v>
      </c>
      <c r="J10" s="37" t="n">
        <f aca="false">IF($A10="","",IF(AND(ISNUMBER(V10),ISNUMBER(AH10)),V10+AH10,""))</f>
        <v>2135.13</v>
      </c>
      <c r="K10" s="37" t="n">
        <f aca="false">IF($A10="","",IF(AND(ISNUMBER(W10),ISNUMBER(AI10)),W10+AI10,""))</f>
        <v>2022.63</v>
      </c>
      <c r="L10" s="37" t="n">
        <f aca="false">IF($A10="","",IF(AND(ISNUMBER(X10),ISNUMBER(AJ10)),X10+AJ10,""))</f>
        <v>2083.98</v>
      </c>
      <c r="M10" s="37" t="n">
        <f aca="false">IF($A10="","",IF(AND(ISNUMBER(Y10),ISNUMBER(AK10)),Y10+AK10,""))</f>
        <v>2133.79</v>
      </c>
      <c r="N10" s="37" t="n">
        <f aca="false">IF($A10="","",IF(AND(ISNUMBER(Z10),ISNUMBER(AL10)),Z10+AL10,""))</f>
        <v>2176.44</v>
      </c>
      <c r="O10" s="37" t="n">
        <f aca="false">IF($A10="","",IF(AND(ISNUMBER(AA10),ISNUMBER(AM10)),AA10+AM10,""))</f>
        <v>2205.03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Economics'!$B$7:$B$1000,Settings!$B$16))),""))</f>
        <v>914.35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Economics'!$B$7:$B$1000,Settings!$B$16))),""))</f>
        <v>1031.21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Economics'!$B$7:$B$1000,Settings!$B$16))),""))</f>
        <v>1192.78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Economics'!$B$7:$B$1000,Settings!$B$16))),""))</f>
        <v>1165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Economics'!$B$7:$B$1000,Settings!$B$16))),""))</f>
        <v>1182.09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Economics'!$B$7:$B$1000,Settings!$B$16))),""))</f>
        <v>1041.44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Economics'!$B$7:$B$1000,Settings!$B$16))),""))</f>
        <v>1023.82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Economics'!$B$7:$B$1000,Settings!$B$16))),""))</f>
        <v>1071.96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Economics'!$B$7:$B$1000,Settings!$B$16))),""))</f>
        <v>1140.65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Economics'!$B$7:$B$1000,Settings!$B$16))),""))</f>
        <v>1203.68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Economics'!$B$7:$B$1000,Settings!$B$16))),""))</f>
        <v>1266.11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Economics'!$B$7:$B$1000,Settings!$B$16))),""))</f>
        <v>1324.35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Economics'!$B$7:$B$1000,Settings!$B$15))),""))</f>
        <v>1083.11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Economics'!$B$7:$B$1000,Settings!$B$15))),""))</f>
        <v>1230.71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Economics'!$B$7:$B$1000,Settings!$B$15))),""))</f>
        <v>1179.87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Economics'!$B$7:$B$1000,Settings!$B$15))),""))</f>
        <v>927.71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Economics'!$B$7:$B$1000,Settings!$B$15))),""))</f>
        <v>890.97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Economics'!$B$7:$B$1000,Settings!$B$15))),""))</f>
        <v>922.95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Economics'!$B$7:$B$1000,Settings!$B$15))),""))</f>
        <v>1111.31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Economics'!$B$7:$B$1000,Settings!$B$15))),""))</f>
        <v>950.67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Economics'!$B$7:$B$1000,Settings!$B$15))),""))</f>
        <v>943.33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Economics'!$B$7:$B$1000,Settings!$B$15))),""))</f>
        <v>930.11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Economics'!$B$7:$B$1000,Settings!$B$15))),""))</f>
        <v>910.33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Economics'!$B$7:$B$1000,Settings!$B$15))),""))</f>
        <v>880.68</v>
      </c>
    </row>
    <row r="11" customFormat="false" ht="15" hidden="false" customHeight="false" outlineLevel="0" collapsed="false">
      <c r="A11" s="36" t="str">
        <f aca="false">IF('Raw data'!$A11="","",'Raw data'!$A11)</f>
        <v>Hungary</v>
      </c>
      <c r="B11" s="36" t="str">
        <f aca="false">IF($A11="","",'Raw data'!$C11)</f>
        <v>Commercial</v>
      </c>
      <c r="C11" s="36" t="str">
        <f aca="false">IF($A11="","",IF('Raw data'!$D11="",$A11,'Raw data'!$D11))</f>
        <v>Hungary</v>
      </c>
      <c r="D11" s="37" t="n">
        <f aca="false">IF($A11="","",IF(AND(ISNUMBER(P11),ISNUMBER(AB11)),P11+AB11,""))</f>
        <v>3684.96</v>
      </c>
      <c r="E11" s="37" t="n">
        <f aca="false">IF($A11="","",IF(AND(ISNUMBER(Q11),ISNUMBER(AC11)),Q11+AC11,""))</f>
        <v>3981.61</v>
      </c>
      <c r="F11" s="37" t="n">
        <f aca="false">IF($A11="","",IF(AND(ISNUMBER(R11),ISNUMBER(AD11)),R11+AD11,""))</f>
        <v>4264.05</v>
      </c>
      <c r="G11" s="37" t="n">
        <f aca="false">IF($A11="","",IF(AND(ISNUMBER(S11),ISNUMBER(AE11)),S11+AE11,""))</f>
        <v>3929.81</v>
      </c>
      <c r="H11" s="37" t="n">
        <f aca="false">IF($A11="","",IF(AND(ISNUMBER(T11),ISNUMBER(AF11)),T11+AF11,""))</f>
        <v>3964.86</v>
      </c>
      <c r="I11" s="37" t="n">
        <f aca="false">IF($A11="","",IF(AND(ISNUMBER(U11),ISNUMBER(AG11)),U11+AG11,""))</f>
        <v>3843.27</v>
      </c>
      <c r="J11" s="37" t="n">
        <f aca="false">IF($A11="","",IF(AND(ISNUMBER(V11),ISNUMBER(AH11)),V11+AH11,""))</f>
        <v>4291.72</v>
      </c>
      <c r="K11" s="37" t="n">
        <f aca="false">IF($A11="","",IF(AND(ISNUMBER(W11),ISNUMBER(AI11)),W11+AI11,""))</f>
        <v>4359.72</v>
      </c>
      <c r="L11" s="37" t="n">
        <f aca="false">IF($A11="","",IF(AND(ISNUMBER(X11),ISNUMBER(AJ11)),X11+AJ11,""))</f>
        <v>4583.3</v>
      </c>
      <c r="M11" s="37" t="n">
        <f aca="false">IF($A11="","",IF(AND(ISNUMBER(Y11),ISNUMBER(AK11)),Y11+AK11,""))</f>
        <v>4759.58</v>
      </c>
      <c r="N11" s="37" t="n">
        <f aca="false">IF($A11="","",IF(AND(ISNUMBER(Z11),ISNUMBER(AL11)),Z11+AL11,""))</f>
        <v>4858.97</v>
      </c>
      <c r="O11" s="37" t="n">
        <f aca="false">IF($A11="","",IF(AND(ISNUMBER(AA11),ISNUMBER(AM11)),AA11+AM11,""))</f>
        <v>4900.29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Economics'!$B$7:$B$1000,Settings!$B$16))),""))</f>
        <v>1541.2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Economics'!$B$7:$B$1000,Settings!$B$16))),""))</f>
        <v>1977.78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Economics'!$B$7:$B$1000,Settings!$B$16))),""))</f>
        <v>2161.55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Economics'!$B$7:$B$1000,Settings!$B$16))),""))</f>
        <v>1828.76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Economics'!$B$7:$B$1000,Settings!$B$16))),""))</f>
        <v>1910.76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Economics'!$B$7:$B$1000,Settings!$B$16))),""))</f>
        <v>1903.28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Economics'!$B$7:$B$1000,Settings!$B$16))),""))</f>
        <v>2164.6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Economics'!$B$7:$B$1000,Settings!$B$16))),""))</f>
        <v>1990.31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Economics'!$B$7:$B$1000,Settings!$B$16))),""))</f>
        <v>2090.18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Economics'!$B$7:$B$1000,Settings!$B$16))),""))</f>
        <v>2169.05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Economics'!$B$7:$B$1000,Settings!$B$16))),""))</f>
        <v>2222.92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Economics'!$B$7:$B$1000,Settings!$B$16))),""))</f>
        <v>2246.97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Economics'!$B$7:$B$1000,Settings!$B$15))),""))</f>
        <v>2143.76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Economics'!$B$7:$B$1000,Settings!$B$15))),""))</f>
        <v>2003.83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Economics'!$B$7:$B$1000,Settings!$B$15))),""))</f>
        <v>2102.5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Economics'!$B$7:$B$1000,Settings!$B$15))),""))</f>
        <v>2101.05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Economics'!$B$7:$B$1000,Settings!$B$15))),""))</f>
        <v>2054.1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Economics'!$B$7:$B$1000,Settings!$B$15))),""))</f>
        <v>1939.99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Economics'!$B$7:$B$1000,Settings!$B$15))),""))</f>
        <v>2127.12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Economics'!$B$7:$B$1000,Settings!$B$15))),""))</f>
        <v>2369.41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Economics'!$B$7:$B$1000,Settings!$B$15))),""))</f>
        <v>2493.12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Economics'!$B$7:$B$1000,Settings!$B$15))),""))</f>
        <v>2590.53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Economics'!$B$7:$B$1000,Settings!$B$15))),""))</f>
        <v>2636.05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Economics'!$B$7:$B$1000,Settings!$B$15))),""))</f>
        <v>2653.32</v>
      </c>
    </row>
    <row r="12" customFormat="false" ht="15" hidden="false" customHeight="false" outlineLevel="0" collapsed="false">
      <c r="A12" s="36" t="str">
        <f aca="false">IF('Raw data'!$A12="","",'Raw data'!$A12)</f>
        <v>Netherlands</v>
      </c>
      <c r="B12" s="36" t="str">
        <f aca="false">IF($A12="","",'Raw data'!$C12)</f>
        <v>Residential</v>
      </c>
      <c r="C12" s="36" t="str">
        <f aca="false">IF($A12="","",IF('Raw data'!$D12="",$A12,'Raw data'!$D12))</f>
        <v>Netherlands</v>
      </c>
      <c r="D12" s="37" t="n">
        <f aca="false">IF($A12="","",IF(AND(ISNUMBER(P12),ISNUMBER(AB12)),P12+AB12,""))</f>
        <v>26861</v>
      </c>
      <c r="E12" s="37" t="n">
        <f aca="false">IF($A12="","",IF(AND(ISNUMBER(Q12),ISNUMBER(AC12)),Q12+AC12,""))</f>
        <v>28102.09</v>
      </c>
      <c r="F12" s="37" t="n">
        <f aca="false">IF($A12="","",IF(AND(ISNUMBER(R12),ISNUMBER(AD12)),R12+AD12,""))</f>
        <v>28941.14</v>
      </c>
      <c r="G12" s="37" t="n">
        <f aca="false">IF($A12="","",IF(AND(ISNUMBER(S12),ISNUMBER(AE12)),S12+AE12,""))</f>
        <v>29344.02</v>
      </c>
      <c r="H12" s="37" t="n">
        <f aca="false">IF($A12="","",IF(AND(ISNUMBER(T12),ISNUMBER(AF12)),T12+AF12,""))</f>
        <v>28998.05</v>
      </c>
      <c r="I12" s="37" t="n">
        <f aca="false">IF($A12="","",IF(AND(ISNUMBER(U12),ISNUMBER(AG12)),U12+AG12,""))</f>
        <v>29129.26</v>
      </c>
      <c r="J12" s="37" t="n">
        <f aca="false">IF($A12="","",IF(AND(ISNUMBER(V12),ISNUMBER(AH12)),V12+AH12,""))</f>
        <v>29512.41</v>
      </c>
      <c r="K12" s="37" t="n">
        <f aca="false">IF($A12="","",IF(AND(ISNUMBER(W12),ISNUMBER(AI12)),W12+AI12,""))</f>
        <v>29901.43</v>
      </c>
      <c r="L12" s="37" t="n">
        <f aca="false">IF($A12="","",IF(AND(ISNUMBER(X12),ISNUMBER(AJ12)),X12+AJ12,""))</f>
        <v>31213.02</v>
      </c>
      <c r="M12" s="37" t="n">
        <f aca="false">IF($A12="","",IF(AND(ISNUMBER(Y12),ISNUMBER(AK12)),Y12+AK12,""))</f>
        <v>32376.78</v>
      </c>
      <c r="N12" s="37" t="n">
        <f aca="false">IF($A12="","",IF(AND(ISNUMBER(Z12),ISNUMBER(AL12)),Z12+AL12,""))</f>
        <v>33392.61</v>
      </c>
      <c r="O12" s="37" t="n">
        <f aca="false">IF($A12="","",IF(AND(ISNUMBER(AA12),ISNUMBER(AM12)),AA12+AM12,""))</f>
        <v>34045.05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Economics'!$B$7:$B$1000,Settings!$B$16))),""))</f>
        <v>14772.74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Economics'!$B$7:$B$1000,Settings!$B$16))),""))</f>
        <v>15083.03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Economics'!$B$7:$B$1000,Settings!$B$16))),""))</f>
        <v>16433.79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Economics'!$B$7:$B$1000,Settings!$B$16))),""))</f>
        <v>18174.75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Economics'!$B$7:$B$1000,Settings!$B$16))),""))</f>
        <v>17943.36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Economics'!$B$7:$B$1000,Settings!$B$16))),""))</f>
        <v>17866.87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Economics'!$B$7:$B$1000,Settings!$B$16))),""))</f>
        <v>17927.47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Economics'!$B$7:$B$1000,Settings!$B$16))),""))</f>
        <v>18347.45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Economics'!$B$7:$B$1000,Settings!$B$16))),""))</f>
        <v>19388.46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Economics'!$B$7:$B$1000,Settings!$B$16))),""))</f>
        <v>20223.85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Economics'!$B$7:$B$1000,Settings!$B$16))),""))</f>
        <v>20916.88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Economics'!$B$7:$B$1000,Settings!$B$16))),""))</f>
        <v>21288.65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Economics'!$B$7:$B$1000,Settings!$B$15))),""))</f>
        <v>12088.26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Economics'!$B$7:$B$1000,Settings!$B$15))),""))</f>
        <v>13019.06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Economics'!$B$7:$B$1000,Settings!$B$15))),""))</f>
        <v>12507.35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Economics'!$B$7:$B$1000,Settings!$B$15))),""))</f>
        <v>11169.27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Economics'!$B$7:$B$1000,Settings!$B$15))),""))</f>
        <v>11054.69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Economics'!$B$7:$B$1000,Settings!$B$15))),""))</f>
        <v>11262.39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Economics'!$B$7:$B$1000,Settings!$B$15))),""))</f>
        <v>11584.94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Economics'!$B$7:$B$1000,Settings!$B$15))),""))</f>
        <v>11553.98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Economics'!$B$7:$B$1000,Settings!$B$15))),""))</f>
        <v>11824.56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Economics'!$B$7:$B$1000,Settings!$B$15))),""))</f>
        <v>12152.93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Economics'!$B$7:$B$1000,Settings!$B$15))),""))</f>
        <v>12475.73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Economics'!$B$7:$B$1000,Settings!$B$15))),""))</f>
        <v>12756.4</v>
      </c>
    </row>
    <row r="13" customFormat="false" ht="15" hidden="false" customHeight="false" outlineLevel="0" collapsed="false">
      <c r="A13" s="36" t="str">
        <f aca="false">IF('Raw data'!$A13="","",'Raw data'!$A13)</f>
        <v>Netherlands</v>
      </c>
      <c r="B13" s="36" t="str">
        <f aca="false">IF($A13="","",'Raw data'!$C13)</f>
        <v>Commercial</v>
      </c>
      <c r="C13" s="36" t="str">
        <f aca="false">IF($A13="","",IF('Raw data'!$D13="",$A13,'Raw data'!$D13))</f>
        <v>Netherlands</v>
      </c>
      <c r="D13" s="37" t="n">
        <f aca="false">IF($A13="","",IF(AND(ISNUMBER(P13),ISNUMBER(AB13)),P13+AB13,""))</f>
        <v>21787.12</v>
      </c>
      <c r="E13" s="37" t="n">
        <f aca="false">IF($A13="","",IF(AND(ISNUMBER(Q13),ISNUMBER(AC13)),Q13+AC13,""))</f>
        <v>22854</v>
      </c>
      <c r="F13" s="37" t="n">
        <f aca="false">IF($A13="","",IF(AND(ISNUMBER(R13),ISNUMBER(AD13)),R13+AD13,""))</f>
        <v>24521.4</v>
      </c>
      <c r="G13" s="37" t="n">
        <f aca="false">IF($A13="","",IF(AND(ISNUMBER(S13),ISNUMBER(AE13)),S13+AE13,""))</f>
        <v>24951.67</v>
      </c>
      <c r="H13" s="37" t="n">
        <f aca="false">IF($A13="","",IF(AND(ISNUMBER(T13),ISNUMBER(AF13)),T13+AF13,""))</f>
        <v>24357.49</v>
      </c>
      <c r="I13" s="37" t="n">
        <f aca="false">IF($A13="","",IF(AND(ISNUMBER(U13),ISNUMBER(AG13)),U13+AG13,""))</f>
        <v>24549.72</v>
      </c>
      <c r="J13" s="37" t="n">
        <f aca="false">IF($A13="","",IF(AND(ISNUMBER(V13),ISNUMBER(AH13)),V13+AH13,""))</f>
        <v>25206.79</v>
      </c>
      <c r="K13" s="37" t="n">
        <f aca="false">IF($A13="","",IF(AND(ISNUMBER(W13),ISNUMBER(AI13)),W13+AI13,""))</f>
        <v>25727.33</v>
      </c>
      <c r="L13" s="37" t="n">
        <f aca="false">IF($A13="","",IF(AND(ISNUMBER(X13),ISNUMBER(AJ13)),X13+AJ13,""))</f>
        <v>26569.27</v>
      </c>
      <c r="M13" s="37" t="n">
        <f aca="false">IF($A13="","",IF(AND(ISNUMBER(Y13),ISNUMBER(AK13)),Y13+AK13,""))</f>
        <v>27554.26</v>
      </c>
      <c r="N13" s="37" t="n">
        <f aca="false">IF($A13="","",IF(AND(ISNUMBER(Z13),ISNUMBER(AL13)),Z13+AL13,""))</f>
        <v>28415.94</v>
      </c>
      <c r="O13" s="37" t="n">
        <f aca="false">IF($A13="","",IF(AND(ISNUMBER(AA13),ISNUMBER(AM13)),AA13+AM13,""))</f>
        <v>29067.96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Economics'!$B$7:$B$1000,Settings!$B$16))),""))</f>
        <v>10197.14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Economics'!$B$7:$B$1000,Settings!$B$16))),""))</f>
        <v>9893.21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Economics'!$B$7:$B$1000,Settings!$B$16))),""))</f>
        <v>10252.18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Economics'!$B$7:$B$1000,Settings!$B$16))),""))</f>
        <v>10040.45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Economics'!$B$7:$B$1000,Settings!$B$16))),""))</f>
        <v>10456.64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Economics'!$B$7:$B$1000,Settings!$B$16))),""))</f>
        <v>10555.11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Economics'!$B$7:$B$1000,Settings!$B$16))),""))</f>
        <v>10821.9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Economics'!$B$7:$B$1000,Settings!$B$16))),""))</f>
        <v>11101.09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Economics'!$B$7:$B$1000,Settings!$B$16))),""))</f>
        <v>11619.29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Economics'!$B$7:$B$1000,Settings!$B$16))),""))</f>
        <v>12205.83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Economics'!$B$7:$B$1000,Settings!$B$16))),""))</f>
        <v>12672.85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Economics'!$B$7:$B$1000,Settings!$B$16))),""))</f>
        <v>13034.29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Economics'!$B$7:$B$1000,Settings!$B$15))),""))</f>
        <v>11589.98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Economics'!$B$7:$B$1000,Settings!$B$15))),""))</f>
        <v>12960.79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Economics'!$B$7:$B$1000,Settings!$B$15))),""))</f>
        <v>14269.22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Economics'!$B$7:$B$1000,Settings!$B$15))),""))</f>
        <v>14911.22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Economics'!$B$7:$B$1000,Settings!$B$15))),""))</f>
        <v>13900.85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Economics'!$B$7:$B$1000,Settings!$B$15))),""))</f>
        <v>13994.61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Economics'!$B$7:$B$1000,Settings!$B$15))),""))</f>
        <v>14384.89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Economics'!$B$7:$B$1000,Settings!$B$15))),""))</f>
        <v>14626.24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Economics'!$B$7:$B$1000,Settings!$B$15))),""))</f>
        <v>14949.98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Economics'!$B$7:$B$1000,Settings!$B$15))),""))</f>
        <v>15348.43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Economics'!$B$7:$B$1000,Settings!$B$15))),""))</f>
        <v>15743.09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Economics'!$B$7:$B$1000,Settings!$B$15))),""))</f>
        <v>16033.67</v>
      </c>
    </row>
    <row r="14" customFormat="false" ht="15" hidden="false" customHeight="false" outlineLevel="0" collapsed="false">
      <c r="A14" s="36" t="str">
        <f aca="false">IF('Raw data'!$A14="","",'Raw data'!$A14)</f>
        <v>Sweden</v>
      </c>
      <c r="B14" s="36" t="str">
        <f aca="false">IF($A14="","",'Raw data'!$C14)</f>
        <v>Residential</v>
      </c>
      <c r="C14" s="36" t="str">
        <f aca="false">IF($A14="","",IF('Raw data'!$D14="",$A14,'Raw data'!$D14))</f>
        <v>Sweden</v>
      </c>
      <c r="D14" s="37" t="n">
        <f aca="false">IF($A14="","",IF(AND(ISNUMBER(P14),ISNUMBER(AB14)),P14+AB14,""))</f>
        <v>8380.22</v>
      </c>
      <c r="E14" s="37" t="n">
        <f aca="false">IF($A14="","",IF(AND(ISNUMBER(Q14),ISNUMBER(AC14)),Q14+AC14,""))</f>
        <v>8776.18</v>
      </c>
      <c r="F14" s="37" t="n">
        <f aca="false">IF($A14="","",IF(AND(ISNUMBER(R14),ISNUMBER(AD14)),R14+AD14,""))</f>
        <v>9202.1</v>
      </c>
      <c r="G14" s="37" t="n">
        <f aca="false">IF($A14="","",IF(AND(ISNUMBER(S14),ISNUMBER(AE14)),S14+AE14,""))</f>
        <v>9061.96</v>
      </c>
      <c r="H14" s="37" t="n">
        <f aca="false">IF($A14="","",IF(AND(ISNUMBER(T14),ISNUMBER(AF14)),T14+AF14,""))</f>
        <v>8634.45</v>
      </c>
      <c r="I14" s="37" t="n">
        <f aca="false">IF($A14="","",IF(AND(ISNUMBER(U14),ISNUMBER(AG14)),U14+AG14,""))</f>
        <v>8363.88</v>
      </c>
      <c r="J14" s="37" t="n">
        <f aca="false">IF($A14="","",IF(AND(ISNUMBER(V14),ISNUMBER(AH14)),V14+AH14,""))</f>
        <v>8535.63</v>
      </c>
      <c r="K14" s="37" t="n">
        <f aca="false">IF($A14="","",IF(AND(ISNUMBER(W14),ISNUMBER(AI14)),W14+AI14,""))</f>
        <v>8896.12</v>
      </c>
      <c r="L14" s="37" t="n">
        <f aca="false">IF($A14="","",IF(AND(ISNUMBER(X14),ISNUMBER(AJ14)),X14+AJ14,""))</f>
        <v>9099.96</v>
      </c>
      <c r="M14" s="37" t="n">
        <f aca="false">IF($A14="","",IF(AND(ISNUMBER(Y14),ISNUMBER(AK14)),Y14+AK14,""))</f>
        <v>9255.97</v>
      </c>
      <c r="N14" s="37" t="n">
        <f aca="false">IF($A14="","",IF(AND(ISNUMBER(Z14),ISNUMBER(AL14)),Z14+AL14,""))</f>
        <v>9521.88</v>
      </c>
      <c r="O14" s="37" t="n">
        <f aca="false">IF($A14="","",IF(AND(ISNUMBER(AA14),ISNUMBER(AM14)),AA14+AM14,""))</f>
        <v>9690.43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Economics'!$B$7:$B$1000,Settings!$B$16))),""))</f>
        <v>4053.53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Economics'!$B$7:$B$1000,Settings!$B$16))),""))</f>
        <v>4041.52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Economics'!$B$7:$B$1000,Settings!$B$16))),""))</f>
        <v>4181.8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Economics'!$B$7:$B$1000,Settings!$B$16))),""))</f>
        <v>4935.68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Economics'!$B$7:$B$1000,Settings!$B$16))),""))</f>
        <v>5225.83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Economics'!$B$7:$B$1000,Settings!$B$16))),""))</f>
        <v>5075.26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Economics'!$B$7:$B$1000,Settings!$B$16))),""))</f>
        <v>5050.7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Economics'!$B$7:$B$1000,Settings!$B$16))),""))</f>
        <v>5249.98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Economics'!$B$7:$B$1000,Settings!$B$16))),""))</f>
        <v>5371.29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Economics'!$B$7:$B$1000,Settings!$B$16))),""))</f>
        <v>5460.51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Economics'!$B$7:$B$1000,Settings!$B$16))),""))</f>
        <v>5654.06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Economics'!$B$7:$B$1000,Settings!$B$16))),""))</f>
        <v>5759.77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Economics'!$B$7:$B$1000,Settings!$B$15))),""))</f>
        <v>4326.69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Economics'!$B$7:$B$1000,Settings!$B$15))),""))</f>
        <v>4734.66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Economics'!$B$7:$B$1000,Settings!$B$15))),""))</f>
        <v>5020.3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Economics'!$B$7:$B$1000,Settings!$B$15))),""))</f>
        <v>4126.28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Economics'!$B$7:$B$1000,Settings!$B$15))),""))</f>
        <v>3408.62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Economics'!$B$7:$B$1000,Settings!$B$15))),""))</f>
        <v>3288.62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Economics'!$B$7:$B$1000,Settings!$B$15))),""))</f>
        <v>3484.93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Economics'!$B$7:$B$1000,Settings!$B$15))),""))</f>
        <v>3646.14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Economics'!$B$7:$B$1000,Settings!$B$15))),""))</f>
        <v>3728.67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Economics'!$B$7:$B$1000,Settings!$B$15))),""))</f>
        <v>3795.46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Economics'!$B$7:$B$1000,Settings!$B$15))),""))</f>
        <v>3867.82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Economics'!$B$7:$B$1000,Settings!$B$15))),""))</f>
        <v>3930.66</v>
      </c>
    </row>
    <row r="15" customFormat="false" ht="15" hidden="false" customHeight="false" outlineLevel="0" collapsed="false">
      <c r="A15" s="36" t="str">
        <f aca="false">IF('Raw data'!$A15="","",'Raw data'!$A15)</f>
        <v>Sweden</v>
      </c>
      <c r="B15" s="36" t="str">
        <f aca="false">IF($A15="","",'Raw data'!$C15)</f>
        <v>Commercial</v>
      </c>
      <c r="C15" s="36" t="str">
        <f aca="false">IF($A15="","",IF('Raw data'!$D15="",$A15,'Raw data'!$D15))</f>
        <v>Sweden</v>
      </c>
      <c r="D15" s="37" t="n">
        <f aca="false">IF($A15="","",IF(AND(ISNUMBER(P15),ISNUMBER(AB15)),P15+AB15,""))</f>
        <v>17278.38</v>
      </c>
      <c r="E15" s="37" t="n">
        <f aca="false">IF($A15="","",IF(AND(ISNUMBER(Q15),ISNUMBER(AC15)),Q15+AC15,""))</f>
        <v>17683.56</v>
      </c>
      <c r="F15" s="37" t="n">
        <f aca="false">IF($A15="","",IF(AND(ISNUMBER(R15),ISNUMBER(AD15)),R15+AD15,""))</f>
        <v>18076.28</v>
      </c>
      <c r="G15" s="37" t="n">
        <f aca="false">IF($A15="","",IF(AND(ISNUMBER(S15),ISNUMBER(AE15)),S15+AE15,""))</f>
        <v>17772.72</v>
      </c>
      <c r="H15" s="37" t="n">
        <f aca="false">IF($A15="","",IF(AND(ISNUMBER(T15),ISNUMBER(AF15)),T15+AF15,""))</f>
        <v>17652.06</v>
      </c>
      <c r="I15" s="37" t="n">
        <f aca="false">IF($A15="","",IF(AND(ISNUMBER(U15),ISNUMBER(AG15)),U15+AG15,""))</f>
        <v>16933.1</v>
      </c>
      <c r="J15" s="37" t="n">
        <f aca="false">IF($A15="","",IF(AND(ISNUMBER(V15),ISNUMBER(AH15)),V15+AH15,""))</f>
        <v>16822.53</v>
      </c>
      <c r="K15" s="37" t="n">
        <f aca="false">IF($A15="","",IF(AND(ISNUMBER(W15),ISNUMBER(AI15)),W15+AI15,""))</f>
        <v>17106.48</v>
      </c>
      <c r="L15" s="37" t="n">
        <f aca="false">IF($A15="","",IF(AND(ISNUMBER(X15),ISNUMBER(AJ15)),X15+AJ15,""))</f>
        <v>17497.61</v>
      </c>
      <c r="M15" s="37" t="n">
        <f aca="false">IF($A15="","",IF(AND(ISNUMBER(Y15),ISNUMBER(AK15)),Y15+AK15,""))</f>
        <v>17916.37</v>
      </c>
      <c r="N15" s="37" t="n">
        <f aca="false">IF($A15="","",IF(AND(ISNUMBER(Z15),ISNUMBER(AL15)),Z15+AL15,""))</f>
        <v>18475.21</v>
      </c>
      <c r="O15" s="37" t="n">
        <f aca="false">IF($A15="","",IF(AND(ISNUMBER(AA15),ISNUMBER(AM15)),AA15+AM15,""))</f>
        <v>18820.48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Economics'!$B$7:$B$1000,Settings!$B$16))),""))</f>
        <v>7171.26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Economics'!$B$7:$B$1000,Settings!$B$16))),""))</f>
        <v>7319.44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Economics'!$B$7:$B$1000,Settings!$B$16))),""))</f>
        <v>7514.95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Economics'!$B$7:$B$1000,Settings!$B$16))),""))</f>
        <v>8457.81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Economics'!$B$7:$B$1000,Settings!$B$16))),""))</f>
        <v>9366.23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Economics'!$B$7:$B$1000,Settings!$B$16))),""))</f>
        <v>9161.16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Economics'!$B$7:$B$1000,Settings!$B$16))),""))</f>
        <v>8941.93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Economics'!$B$7:$B$1000,Settings!$B$16))),""))</f>
        <v>9038.01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Economics'!$B$7:$B$1000,Settings!$B$16))),""))</f>
        <v>9303.59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Economics'!$B$7:$B$1000,Settings!$B$16))),""))</f>
        <v>9621.21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Economics'!$B$7:$B$1000,Settings!$B$16))),""))</f>
        <v>10026.21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Economics'!$B$7:$B$1000,Settings!$B$16))),""))</f>
        <v>10197.62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Economics'!$B$7:$B$1000,Settings!$B$15))),""))</f>
        <v>10107.12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Economics'!$B$7:$B$1000,Settings!$B$15))),""))</f>
        <v>10364.12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Economics'!$B$7:$B$1000,Settings!$B$15))),""))</f>
        <v>10561.33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Economics'!$B$7:$B$1000,Settings!$B$15))),""))</f>
        <v>9314.91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Economics'!$B$7:$B$1000,Settings!$B$15))),""))</f>
        <v>8285.83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Economics'!$B$7:$B$1000,Settings!$B$15))),""))</f>
        <v>7771.94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Economics'!$B$7:$B$1000,Settings!$B$15))),""))</f>
        <v>7880.6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Economics'!$B$7:$B$1000,Settings!$B$15))),""))</f>
        <v>8068.47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Economics'!$B$7:$B$1000,Settings!$B$15))),""))</f>
        <v>8194.02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Economics'!$B$7:$B$1000,Settings!$B$15))),""))</f>
        <v>8295.16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Economics'!$B$7:$B$1000,Settings!$B$15))),""))</f>
        <v>8449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Economics'!$B$7:$B$1000,Settings!$B$15))),""))</f>
        <v>8622.86</v>
      </c>
    </row>
    <row r="16" customFormat="false" ht="15" hidden="false" customHeight="false" outlineLevel="0" collapsed="false">
      <c r="A16" s="36" t="str">
        <f aca="false">IF('Raw data'!$A16="","",'Raw data'!$A16)</f>
        <v>Norway</v>
      </c>
      <c r="B16" s="36" t="str">
        <f aca="false">IF($A16="","",'Raw data'!$C16)</f>
        <v>Residential</v>
      </c>
      <c r="C16" s="36" t="str">
        <f aca="false">IF($A16="","",IF('Raw data'!$D16="",$A16,'Raw data'!$D16))</f>
        <v>Norway</v>
      </c>
      <c r="D16" s="37" t="n">
        <f aca="false">IF($A16="","",IF(AND(ISNUMBER(P16),ISNUMBER(AB16)),P16+AB16,""))</f>
        <v>4895.05</v>
      </c>
      <c r="E16" s="37" t="n">
        <f aca="false">IF($A16="","",IF(AND(ISNUMBER(Q16),ISNUMBER(AC16)),Q16+AC16,""))</f>
        <v>4903.45</v>
      </c>
      <c r="F16" s="37" t="n">
        <f aca="false">IF($A16="","",IF(AND(ISNUMBER(R16),ISNUMBER(AD16)),R16+AD16,""))</f>
        <v>4862.79</v>
      </c>
      <c r="G16" s="37" t="n">
        <f aca="false">IF($A16="","",IF(AND(ISNUMBER(S16),ISNUMBER(AE16)),S16+AE16,""))</f>
        <v>4758.22</v>
      </c>
      <c r="H16" s="37" t="n">
        <f aca="false">IF($A16="","",IF(AND(ISNUMBER(T16),ISNUMBER(AF16)),T16+AF16,""))</f>
        <v>4512.12</v>
      </c>
      <c r="I16" s="37" t="n">
        <f aca="false">IF($A16="","",IF(AND(ISNUMBER(U16),ISNUMBER(AG16)),U16+AG16,""))</f>
        <v>4324.92</v>
      </c>
      <c r="J16" s="37" t="n">
        <f aca="false">IF($A16="","",IF(AND(ISNUMBER(V16),ISNUMBER(AH16)),V16+AH16,""))</f>
        <v>4084.4</v>
      </c>
      <c r="K16" s="37" t="n">
        <f aca="false">IF($A16="","",IF(AND(ISNUMBER(W16),ISNUMBER(AI16)),W16+AI16,""))</f>
        <v>4107.37</v>
      </c>
      <c r="L16" s="37" t="n">
        <f aca="false">IF($A16="","",IF(AND(ISNUMBER(X16),ISNUMBER(AJ16)),X16+AJ16,""))</f>
        <v>4322.25</v>
      </c>
      <c r="M16" s="37" t="n">
        <f aca="false">IF($A16="","",IF(AND(ISNUMBER(Y16),ISNUMBER(AK16)),Y16+AK16,""))</f>
        <v>4479.47</v>
      </c>
      <c r="N16" s="37" t="n">
        <f aca="false">IF($A16="","",IF(AND(ISNUMBER(Z16),ISNUMBER(AL16)),Z16+AL16,""))</f>
        <v>4640.05</v>
      </c>
      <c r="O16" s="37" t="n">
        <f aca="false">IF($A16="","",IF(AND(ISNUMBER(AA16),ISNUMBER(AM16)),AA16+AM16,""))</f>
        <v>4703.5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Economics'!$B$7:$B$1000,Settings!$B$16))),""))</f>
        <v>3108.28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Economics'!$B$7:$B$1000,Settings!$B$16))),""))</f>
        <v>2970.47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Economics'!$B$7:$B$1000,Settings!$B$16))),""))</f>
        <v>3027.33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Economics'!$B$7:$B$1000,Settings!$B$16))),""))</f>
        <v>3334.88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Economics'!$B$7:$B$1000,Settings!$B$16))),""))</f>
        <v>3364.39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Economics'!$B$7:$B$1000,Settings!$B$16))),""))</f>
        <v>3253.72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Economics'!$B$7:$B$1000,Settings!$B$16))),""))</f>
        <v>3058.86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Economics'!$B$7:$B$1000,Settings!$B$16))),""))</f>
        <v>3055.63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Economics'!$B$7:$B$1000,Settings!$B$16))),""))</f>
        <v>3180.26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Economics'!$B$7:$B$1000,Settings!$B$16))),""))</f>
        <v>3260.16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Economics'!$B$7:$B$1000,Settings!$B$16))),""))</f>
        <v>3367.77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Economics'!$B$7:$B$1000,Settings!$B$16))),""))</f>
        <v>3398.17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Economics'!$B$7:$B$1000,Settings!$B$15))),""))</f>
        <v>1786.77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Economics'!$B$7:$B$1000,Settings!$B$15))),""))</f>
        <v>1932.98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Economics'!$B$7:$B$1000,Settings!$B$15))),""))</f>
        <v>1835.46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Economics'!$B$7:$B$1000,Settings!$B$15))),""))</f>
        <v>1423.34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Economics'!$B$7:$B$1000,Settings!$B$15))),""))</f>
        <v>1147.73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Economics'!$B$7:$B$1000,Settings!$B$15))),""))</f>
        <v>1071.2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Economics'!$B$7:$B$1000,Settings!$B$15))),""))</f>
        <v>1025.54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Economics'!$B$7:$B$1000,Settings!$B$15))),""))</f>
        <v>1051.74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Economics'!$B$7:$B$1000,Settings!$B$15))),""))</f>
        <v>1141.99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Economics'!$B$7:$B$1000,Settings!$B$15))),""))</f>
        <v>1219.31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Economics'!$B$7:$B$1000,Settings!$B$15))),""))</f>
        <v>1272.28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Economics'!$B$7:$B$1000,Settings!$B$15))),""))</f>
        <v>1305.33</v>
      </c>
    </row>
    <row r="17" customFormat="false" ht="15" hidden="false" customHeight="false" outlineLevel="0" collapsed="false">
      <c r="A17" s="36" t="str">
        <f aca="false">IF('Raw data'!$A17="","",'Raw data'!$A17)</f>
        <v>Norway</v>
      </c>
      <c r="B17" s="36" t="str">
        <f aca="false">IF($A17="","",'Raw data'!$C17)</f>
        <v>Commercial</v>
      </c>
      <c r="C17" s="36" t="str">
        <f aca="false">IF($A17="","",IF('Raw data'!$D17="",$A17,'Raw data'!$D17))</f>
        <v>Norway</v>
      </c>
      <c r="D17" s="37" t="n">
        <f aca="false">IF($A17="","",IF(AND(ISNUMBER(P17),ISNUMBER(AB17)),P17+AB17,""))</f>
        <v>12613.05</v>
      </c>
      <c r="E17" s="37" t="n">
        <f aca="false">IF($A17="","",IF(AND(ISNUMBER(Q17),ISNUMBER(AC17)),Q17+AC17,""))</f>
        <v>12948.06</v>
      </c>
      <c r="F17" s="37" t="n">
        <f aca="false">IF($A17="","",IF(AND(ISNUMBER(R17),ISNUMBER(AD17)),R17+AD17,""))</f>
        <v>13412.33</v>
      </c>
      <c r="G17" s="37" t="n">
        <f aca="false">IF($A17="","",IF(AND(ISNUMBER(S17),ISNUMBER(AE17)),S17+AE17,""))</f>
        <v>12979.57</v>
      </c>
      <c r="H17" s="37" t="n">
        <f aca="false">IF($A17="","",IF(AND(ISNUMBER(T17),ISNUMBER(AF17)),T17+AF17,""))</f>
        <v>12222.4</v>
      </c>
      <c r="I17" s="37" t="n">
        <f aca="false">IF($A17="","",IF(AND(ISNUMBER(U17),ISNUMBER(AG17)),U17+AG17,""))</f>
        <v>11770.8</v>
      </c>
      <c r="J17" s="37" t="n">
        <f aca="false">IF($A17="","",IF(AND(ISNUMBER(V17),ISNUMBER(AH17)),V17+AH17,""))</f>
        <v>12057.35</v>
      </c>
      <c r="K17" s="37" t="n">
        <f aca="false">IF($A17="","",IF(AND(ISNUMBER(W17),ISNUMBER(AI17)),W17+AI17,""))</f>
        <v>12012.11</v>
      </c>
      <c r="L17" s="37" t="n">
        <f aca="false">IF($A17="","",IF(AND(ISNUMBER(X17),ISNUMBER(AJ17)),X17+AJ17,""))</f>
        <v>12211.73</v>
      </c>
      <c r="M17" s="37" t="n">
        <f aca="false">IF($A17="","",IF(AND(ISNUMBER(Y17),ISNUMBER(AK17)),Y17+AK17,""))</f>
        <v>12656.74</v>
      </c>
      <c r="N17" s="37" t="n">
        <f aca="false">IF($A17="","",IF(AND(ISNUMBER(Z17),ISNUMBER(AL17)),Z17+AL17,""))</f>
        <v>13227.63</v>
      </c>
      <c r="O17" s="37" t="n">
        <f aca="false">IF($A17="","",IF(AND(ISNUMBER(AA17),ISNUMBER(AM17)),AA17+AM17,""))</f>
        <v>13465.99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Economics'!$B$7:$B$1000,Settings!$B$16))),""))</f>
        <v>6454.16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Economics'!$B$7:$B$1000,Settings!$B$16))),""))</f>
        <v>6613.73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Economics'!$B$7:$B$1000,Settings!$B$16))),""))</f>
        <v>6903.92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Economics'!$B$7:$B$1000,Settings!$B$16))),""))</f>
        <v>7151.52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Economics'!$B$7:$B$1000,Settings!$B$16))),""))</f>
        <v>7340.58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Economics'!$B$7:$B$1000,Settings!$B$16))),""))</f>
        <v>6963.6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Economics'!$B$7:$B$1000,Settings!$B$16))),""))</f>
        <v>6921.94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Economics'!$B$7:$B$1000,Settings!$B$16))),""))</f>
        <v>6963.47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Economics'!$B$7:$B$1000,Settings!$B$16))),""))</f>
        <v>7119.57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Economics'!$B$7:$B$1000,Settings!$B$16))),""))</f>
        <v>7450.86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Economics'!$B$7:$B$1000,Settings!$B$16))),""))</f>
        <v>7930.05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Economics'!$B$7:$B$1000,Settings!$B$16))),""))</f>
        <v>8078.6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Economics'!$B$7:$B$1000,Settings!$B$15))),""))</f>
        <v>6158.89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Economics'!$B$7:$B$1000,Settings!$B$15))),""))</f>
        <v>6334.33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Economics'!$B$7:$B$1000,Settings!$B$15))),""))</f>
        <v>6508.41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Economics'!$B$7:$B$1000,Settings!$B$15))),""))</f>
        <v>5828.05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Economics'!$B$7:$B$1000,Settings!$B$15))),""))</f>
        <v>4881.82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Economics'!$B$7:$B$1000,Settings!$B$15))),""))</f>
        <v>4807.2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Economics'!$B$7:$B$1000,Settings!$B$15))),""))</f>
        <v>5135.41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Economics'!$B$7:$B$1000,Settings!$B$15))),""))</f>
        <v>5048.64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Economics'!$B$7:$B$1000,Settings!$B$15))),""))</f>
        <v>5092.16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Economics'!$B$7:$B$1000,Settings!$B$15))),""))</f>
        <v>5205.88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Economics'!$B$7:$B$1000,Settings!$B$15))),""))</f>
        <v>5297.58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Economics'!$B$7:$B$1000,Settings!$B$15))),""))</f>
        <v>5387.39</v>
      </c>
    </row>
    <row r="18" customFormat="false" ht="15" hidden="false" customHeight="false" outlineLevel="0" collapsed="false">
      <c r="A18" s="36" t="str">
        <f aca="false">IF('Raw data'!$A18="","",'Raw data'!$A18)</f>
        <v>Finland</v>
      </c>
      <c r="B18" s="36" t="str">
        <f aca="false">IF($A18="","",'Raw data'!$C18)</f>
        <v>Residential</v>
      </c>
      <c r="C18" s="36" t="str">
        <f aca="false">IF($A18="","",IF('Raw data'!$D18="",$A18,'Raw data'!$D18))</f>
        <v>Finland</v>
      </c>
      <c r="D18" s="37" t="n">
        <f aca="false">IF($A18="","",IF(AND(ISNUMBER(P18),ISNUMBER(AB18)),P18+AB18,""))</f>
        <v>2336.17</v>
      </c>
      <c r="E18" s="37" t="n">
        <f aca="false">IF($A18="","",IF(AND(ISNUMBER(Q18),ISNUMBER(AC18)),Q18+AC18,""))</f>
        <v>2387.37</v>
      </c>
      <c r="F18" s="37" t="n">
        <f aca="false">IF($A18="","",IF(AND(ISNUMBER(R18),ISNUMBER(AD18)),R18+AD18,""))</f>
        <v>2333.08</v>
      </c>
      <c r="G18" s="37" t="n">
        <f aca="false">IF($A18="","",IF(AND(ISNUMBER(S18),ISNUMBER(AE18)),S18+AE18,""))</f>
        <v>1976.85</v>
      </c>
      <c r="H18" s="37" t="n">
        <f aca="false">IF($A18="","",IF(AND(ISNUMBER(T18),ISNUMBER(AF18)),T18+AF18,""))</f>
        <v>1748.21</v>
      </c>
      <c r="I18" s="37" t="n">
        <f aca="false">IF($A18="","",IF(AND(ISNUMBER(U18),ISNUMBER(AG18)),U18+AG18,""))</f>
        <v>1692.48</v>
      </c>
      <c r="J18" s="37" t="n">
        <f aca="false">IF($A18="","",IF(AND(ISNUMBER(V18),ISNUMBER(AH18)),V18+AH18,""))</f>
        <v>1642.2</v>
      </c>
      <c r="K18" s="37" t="n">
        <f aca="false">IF($A18="","",IF(AND(ISNUMBER(W18),ISNUMBER(AI18)),W18+AI18,""))</f>
        <v>1735.21</v>
      </c>
      <c r="L18" s="37" t="n">
        <f aca="false">IF($A18="","",IF(AND(ISNUMBER(X18),ISNUMBER(AJ18)),X18+AJ18,""))</f>
        <v>1835.11</v>
      </c>
      <c r="M18" s="37" t="n">
        <f aca="false">IF($A18="","",IF(AND(ISNUMBER(Y18),ISNUMBER(AK18)),Y18+AK18,""))</f>
        <v>1896.58</v>
      </c>
      <c r="N18" s="37" t="n">
        <f aca="false">IF($A18="","",IF(AND(ISNUMBER(Z18),ISNUMBER(AL18)),Z18+AL18,""))</f>
        <v>1946.66</v>
      </c>
      <c r="O18" s="37" t="n">
        <f aca="false">IF($A18="","",IF(AND(ISNUMBER(AA18),ISNUMBER(AM18)),AA18+AM18,""))</f>
        <v>2008.13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Economics'!$B$7:$B$1000,Settings!$B$16))),""))</f>
        <v>1662.45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Economics'!$B$7:$B$1000,Settings!$B$16))),""))</f>
        <v>1574.36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Economics'!$B$7:$B$1000,Settings!$B$16))),""))</f>
        <v>1533.7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Economics'!$B$7:$B$1000,Settings!$B$16))),""))</f>
        <v>1509.94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Economics'!$B$7:$B$1000,Settings!$B$16))),""))</f>
        <v>1402.38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Economics'!$B$7:$B$1000,Settings!$B$16))),""))</f>
        <v>1354.37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Economics'!$B$7:$B$1000,Settings!$B$16))),""))</f>
        <v>1332.24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Economics'!$B$7:$B$1000,Settings!$B$16))),""))</f>
        <v>1429.49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Economics'!$B$7:$B$1000,Settings!$B$16))),""))</f>
        <v>1508.13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Economics'!$B$7:$B$1000,Settings!$B$16))),""))</f>
        <v>1547.79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Economics'!$B$7:$B$1000,Settings!$B$16))),""))</f>
        <v>1570.63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Economics'!$B$7:$B$1000,Settings!$B$16))),""))</f>
        <v>1604.81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Economics'!$B$7:$B$1000,Settings!$B$15))),""))</f>
        <v>673.72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Economics'!$B$7:$B$1000,Settings!$B$15))),""))</f>
        <v>813.01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Economics'!$B$7:$B$1000,Settings!$B$15))),""))</f>
        <v>799.38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Economics'!$B$7:$B$1000,Settings!$B$15))),""))</f>
        <v>466.91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Economics'!$B$7:$B$1000,Settings!$B$15))),""))</f>
        <v>345.83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Economics'!$B$7:$B$1000,Settings!$B$15))),""))</f>
        <v>338.11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Economics'!$B$7:$B$1000,Settings!$B$15))),""))</f>
        <v>309.96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Economics'!$B$7:$B$1000,Settings!$B$15))),""))</f>
        <v>305.72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Economics'!$B$7:$B$1000,Settings!$B$15))),""))</f>
        <v>326.98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Economics'!$B$7:$B$1000,Settings!$B$15))),""))</f>
        <v>348.79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Economics'!$B$7:$B$1000,Settings!$B$15))),""))</f>
        <v>376.03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Economics'!$B$7:$B$1000,Settings!$B$15))),""))</f>
        <v>403.32</v>
      </c>
    </row>
    <row r="19" customFormat="false" ht="15" hidden="false" customHeight="false" outlineLevel="0" collapsed="false">
      <c r="A19" s="36" t="str">
        <f aca="false">IF('Raw data'!$A19="","",'Raw data'!$A19)</f>
        <v>Finland</v>
      </c>
      <c r="B19" s="36" t="str">
        <f aca="false">IF($A19="","",'Raw data'!$C19)</f>
        <v>Commercial</v>
      </c>
      <c r="C19" s="36" t="str">
        <f aca="false">IF($A19="","",IF('Raw data'!$D19="",$A19,'Raw data'!$D19))</f>
        <v>Finland</v>
      </c>
      <c r="D19" s="37" t="n">
        <f aca="false">IF($A19="","",IF(AND(ISNUMBER(P19),ISNUMBER(AB19)),P19+AB19,""))</f>
        <v>6490.63</v>
      </c>
      <c r="E19" s="37" t="n">
        <f aca="false">IF($A19="","",IF(AND(ISNUMBER(Q19),ISNUMBER(AC19)),Q19+AC19,""))</f>
        <v>6679.43</v>
      </c>
      <c r="F19" s="37" t="n">
        <f aca="false">IF($A19="","",IF(AND(ISNUMBER(R19),ISNUMBER(AD19)),R19+AD19,""))</f>
        <v>6635.91</v>
      </c>
      <c r="G19" s="37" t="n">
        <f aca="false">IF($A19="","",IF(AND(ISNUMBER(S19),ISNUMBER(AE19)),S19+AE19,""))</f>
        <v>5645.57</v>
      </c>
      <c r="H19" s="37" t="n">
        <f aca="false">IF($A19="","",IF(AND(ISNUMBER(T19),ISNUMBER(AF19)),T19+AF19,""))</f>
        <v>4821.81</v>
      </c>
      <c r="I19" s="37" t="n">
        <f aca="false">IF($A19="","",IF(AND(ISNUMBER(U19),ISNUMBER(AG19)),U19+AG19,""))</f>
        <v>4695.02</v>
      </c>
      <c r="J19" s="37" t="n">
        <f aca="false">IF($A19="","",IF(AND(ISNUMBER(V19),ISNUMBER(AH19)),V19+AH19,""))</f>
        <v>4654.98</v>
      </c>
      <c r="K19" s="37" t="n">
        <f aca="false">IF($A19="","",IF(AND(ISNUMBER(W19),ISNUMBER(AI19)),W19+AI19,""))</f>
        <v>4861.81</v>
      </c>
      <c r="L19" s="37" t="n">
        <f aca="false">IF($A19="","",IF(AND(ISNUMBER(X19),ISNUMBER(AJ19)),X19+AJ19,""))</f>
        <v>5071.37</v>
      </c>
      <c r="M19" s="37" t="n">
        <f aca="false">IF($A19="","",IF(AND(ISNUMBER(Y19),ISNUMBER(AK19)),Y19+AK19,""))</f>
        <v>5215.28</v>
      </c>
      <c r="N19" s="37" t="n">
        <f aca="false">IF($A19="","",IF(AND(ISNUMBER(Z19),ISNUMBER(AL19)),Z19+AL19,""))</f>
        <v>5342.87</v>
      </c>
      <c r="O19" s="37" t="n">
        <f aca="false">IF($A19="","",IF(AND(ISNUMBER(AA19),ISNUMBER(AM19)),AA19+AM19,""))</f>
        <v>5476.87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Economics'!$B$7:$B$1000,Settings!$B$16))),""))</f>
        <v>3240.38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Economics'!$B$7:$B$1000,Settings!$B$16))),""))</f>
        <v>3212.13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Economics'!$B$7:$B$1000,Settings!$B$16))),""))</f>
        <v>3147.47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Economics'!$B$7:$B$1000,Settings!$B$16))),""))</f>
        <v>3131.19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Economics'!$B$7:$B$1000,Settings!$B$16))),""))</f>
        <v>3000.91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Economics'!$B$7:$B$1000,Settings!$B$16))),""))</f>
        <v>2938.33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Economics'!$B$7:$B$1000,Settings!$B$16))),""))</f>
        <v>3025.49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Economics'!$B$7:$B$1000,Settings!$B$16))),""))</f>
        <v>3301.31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Economics'!$B$7:$B$1000,Settings!$B$16))),""))</f>
        <v>3437.98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Economics'!$B$7:$B$1000,Settings!$B$16))),""))</f>
        <v>3473.29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Economics'!$B$7:$B$1000,Settings!$B$16))),""))</f>
        <v>3484.06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Economics'!$B$7:$B$1000,Settings!$B$16))),""))</f>
        <v>3501.42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Economics'!$B$7:$B$1000,Settings!$B$15))),""))</f>
        <v>3250.25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Economics'!$B$7:$B$1000,Settings!$B$15))),""))</f>
        <v>3467.3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Economics'!$B$7:$B$1000,Settings!$B$15))),""))</f>
        <v>3488.44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Economics'!$B$7:$B$1000,Settings!$B$15))),""))</f>
        <v>2514.38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Economics'!$B$7:$B$1000,Settings!$B$15))),""))</f>
        <v>1820.9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Economics'!$B$7:$B$1000,Settings!$B$15))),""))</f>
        <v>1756.69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Economics'!$B$7:$B$1000,Settings!$B$15))),""))</f>
        <v>1629.49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Economics'!$B$7:$B$1000,Settings!$B$15))),""))</f>
        <v>1560.5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Economics'!$B$7:$B$1000,Settings!$B$15))),""))</f>
        <v>1633.39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Economics'!$B$7:$B$1000,Settings!$B$15))),""))</f>
        <v>1741.99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Economics'!$B$7:$B$1000,Settings!$B$15))),""))</f>
        <v>1858.81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Economics'!$B$7:$B$1000,Settings!$B$15))),""))</f>
        <v>1975.45</v>
      </c>
    </row>
    <row r="20" customFormat="false" ht="15" hidden="false" customHeight="false" outlineLevel="0" collapsed="false">
      <c r="A20" s="36" t="str">
        <f aca="false">IF('Raw data'!$A20="","",'Raw data'!$A20)</f>
        <v>Denmark</v>
      </c>
      <c r="B20" s="36" t="str">
        <f aca="false">IF($A20="","",'Raw data'!$C20)</f>
        <v>Residential</v>
      </c>
      <c r="C20" s="36" t="str">
        <f aca="false">IF($A20="","",IF('Raw data'!$D20="",$A20,'Raw data'!$D20))</f>
        <v>Denmark</v>
      </c>
      <c r="D20" s="37" t="n">
        <f aca="false">IF($A20="","",IF(AND(ISNUMBER(P20),ISNUMBER(AB20)),P20+AB20,""))</f>
        <v>10258.15</v>
      </c>
      <c r="E20" s="37" t="n">
        <f aca="false">IF($A20="","",IF(AND(ISNUMBER(Q20),ISNUMBER(AC20)),Q20+AC20,""))</f>
        <v>11393.66</v>
      </c>
      <c r="F20" s="37" t="n">
        <f aca="false">IF($A20="","",IF(AND(ISNUMBER(R20),ISNUMBER(AD20)),R20+AD20,""))</f>
        <v>11091.08</v>
      </c>
      <c r="G20" s="37" t="n">
        <f aca="false">IF($A20="","",IF(AND(ISNUMBER(S20),ISNUMBER(AE20)),S20+AE20,""))</f>
        <v>10945.12</v>
      </c>
      <c r="H20" s="37" t="n">
        <f aca="false">IF($A20="","",IF(AND(ISNUMBER(T20),ISNUMBER(AF20)),T20+AF20,""))</f>
        <v>12310.5</v>
      </c>
      <c r="I20" s="37" t="n">
        <f aca="false">IF($A20="","",IF(AND(ISNUMBER(U20),ISNUMBER(AG20)),U20+AG20,""))</f>
        <v>12045.18</v>
      </c>
      <c r="J20" s="37" t="n">
        <f aca="false">IF($A20="","",IF(AND(ISNUMBER(V20),ISNUMBER(AH20)),V20+AH20,""))</f>
        <v>11406.58</v>
      </c>
      <c r="K20" s="37" t="n">
        <f aca="false">IF($A20="","",IF(AND(ISNUMBER(W20),ISNUMBER(AI20)),W20+AI20,""))</f>
        <v>11757.35</v>
      </c>
      <c r="L20" s="37" t="n">
        <f aca="false">IF($A20="","",IF(AND(ISNUMBER(X20),ISNUMBER(AJ20)),X20+AJ20,""))</f>
        <v>12016.43</v>
      </c>
      <c r="M20" s="37" t="n">
        <f aca="false">IF($A20="","",IF(AND(ISNUMBER(Y20),ISNUMBER(AK20)),Y20+AK20,""))</f>
        <v>12239.31</v>
      </c>
      <c r="N20" s="37" t="n">
        <f aca="false">IF($A20="","",IF(AND(ISNUMBER(Z20),ISNUMBER(AL20)),Z20+AL20,""))</f>
        <v>12388.16</v>
      </c>
      <c r="O20" s="37" t="n">
        <f aca="false">IF($A20="","",IF(AND(ISNUMBER(AA20),ISNUMBER(AM20)),AA20+AM20,""))</f>
        <v>12480.02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Economics'!$B$7:$B$1000,Settings!$B$16))),""))</f>
        <v>7413.64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Economics'!$B$7:$B$1000,Settings!$B$16))),""))</f>
        <v>8287.25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Economics'!$B$7:$B$1000,Settings!$B$16))),""))</f>
        <v>8191.36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Economics'!$B$7:$B$1000,Settings!$B$16))),""))</f>
        <v>8845.66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Economics'!$B$7:$B$1000,Settings!$B$16))),""))</f>
        <v>10156.21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Economics'!$B$7:$B$1000,Settings!$B$16))),""))</f>
        <v>9839.11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Economics'!$B$7:$B$1000,Settings!$B$16))),""))</f>
        <v>9341.1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Economics'!$B$7:$B$1000,Settings!$B$16))),""))</f>
        <v>9919.69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Economics'!$B$7:$B$1000,Settings!$B$16))),""))</f>
        <v>10244.87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Economics'!$B$7:$B$1000,Settings!$B$16))),""))</f>
        <v>10484.1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Economics'!$B$7:$B$1000,Settings!$B$16))),""))</f>
        <v>10640.23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Economics'!$B$7:$B$1000,Settings!$B$16))),""))</f>
        <v>10732.64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Economics'!$B$7:$B$1000,Settings!$B$15))),""))</f>
        <v>2844.51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Economics'!$B$7:$B$1000,Settings!$B$15))),""))</f>
        <v>3106.41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Economics'!$B$7:$B$1000,Settings!$B$15))),""))</f>
        <v>2899.72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Economics'!$B$7:$B$1000,Settings!$B$15))),""))</f>
        <v>2099.46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Economics'!$B$7:$B$1000,Settings!$B$15))),""))</f>
        <v>2154.29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Economics'!$B$7:$B$1000,Settings!$B$15))),""))</f>
        <v>2206.07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Economics'!$B$7:$B$1000,Settings!$B$15))),""))</f>
        <v>2065.48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Economics'!$B$7:$B$1000,Settings!$B$15))),""))</f>
        <v>1837.66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Economics'!$B$7:$B$1000,Settings!$B$15))),""))</f>
        <v>1771.56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Economics'!$B$7:$B$1000,Settings!$B$15))),""))</f>
        <v>1755.21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Economics'!$B$7:$B$1000,Settings!$B$15))),""))</f>
        <v>1747.93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Economics'!$B$7:$B$1000,Settings!$B$15))),""))</f>
        <v>1747.38</v>
      </c>
    </row>
    <row r="21" customFormat="false" ht="15" hidden="false" customHeight="false" outlineLevel="0" collapsed="false">
      <c r="A21" s="36" t="str">
        <f aca="false">IF('Raw data'!$A21="","",'Raw data'!$A21)</f>
        <v>Denmark</v>
      </c>
      <c r="B21" s="36" t="str">
        <f aca="false">IF($A21="","",'Raw data'!$C21)</f>
        <v>Commercial</v>
      </c>
      <c r="C21" s="36" t="str">
        <f aca="false">IF($A21="","",IF('Raw data'!$D21="",$A21,'Raw data'!$D21))</f>
        <v>Denmark</v>
      </c>
      <c r="D21" s="37" t="n">
        <f aca="false">IF($A21="","",IF(AND(ISNUMBER(P21),ISNUMBER(AB21)),P21+AB21,""))</f>
        <v>6757.25</v>
      </c>
      <c r="E21" s="37" t="n">
        <f aca="false">IF($A21="","",IF(AND(ISNUMBER(Q21),ISNUMBER(AC21)),Q21+AC21,""))</f>
        <v>7423.11</v>
      </c>
      <c r="F21" s="37" t="n">
        <f aca="false">IF($A21="","",IF(AND(ISNUMBER(R21),ISNUMBER(AD21)),R21+AD21,""))</f>
        <v>7458.6</v>
      </c>
      <c r="G21" s="37" t="n">
        <f aca="false">IF($A21="","",IF(AND(ISNUMBER(S21),ISNUMBER(AE21)),S21+AE21,""))</f>
        <v>7750.14</v>
      </c>
      <c r="H21" s="37" t="n">
        <f aca="false">IF($A21="","",IF(AND(ISNUMBER(T21),ISNUMBER(AF21)),T21+AF21,""))</f>
        <v>8162.82</v>
      </c>
      <c r="I21" s="37" t="n">
        <f aca="false">IF($A21="","",IF(AND(ISNUMBER(U21),ISNUMBER(AG21)),U21+AG21,""))</f>
        <v>8042.48</v>
      </c>
      <c r="J21" s="37" t="n">
        <f aca="false">IF($A21="","",IF(AND(ISNUMBER(V21),ISNUMBER(AH21)),V21+AH21,""))</f>
        <v>7714.49</v>
      </c>
      <c r="K21" s="37" t="n">
        <f aca="false">IF($A21="","",IF(AND(ISNUMBER(W21),ISNUMBER(AI21)),W21+AI21,""))</f>
        <v>7688.32</v>
      </c>
      <c r="L21" s="37" t="n">
        <f aca="false">IF($A21="","",IF(AND(ISNUMBER(X21),ISNUMBER(AJ21)),X21+AJ21,""))</f>
        <v>8125.45</v>
      </c>
      <c r="M21" s="37" t="n">
        <f aca="false">IF($A21="","",IF(AND(ISNUMBER(Y21),ISNUMBER(AK21)),Y21+AK21,""))</f>
        <v>8332.04</v>
      </c>
      <c r="N21" s="37" t="n">
        <f aca="false">IF($A21="","",IF(AND(ISNUMBER(Z21),ISNUMBER(AL21)),Z21+AL21,""))</f>
        <v>8479.3</v>
      </c>
      <c r="O21" s="37" t="n">
        <f aca="false">IF($A21="","",IF(AND(ISNUMBER(AA21),ISNUMBER(AM21)),AA21+AM21,""))</f>
        <v>8583.16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Economics'!$B$7:$B$1000,Settings!$B$16))),""))</f>
        <v>2605.88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Economics'!$B$7:$B$1000,Settings!$B$16))),""))</f>
        <v>2992.52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Economics'!$B$7:$B$1000,Settings!$B$16))),""))</f>
        <v>2935.29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Economics'!$B$7:$B$1000,Settings!$B$16))),""))</f>
        <v>3176.42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Economics'!$B$7:$B$1000,Settings!$B$16))),""))</f>
        <v>3649.88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Economics'!$B$7:$B$1000,Settings!$B$16))),""))</f>
        <v>3624.83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Economics'!$B$7:$B$1000,Settings!$B$16))),""))</f>
        <v>3497.72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Economics'!$B$7:$B$1000,Settings!$B$16))),""))</f>
        <v>3531.72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Economics'!$B$7:$B$1000,Settings!$B$16))),""))</f>
        <v>3742.78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Economics'!$B$7:$B$1000,Settings!$B$16))),""))</f>
        <v>3856.06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Economics'!$B$7:$B$1000,Settings!$B$16))),""))</f>
        <v>3967.35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Economics'!$B$7:$B$1000,Settings!$B$16))),""))</f>
        <v>4029.73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Economics'!$B$7:$B$1000,Settings!$B$15))),""))</f>
        <v>4151.37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Economics'!$B$7:$B$1000,Settings!$B$15))),""))</f>
        <v>4430.59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Economics'!$B$7:$B$1000,Settings!$B$15))),""))</f>
        <v>4523.31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Economics'!$B$7:$B$1000,Settings!$B$15))),""))</f>
        <v>4573.72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Economics'!$B$7:$B$1000,Settings!$B$15))),""))</f>
        <v>4512.94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Economics'!$B$7:$B$1000,Settings!$B$15))),""))</f>
        <v>4417.65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Economics'!$B$7:$B$1000,Settings!$B$15))),""))</f>
        <v>4216.77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Economics'!$B$7:$B$1000,Settings!$B$15))),""))</f>
        <v>4156.6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Economics'!$B$7:$B$1000,Settings!$B$15))),""))</f>
        <v>4382.67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Economics'!$B$7:$B$1000,Settings!$B$15))),""))</f>
        <v>4475.98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Economics'!$B$7:$B$1000,Settings!$B$15))),""))</f>
        <v>4511.95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Economics'!$B$7:$B$1000,Settings!$B$15))),""))</f>
        <v>4553.43</v>
      </c>
    </row>
    <row r="22" customFormat="false" ht="15" hidden="false" customHeight="false" outlineLevel="0" collapsed="false">
      <c r="A22" s="36" t="str">
        <f aca="false">IF('Raw data'!$A22="","",'Raw data'!$A22)</f>
        <v>Germany</v>
      </c>
      <c r="B22" s="36" t="str">
        <f aca="false">IF($A22="","",'Raw data'!$C22)</f>
        <v>Residential</v>
      </c>
      <c r="C22" s="36" t="str">
        <f aca="false">IF($A22="","",IF('Raw data'!$D22="",$A22,'Raw data'!$D22))</f>
        <v>Germany</v>
      </c>
      <c r="D22" s="37" t="n">
        <f aca="false">IF($A22="","",IF(AND(ISNUMBER(P22),ISNUMBER(AB22)),P22+AB22,""))</f>
        <v>126335.4</v>
      </c>
      <c r="E22" s="37" t="n">
        <f aca="false">IF($A22="","",IF(AND(ISNUMBER(Q22),ISNUMBER(AC22)),Q22+AC22,""))</f>
        <v>121724.63</v>
      </c>
      <c r="F22" s="37" t="n">
        <f aca="false">IF($A22="","",IF(AND(ISNUMBER(R22),ISNUMBER(AD22)),R22+AD22,""))</f>
        <v>108333.75</v>
      </c>
      <c r="G22" s="37" t="n">
        <f aca="false">IF($A22="","",IF(AND(ISNUMBER(S22),ISNUMBER(AE22)),S22+AE22,""))</f>
        <v>105203.78</v>
      </c>
      <c r="H22" s="37" t="n">
        <f aca="false">IF($A22="","",IF(AND(ISNUMBER(T22),ISNUMBER(AF22)),T22+AF22,""))</f>
        <v>100808.61</v>
      </c>
      <c r="I22" s="37" t="n">
        <f aca="false">IF($A22="","",IF(AND(ISNUMBER(U22),ISNUMBER(AG22)),U22+AG22,""))</f>
        <v>96006.35</v>
      </c>
      <c r="J22" s="37" t="n">
        <f aca="false">IF($A22="","",IF(AND(ISNUMBER(V22),ISNUMBER(AH22)),V22+AH22,""))</f>
        <v>95462.69</v>
      </c>
      <c r="K22" s="37" t="n">
        <f aca="false">IF($A22="","",IF(AND(ISNUMBER(W22),ISNUMBER(AI22)),W22+AI22,""))</f>
        <v>96579.65</v>
      </c>
      <c r="L22" s="37" t="n">
        <f aca="false">IF($A22="","",IF(AND(ISNUMBER(X22),ISNUMBER(AJ22)),X22+AJ22,""))</f>
        <v>100077.98</v>
      </c>
      <c r="M22" s="37" t="n">
        <f aca="false">IF($A22="","",IF(AND(ISNUMBER(Y22),ISNUMBER(AK22)),Y22+AK22,""))</f>
        <v>103905.91</v>
      </c>
      <c r="N22" s="37" t="n">
        <f aca="false">IF($A22="","",IF(AND(ISNUMBER(Z22),ISNUMBER(AL22)),Z22+AL22,""))</f>
        <v>108154.42</v>
      </c>
      <c r="O22" s="37" t="n">
        <f aca="false">IF($A22="","",IF(AND(ISNUMBER(AA22),ISNUMBER(AM22)),AA22+AM22,""))</f>
        <v>109985.6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Economics'!$B$7:$B$1000,Settings!$B$16))),""))</f>
        <v>92604.17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Economics'!$B$7:$B$1000,Settings!$B$16))),""))</f>
        <v>88470.63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Economics'!$B$7:$B$1000,Settings!$B$16))),""))</f>
        <v>80855.95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Economics'!$B$7:$B$1000,Settings!$B$16))),""))</f>
        <v>82781.23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Economics'!$B$7:$B$1000,Settings!$B$16))),""))</f>
        <v>83354.14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Economics'!$B$7:$B$1000,Settings!$B$16))),""))</f>
        <v>79176.16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Economics'!$B$7:$B$1000,Settings!$B$16))),""))</f>
        <v>77358.03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Economics'!$B$7:$B$1000,Settings!$B$16))),""))</f>
        <v>77890.57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Economics'!$B$7:$B$1000,Settings!$B$16))),""))</f>
        <v>80942.99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Economics'!$B$7:$B$1000,Settings!$B$16))),""))</f>
        <v>84182.4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Economics'!$B$7:$B$1000,Settings!$B$16))),""))</f>
        <v>88007.92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Economics'!$B$7:$B$1000,Settings!$B$16))),""))</f>
        <v>89561.24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Economics'!$B$7:$B$1000,Settings!$B$15))),""))</f>
        <v>33731.23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Economics'!$B$7:$B$1000,Settings!$B$15))),""))</f>
        <v>33254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Economics'!$B$7:$B$1000,Settings!$B$15))),""))</f>
        <v>27477.8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Economics'!$B$7:$B$1000,Settings!$B$15))),""))</f>
        <v>22422.55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Economics'!$B$7:$B$1000,Settings!$B$15))),""))</f>
        <v>17454.47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Economics'!$B$7:$B$1000,Settings!$B$15))),""))</f>
        <v>16830.19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Economics'!$B$7:$B$1000,Settings!$B$15))),""))</f>
        <v>18104.66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Economics'!$B$7:$B$1000,Settings!$B$15))),""))</f>
        <v>18689.08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Economics'!$B$7:$B$1000,Settings!$B$15))),""))</f>
        <v>19134.99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Economics'!$B$7:$B$1000,Settings!$B$15))),""))</f>
        <v>19723.51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Economics'!$B$7:$B$1000,Settings!$B$15))),""))</f>
        <v>20146.5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Economics'!$B$7:$B$1000,Settings!$B$15))),""))</f>
        <v>20424.36</v>
      </c>
    </row>
    <row r="23" customFormat="false" ht="15" hidden="false" customHeight="false" outlineLevel="0" collapsed="false">
      <c r="A23" s="36" t="str">
        <f aca="false">IF('Raw data'!$A23="","",'Raw data'!$A23)</f>
        <v>Germany</v>
      </c>
      <c r="B23" s="36" t="str">
        <f aca="false">IF($A23="","",'Raw data'!$C23)</f>
        <v>Commercial</v>
      </c>
      <c r="C23" s="36" t="str">
        <f aca="false">IF($A23="","",IF('Raw data'!$D23="",$A23,'Raw data'!$D23))</f>
        <v>Germany</v>
      </c>
      <c r="D23" s="37" t="n">
        <f aca="false">IF($A23="","",IF(AND(ISNUMBER(P23),ISNUMBER(AB23)),P23+AB23,""))</f>
        <v>141529.15</v>
      </c>
      <c r="E23" s="37" t="n">
        <f aca="false">IF($A23="","",IF(AND(ISNUMBER(Q23),ISNUMBER(AC23)),Q23+AC23,""))</f>
        <v>138096.2</v>
      </c>
      <c r="F23" s="37" t="n">
        <f aca="false">IF($A23="","",IF(AND(ISNUMBER(R23),ISNUMBER(AD23)),R23+AD23,""))</f>
        <v>121333.6</v>
      </c>
      <c r="G23" s="37" t="n">
        <f aca="false">IF($A23="","",IF(AND(ISNUMBER(S23),ISNUMBER(AE23)),S23+AE23,""))</f>
        <v>120937.84</v>
      </c>
      <c r="H23" s="37" t="n">
        <f aca="false">IF($A23="","",IF(AND(ISNUMBER(T23),ISNUMBER(AF23)),T23+AF23,""))</f>
        <v>112217.91</v>
      </c>
      <c r="I23" s="37" t="n">
        <f aca="false">IF($A23="","",IF(AND(ISNUMBER(U23),ISNUMBER(AG23)),U23+AG23,""))</f>
        <v>108414.85</v>
      </c>
      <c r="J23" s="37" t="n">
        <f aca="false">IF($A23="","",IF(AND(ISNUMBER(V23),ISNUMBER(AH23)),V23+AH23,""))</f>
        <v>110980.23</v>
      </c>
      <c r="K23" s="37" t="n">
        <f aca="false">IF($A23="","",IF(AND(ISNUMBER(W23),ISNUMBER(AI23)),W23+AI23,""))</f>
        <v>114619</v>
      </c>
      <c r="L23" s="37" t="n">
        <f aca="false">IF($A23="","",IF(AND(ISNUMBER(X23),ISNUMBER(AJ23)),X23+AJ23,""))</f>
        <v>119890.88</v>
      </c>
      <c r="M23" s="37" t="n">
        <f aca="false">IF($A23="","",IF(AND(ISNUMBER(Y23),ISNUMBER(AK23)),Y23+AK23,""))</f>
        <v>125283.57</v>
      </c>
      <c r="N23" s="37" t="n">
        <f aca="false">IF($A23="","",IF(AND(ISNUMBER(Z23),ISNUMBER(AL23)),Z23+AL23,""))</f>
        <v>130476.26</v>
      </c>
      <c r="O23" s="37" t="n">
        <f aca="false">IF($A23="","",IF(AND(ISNUMBER(AA23),ISNUMBER(AM23)),AA23+AM23,""))</f>
        <v>133257.25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Economics'!$B$7:$B$1000,Settings!$B$16))),""))</f>
        <v>86179.79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Economics'!$B$7:$B$1000,Settings!$B$16))),""))</f>
        <v>85150.73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Economics'!$B$7:$B$1000,Settings!$B$16))),""))</f>
        <v>76144.64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Economics'!$B$7:$B$1000,Settings!$B$16))),""))</f>
        <v>75063.16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Economics'!$B$7:$B$1000,Settings!$B$16))),""))</f>
        <v>70517.2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Economics'!$B$7:$B$1000,Settings!$B$16))),""))</f>
        <v>68792.4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Economics'!$B$7:$B$1000,Settings!$B$16))),""))</f>
        <v>70165.33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Economics'!$B$7:$B$1000,Settings!$B$16))),""))</f>
        <v>71792.83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Economics'!$B$7:$B$1000,Settings!$B$16))),""))</f>
        <v>75396.22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Economics'!$B$7:$B$1000,Settings!$B$16))),""))</f>
        <v>79704.19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Economics'!$B$7:$B$1000,Settings!$B$16))),""))</f>
        <v>83988.83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Economics'!$B$7:$B$1000,Settings!$B$16))),""))</f>
        <v>85914.88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Economics'!$B$7:$B$1000,Settings!$B$15))),""))</f>
        <v>55349.36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Economics'!$B$7:$B$1000,Settings!$B$15))),""))</f>
        <v>52945.47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Economics'!$B$7:$B$1000,Settings!$B$15))),""))</f>
        <v>45188.96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Economics'!$B$7:$B$1000,Settings!$B$15))),""))</f>
        <v>45874.68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Economics'!$B$7:$B$1000,Settings!$B$15))),""))</f>
        <v>41700.71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Economics'!$B$7:$B$1000,Settings!$B$15))),""))</f>
        <v>39622.45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Economics'!$B$7:$B$1000,Settings!$B$15))),""))</f>
        <v>40814.9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Economics'!$B$7:$B$1000,Settings!$B$15))),""))</f>
        <v>42826.17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Economics'!$B$7:$B$1000,Settings!$B$15))),""))</f>
        <v>44494.66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Economics'!$B$7:$B$1000,Settings!$B$15))),""))</f>
        <v>45579.38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Economics'!$B$7:$B$1000,Settings!$B$15))),""))</f>
        <v>46487.43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Economics'!$B$7:$B$1000,Settings!$B$15))),""))</f>
        <v>47342.37</v>
      </c>
    </row>
    <row r="24" customFormat="false" ht="15" hidden="false" customHeight="false" outlineLevel="0" collapsed="false">
      <c r="A24" s="36" t="str">
        <f aca="false">IF('Raw data'!$A24="","",'Raw data'!$A24)</f>
        <v>Austria</v>
      </c>
      <c r="B24" s="36" t="str">
        <f aca="false">IF($A24="","",'Raw data'!$C24)</f>
        <v>Residential</v>
      </c>
      <c r="C24" s="36" t="str">
        <f aca="false">IF($A24="","",IF('Raw data'!$D24="",$A24,'Raw data'!$D24))</f>
        <v>Austria</v>
      </c>
      <c r="D24" s="37" t="n">
        <f aca="false">IF($A24="","",IF(AND(ISNUMBER(P24),ISNUMBER(AB24)),P24+AB24,""))</f>
        <v>9490.88</v>
      </c>
      <c r="E24" s="37" t="n">
        <f aca="false">IF($A24="","",IF(AND(ISNUMBER(Q24),ISNUMBER(AC24)),Q24+AC24,""))</f>
        <v>9679.02</v>
      </c>
      <c r="F24" s="37" t="n">
        <f aca="false">IF($A24="","",IF(AND(ISNUMBER(R24),ISNUMBER(AD24)),R24+AD24,""))</f>
        <v>9877.74</v>
      </c>
      <c r="G24" s="37" t="n">
        <f aca="false">IF($A24="","",IF(AND(ISNUMBER(S24),ISNUMBER(AE24)),S24+AE24,""))</f>
        <v>8663.89</v>
      </c>
      <c r="H24" s="37" t="n">
        <f aca="false">IF($A24="","",IF(AND(ISNUMBER(T24),ISNUMBER(AF24)),T24+AF24,""))</f>
        <v>7963.21</v>
      </c>
      <c r="I24" s="37" t="n">
        <f aca="false">IF($A24="","",IF(AND(ISNUMBER(U24),ISNUMBER(AG24)),U24+AG24,""))</f>
        <v>7724.59</v>
      </c>
      <c r="J24" s="37" t="n">
        <f aca="false">IF($A24="","",IF(AND(ISNUMBER(V24),ISNUMBER(AH24)),V24+AH24,""))</f>
        <v>7917.57</v>
      </c>
      <c r="K24" s="37" t="n">
        <f aca="false">IF($A24="","",IF(AND(ISNUMBER(W24),ISNUMBER(AI24)),W24+AI24,""))</f>
        <v>8342.71</v>
      </c>
      <c r="L24" s="37" t="n">
        <f aca="false">IF($A24="","",IF(AND(ISNUMBER(X24),ISNUMBER(AJ24)),X24+AJ24,""))</f>
        <v>8783.55</v>
      </c>
      <c r="M24" s="37" t="n">
        <f aca="false">IF($A24="","",IF(AND(ISNUMBER(Y24),ISNUMBER(AK24)),Y24+AK24,""))</f>
        <v>9115.73</v>
      </c>
      <c r="N24" s="37" t="n">
        <f aca="false">IF($A24="","",IF(AND(ISNUMBER(Z24),ISNUMBER(AL24)),Z24+AL24,""))</f>
        <v>9347.44</v>
      </c>
      <c r="O24" s="37" t="n">
        <f aca="false">IF($A24="","",IF(AND(ISNUMBER(AA24),ISNUMBER(AM24)),AA24+AM24,""))</f>
        <v>9512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Economics'!$B$7:$B$1000,Settings!$B$16))),""))</f>
        <v>3466.43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Economics'!$B$7:$B$1000,Settings!$B$16))),""))</f>
        <v>3247.65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Economics'!$B$7:$B$1000,Settings!$B$16))),""))</f>
        <v>3242.21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Economics'!$B$7:$B$1000,Settings!$B$16))),""))</f>
        <v>3286.98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Economics'!$B$7:$B$1000,Settings!$B$16))),""))</f>
        <v>3402.2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Economics'!$B$7:$B$1000,Settings!$B$16))),""))</f>
        <v>3262.66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Economics'!$B$7:$B$1000,Settings!$B$16))),""))</f>
        <v>3287.17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Economics'!$B$7:$B$1000,Settings!$B$16))),""))</f>
        <v>3426.71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Economics'!$B$7:$B$1000,Settings!$B$16))),""))</f>
        <v>3626.17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Economics'!$B$7:$B$1000,Settings!$B$16))),""))</f>
        <v>3773.24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Economics'!$B$7:$B$1000,Settings!$B$16))),""))</f>
        <v>3885.24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Economics'!$B$7:$B$1000,Settings!$B$16))),""))</f>
        <v>3929.16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Economics'!$B$7:$B$1000,Settings!$B$15))),""))</f>
        <v>6024.45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Economics'!$B$7:$B$1000,Settings!$B$15))),""))</f>
        <v>6431.37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Economics'!$B$7:$B$1000,Settings!$B$15))),""))</f>
        <v>6635.53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Economics'!$B$7:$B$1000,Settings!$B$15))),""))</f>
        <v>5376.91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Economics'!$B$7:$B$1000,Settings!$B$15))),""))</f>
        <v>4561.01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Economics'!$B$7:$B$1000,Settings!$B$15))),""))</f>
        <v>4461.93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Economics'!$B$7:$B$1000,Settings!$B$15))),""))</f>
        <v>4630.4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Economics'!$B$7:$B$1000,Settings!$B$15))),""))</f>
        <v>4916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Economics'!$B$7:$B$1000,Settings!$B$15))),""))</f>
        <v>5157.38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Economics'!$B$7:$B$1000,Settings!$B$15))),""))</f>
        <v>5342.49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Economics'!$B$7:$B$1000,Settings!$B$15))),""))</f>
        <v>5462.2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Economics'!$B$7:$B$1000,Settings!$B$15))),""))</f>
        <v>5582.84</v>
      </c>
    </row>
    <row r="25" customFormat="false" ht="15" hidden="false" customHeight="false" outlineLevel="0" collapsed="false">
      <c r="A25" s="36" t="str">
        <f aca="false">IF('Raw data'!$A25="","",'Raw data'!$A25)</f>
        <v>Austria</v>
      </c>
      <c r="B25" s="36" t="str">
        <f aca="false">IF($A25="","",'Raw data'!$C25)</f>
        <v>Commercial</v>
      </c>
      <c r="C25" s="36" t="str">
        <f aca="false">IF($A25="","",IF('Raw data'!$D25="",$A25,'Raw data'!$D25))</f>
        <v>Austria</v>
      </c>
      <c r="D25" s="37" t="n">
        <f aca="false">IF($A25="","",IF(AND(ISNUMBER(P25),ISNUMBER(AB25)),P25+AB25,""))</f>
        <v>28364.29</v>
      </c>
      <c r="E25" s="37" t="n">
        <f aca="false">IF($A25="","",IF(AND(ISNUMBER(Q25),ISNUMBER(AC25)),Q25+AC25,""))</f>
        <v>27421.59</v>
      </c>
      <c r="F25" s="37" t="n">
        <f aca="false">IF($A25="","",IF(AND(ISNUMBER(R25),ISNUMBER(AD25)),R25+AD25,""))</f>
        <v>26363.28</v>
      </c>
      <c r="G25" s="37" t="n">
        <f aca="false">IF($A25="","",IF(AND(ISNUMBER(S25),ISNUMBER(AE25)),S25+AE25,""))</f>
        <v>24121.99</v>
      </c>
      <c r="H25" s="37" t="n">
        <f aca="false">IF($A25="","",IF(AND(ISNUMBER(T25),ISNUMBER(AF25)),T25+AF25,""))</f>
        <v>22967.55</v>
      </c>
      <c r="I25" s="37" t="n">
        <f aca="false">IF($A25="","",IF(AND(ISNUMBER(U25),ISNUMBER(AG25)),U25+AG25,""))</f>
        <v>21958.65</v>
      </c>
      <c r="J25" s="37" t="n">
        <f aca="false">IF($A25="","",IF(AND(ISNUMBER(V25),ISNUMBER(AH25)),V25+AH25,""))</f>
        <v>22659.23</v>
      </c>
      <c r="K25" s="37" t="n">
        <f aca="false">IF($A25="","",IF(AND(ISNUMBER(W25),ISNUMBER(AI25)),W25+AI25,""))</f>
        <v>23267.17</v>
      </c>
      <c r="L25" s="37" t="n">
        <f aca="false">IF($A25="","",IF(AND(ISNUMBER(X25),ISNUMBER(AJ25)),X25+AJ25,""))</f>
        <v>23988.87</v>
      </c>
      <c r="M25" s="37" t="n">
        <f aca="false">IF($A25="","",IF(AND(ISNUMBER(Y25),ISNUMBER(AK25)),Y25+AK25,""))</f>
        <v>24640.9</v>
      </c>
      <c r="N25" s="37" t="n">
        <f aca="false">IF($A25="","",IF(AND(ISNUMBER(Z25),ISNUMBER(AL25)),Z25+AL25,""))</f>
        <v>25216.02</v>
      </c>
      <c r="O25" s="37" t="n">
        <f aca="false">IF($A25="","",IF(AND(ISNUMBER(AA25),ISNUMBER(AM25)),AA25+AM25,""))</f>
        <v>25728.42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Economics'!$B$7:$B$1000,Settings!$B$16))),""))</f>
        <v>8264.15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Economics'!$B$7:$B$1000,Settings!$B$16))),""))</f>
        <v>8060.29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Economics'!$B$7:$B$1000,Settings!$B$16))),""))</f>
        <v>8085.91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Economics'!$B$7:$B$1000,Settings!$B$16))),""))</f>
        <v>7931.6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Economics'!$B$7:$B$1000,Settings!$B$16))),""))</f>
        <v>8094.08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Economics'!$B$7:$B$1000,Settings!$B$16))),""))</f>
        <v>8034.38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Economics'!$B$7:$B$1000,Settings!$B$16))),""))</f>
        <v>8945.25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Economics'!$B$7:$B$1000,Settings!$B$16))),""))</f>
        <v>9451.52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Economics'!$B$7:$B$1000,Settings!$B$16))),""))</f>
        <v>9645.82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Economics'!$B$7:$B$1000,Settings!$B$16))),""))</f>
        <v>9772.52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Economics'!$B$7:$B$1000,Settings!$B$16))),""))</f>
        <v>9878.41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Economics'!$B$7:$B$1000,Settings!$B$16))),""))</f>
        <v>9927.33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Economics'!$B$7:$B$1000,Settings!$B$15))),""))</f>
        <v>20100.14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Economics'!$B$7:$B$1000,Settings!$B$15))),""))</f>
        <v>19361.3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Economics'!$B$7:$B$1000,Settings!$B$15))),""))</f>
        <v>18277.37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Economics'!$B$7:$B$1000,Settings!$B$15))),""))</f>
        <v>16190.39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Economics'!$B$7:$B$1000,Settings!$B$15))),""))</f>
        <v>14873.47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Economics'!$B$7:$B$1000,Settings!$B$15))),""))</f>
        <v>13924.27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Economics'!$B$7:$B$1000,Settings!$B$15))),""))</f>
        <v>13713.98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Economics'!$B$7:$B$1000,Settings!$B$15))),""))</f>
        <v>13815.65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Economics'!$B$7:$B$1000,Settings!$B$15))),""))</f>
        <v>14343.05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Economics'!$B$7:$B$1000,Settings!$B$15))),""))</f>
        <v>14868.38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Economics'!$B$7:$B$1000,Settings!$B$15))),""))</f>
        <v>15337.61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Economics'!$B$7:$B$1000,Settings!$B$15))),""))</f>
        <v>15801.09</v>
      </c>
    </row>
    <row r="26" customFormat="false" ht="15" hidden="false" customHeight="false" outlineLevel="0" collapsed="false">
      <c r="A26" s="36" t="str">
        <f aca="false">IF('Raw data'!$A26="","",'Raw data'!$A26)</f>
        <v>Switzerland</v>
      </c>
      <c r="B26" s="36" t="str">
        <f aca="false">IF($A26="","",'Raw data'!$C26)</f>
        <v>Residential</v>
      </c>
      <c r="C26" s="36" t="str">
        <f aca="false">IF($A26="","",IF('Raw data'!$D26="",$A26,'Raw data'!$D26))</f>
        <v>Switzerland</v>
      </c>
      <c r="D26" s="37" t="n">
        <f aca="false">IF($A26="","",IF(AND(ISNUMBER(P26),ISNUMBER(AB26)),P26+AB26,""))</f>
        <v>6780.24</v>
      </c>
      <c r="E26" s="37" t="n">
        <f aca="false">IF($A26="","",IF(AND(ISNUMBER(Q26),ISNUMBER(AC26)),Q26+AC26,""))</f>
        <v>7167.09</v>
      </c>
      <c r="F26" s="37" t="n">
        <f aca="false">IF($A26="","",IF(AND(ISNUMBER(R26),ISNUMBER(AD26)),R26+AD26,""))</f>
        <v>7020.15</v>
      </c>
      <c r="G26" s="37" t="n">
        <f aca="false">IF($A26="","",IF(AND(ISNUMBER(S26),ISNUMBER(AE26)),S26+AE26,""))</f>
        <v>6865.73</v>
      </c>
      <c r="H26" s="37" t="n">
        <f aca="false">IF($A26="","",IF(AND(ISNUMBER(T26),ISNUMBER(AF26)),T26+AF26,""))</f>
        <v>6812.66</v>
      </c>
      <c r="I26" s="37" t="n">
        <f aca="false">IF($A26="","",IF(AND(ISNUMBER(U26),ISNUMBER(AG26)),U26+AG26,""))</f>
        <v>6790.22</v>
      </c>
      <c r="J26" s="37" t="n">
        <f aca="false">IF($A26="","",IF(AND(ISNUMBER(V26),ISNUMBER(AH26)),V26+AH26,""))</f>
        <v>6736.92</v>
      </c>
      <c r="K26" s="37" t="n">
        <f aca="false">IF($A26="","",IF(AND(ISNUMBER(W26),ISNUMBER(AI26)),W26+AI26,""))</f>
        <v>6878.64</v>
      </c>
      <c r="L26" s="37" t="n">
        <f aca="false">IF($A26="","",IF(AND(ISNUMBER(X26),ISNUMBER(AJ26)),X26+AJ26,""))</f>
        <v>7139.26</v>
      </c>
      <c r="M26" s="37" t="n">
        <f aca="false">IF($A26="","",IF(AND(ISNUMBER(Y26),ISNUMBER(AK26)),Y26+AK26,""))</f>
        <v>7041.04</v>
      </c>
      <c r="N26" s="37" t="n">
        <f aca="false">IF($A26="","",IF(AND(ISNUMBER(Z26),ISNUMBER(AL26)),Z26+AL26,""))</f>
        <v>7066.26</v>
      </c>
      <c r="O26" s="37" t="n">
        <f aca="false">IF($A26="","",IF(AND(ISNUMBER(AA26),ISNUMBER(AM26)),AA26+AM26,""))</f>
        <v>7235.03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Economics'!$B$7:$B$1000,Settings!$B$16))),""))</f>
        <v>3028.71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Economics'!$B$7:$B$1000,Settings!$B$16))),""))</f>
        <v>3115.27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Economics'!$B$7:$B$1000,Settings!$B$16))),""))</f>
        <v>3015.93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Economics'!$B$7:$B$1000,Settings!$B$16))),""))</f>
        <v>2931.44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Economics'!$B$7:$B$1000,Settings!$B$16))),""))</f>
        <v>2912.97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Economics'!$B$7:$B$1000,Settings!$B$16))),""))</f>
        <v>2946.4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Economics'!$B$7:$B$1000,Settings!$B$16))),""))</f>
        <v>3025.05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Economics'!$B$7:$B$1000,Settings!$B$16))),""))</f>
        <v>3122.2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Economics'!$B$7:$B$1000,Settings!$B$16))),""))</f>
        <v>3295.95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Economics'!$B$7:$B$1000,Settings!$B$16))),""))</f>
        <v>3316.24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Economics'!$B$7:$B$1000,Settings!$B$16))),""))</f>
        <v>3415.31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Economics'!$B$7:$B$1000,Settings!$B$16))),""))</f>
        <v>3614.59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Economics'!$B$7:$B$1000,Settings!$B$15))),""))</f>
        <v>3751.53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Economics'!$B$7:$B$1000,Settings!$B$15))),""))</f>
        <v>4051.82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Economics'!$B$7:$B$1000,Settings!$B$15))),""))</f>
        <v>4004.22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Economics'!$B$7:$B$1000,Settings!$B$15))),""))</f>
        <v>3934.29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Economics'!$B$7:$B$1000,Settings!$B$15))),""))</f>
        <v>3899.69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Economics'!$B$7:$B$1000,Settings!$B$15))),""))</f>
        <v>3843.82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Economics'!$B$7:$B$1000,Settings!$B$15))),""))</f>
        <v>3711.87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Economics'!$B$7:$B$1000,Settings!$B$15))),""))</f>
        <v>3756.44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Economics'!$B$7:$B$1000,Settings!$B$15))),""))</f>
        <v>3843.31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Economics'!$B$7:$B$1000,Settings!$B$15))),""))</f>
        <v>3724.8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Economics'!$B$7:$B$1000,Settings!$B$15))),""))</f>
        <v>3650.95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Economics'!$B$7:$B$1000,Settings!$B$15))),""))</f>
        <v>3620.44</v>
      </c>
    </row>
    <row r="27" customFormat="false" ht="15" hidden="false" customHeight="false" outlineLevel="0" collapsed="false">
      <c r="A27" s="36" t="str">
        <f aca="false">IF('Raw data'!$A27="","",'Raw data'!$A27)</f>
        <v>Switzerland</v>
      </c>
      <c r="B27" s="36" t="str">
        <f aca="false">IF($A27="","",'Raw data'!$C27)</f>
        <v>Commercial</v>
      </c>
      <c r="C27" s="36" t="str">
        <f aca="false">IF($A27="","",IF('Raw data'!$D27="",$A27,'Raw data'!$D27))</f>
        <v>Switzerland</v>
      </c>
      <c r="D27" s="37" t="n">
        <f aca="false">IF($A27="","",IF(AND(ISNUMBER(P27),ISNUMBER(AB27)),P27+AB27,""))</f>
        <v>33945.3</v>
      </c>
      <c r="E27" s="37" t="n">
        <f aca="false">IF($A27="","",IF(AND(ISNUMBER(Q27),ISNUMBER(AC27)),Q27+AC27,""))</f>
        <v>34578.91</v>
      </c>
      <c r="F27" s="37" t="n">
        <f aca="false">IF($A27="","",IF(AND(ISNUMBER(R27),ISNUMBER(AD27)),R27+AD27,""))</f>
        <v>33818.55</v>
      </c>
      <c r="G27" s="37" t="n">
        <f aca="false">IF($A27="","",IF(AND(ISNUMBER(S27),ISNUMBER(AE27)),S27+AE27,""))</f>
        <v>33090.05</v>
      </c>
      <c r="H27" s="37" t="n">
        <f aca="false">IF($A27="","",IF(AND(ISNUMBER(T27),ISNUMBER(AF27)),T27+AF27,""))</f>
        <v>32827.01</v>
      </c>
      <c r="I27" s="37" t="n">
        <f aca="false">IF($A27="","",IF(AND(ISNUMBER(U27),ISNUMBER(AG27)),U27+AG27,""))</f>
        <v>33602.22</v>
      </c>
      <c r="J27" s="37" t="n">
        <f aca="false">IF($A27="","",IF(AND(ISNUMBER(V27),ISNUMBER(AH27)),V27+AH27,""))</f>
        <v>34354.69</v>
      </c>
      <c r="K27" s="37" t="n">
        <f aca="false">IF($A27="","",IF(AND(ISNUMBER(W27),ISNUMBER(AI27)),W27+AI27,""))</f>
        <v>35563.44</v>
      </c>
      <c r="L27" s="37" t="n">
        <f aca="false">IF($A27="","",IF(AND(ISNUMBER(X27),ISNUMBER(AJ27)),X27+AJ27,""))</f>
        <v>37110.55</v>
      </c>
      <c r="M27" s="37" t="n">
        <f aca="false">IF($A27="","",IF(AND(ISNUMBER(Y27),ISNUMBER(AK27)),Y27+AK27,""))</f>
        <v>37920.78</v>
      </c>
      <c r="N27" s="37" t="n">
        <f aca="false">IF($A27="","",IF(AND(ISNUMBER(Z27),ISNUMBER(AL27)),Z27+AL27,""))</f>
        <v>38564.81</v>
      </c>
      <c r="O27" s="37" t="n">
        <f aca="false">IF($A27="","",IF(AND(ISNUMBER(AA27),ISNUMBER(AM27)),AA27+AM27,""))</f>
        <v>39576.14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Economics'!$B$7:$B$1000,Settings!$B$16))),""))</f>
        <v>10898.99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Economics'!$B$7:$B$1000,Settings!$B$16))),""))</f>
        <v>11680.42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Economics'!$B$7:$B$1000,Settings!$B$16))),""))</f>
        <v>11928.08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Economics'!$B$7:$B$1000,Settings!$B$16))),""))</f>
        <v>11824.3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Economics'!$B$7:$B$1000,Settings!$B$16))),""))</f>
        <v>11812.62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Economics'!$B$7:$B$1000,Settings!$B$16))),""))</f>
        <v>11664.33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Economics'!$B$7:$B$1000,Settings!$B$16))),""))</f>
        <v>11407.7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Economics'!$B$7:$B$1000,Settings!$B$16))),""))</f>
        <v>11452.77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Economics'!$B$7:$B$1000,Settings!$B$16))),""))</f>
        <v>11648.99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Economics'!$B$7:$B$1000,Settings!$B$16))),""))</f>
        <v>11734.78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Economics'!$B$7:$B$1000,Settings!$B$16))),""))</f>
        <v>11792.48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Economics'!$B$7:$B$1000,Settings!$B$16))),""))</f>
        <v>11942.62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Economics'!$B$7:$B$1000,Settings!$B$15))),""))</f>
        <v>23046.31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Economics'!$B$7:$B$1000,Settings!$B$15))),""))</f>
        <v>22898.49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Economics'!$B$7:$B$1000,Settings!$B$15))),""))</f>
        <v>21890.47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Economics'!$B$7:$B$1000,Settings!$B$15))),""))</f>
        <v>21265.75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Economics'!$B$7:$B$1000,Settings!$B$15))),""))</f>
        <v>21014.39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Economics'!$B$7:$B$1000,Settings!$B$15))),""))</f>
        <v>21937.89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Economics'!$B$7:$B$1000,Settings!$B$15))),""))</f>
        <v>22946.99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Economics'!$B$7:$B$1000,Settings!$B$15))),""))</f>
        <v>24110.67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Economics'!$B$7:$B$1000,Settings!$B$15))),""))</f>
        <v>25461.56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Economics'!$B$7:$B$1000,Settings!$B$15))),""))</f>
        <v>26186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Economics'!$B$7:$B$1000,Settings!$B$15))),""))</f>
        <v>26772.33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Economics'!$B$7:$B$1000,Settings!$B$15))),""))</f>
        <v>27633.52</v>
      </c>
    </row>
    <row r="28" customFormat="false" ht="15" hidden="false" customHeight="false" outlineLevel="0" collapsed="false">
      <c r="A28" s="36" t="str">
        <f aca="false">IF('Raw data'!$A28="","",'Raw data'!$A28)</f>
        <v>United Kingdom</v>
      </c>
      <c r="B28" s="36" t="str">
        <f aca="false">IF($A28="","",'Raw data'!$C28)</f>
        <v>Residential</v>
      </c>
      <c r="C28" s="36" t="str">
        <f aca="false">IF($A28="","",IF('Raw data'!$D28="",$A28,'Raw data'!$D28))</f>
        <v>United Kingdom</v>
      </c>
      <c r="D28" s="37" t="n">
        <f aca="false">IF($A28="","",IF(AND(ISNUMBER(P28),ISNUMBER(AB28)),P28+AB28,""))</f>
        <v>71856.63</v>
      </c>
      <c r="E28" s="37" t="n">
        <f aca="false">IF($A28="","",IF(AND(ISNUMBER(Q28),ISNUMBER(AC28)),Q28+AC28,""))</f>
        <v>85374.84</v>
      </c>
      <c r="F28" s="37" t="n">
        <f aca="false">IF($A28="","",IF(AND(ISNUMBER(R28),ISNUMBER(AD28)),R28+AD28,""))</f>
        <v>94129.61</v>
      </c>
      <c r="G28" s="37" t="n">
        <f aca="false">IF($A28="","",IF(AND(ISNUMBER(S28),ISNUMBER(AE28)),S28+AE28,""))</f>
        <v>89786.14</v>
      </c>
      <c r="H28" s="37" t="n">
        <f aca="false">IF($A28="","",IF(AND(ISNUMBER(T28),ISNUMBER(AF28)),T28+AF28,""))</f>
        <v>90226.58</v>
      </c>
      <c r="I28" s="37" t="n">
        <f aca="false">IF($A28="","",IF(AND(ISNUMBER(U28),ISNUMBER(AG28)),U28+AG28,""))</f>
        <v>91052.98</v>
      </c>
      <c r="J28" s="37" t="n">
        <f aca="false">IF($A28="","",IF(AND(ISNUMBER(V28),ISNUMBER(AH28)),V28+AH28,""))</f>
        <v>91931.91</v>
      </c>
      <c r="K28" s="37" t="n">
        <f aca="false">IF($A28="","",IF(AND(ISNUMBER(W28),ISNUMBER(AI28)),W28+AI28,""))</f>
        <v>94932.4</v>
      </c>
      <c r="L28" s="37" t="n">
        <f aca="false">IF($A28="","",IF(AND(ISNUMBER(X28),ISNUMBER(AJ28)),X28+AJ28,""))</f>
        <v>100185.24</v>
      </c>
      <c r="M28" s="37" t="n">
        <f aca="false">IF($A28="","",IF(AND(ISNUMBER(Y28),ISNUMBER(AK28)),Y28+AK28,""))</f>
        <v>105072.08</v>
      </c>
      <c r="N28" s="37" t="n">
        <f aca="false">IF($A28="","",IF(AND(ISNUMBER(Z28),ISNUMBER(AL28)),Z28+AL28,""))</f>
        <v>109831.59</v>
      </c>
      <c r="O28" s="37" t="n">
        <f aca="false">IF($A28="","",IF(AND(ISNUMBER(AA28),ISNUMBER(AM28)),AA28+AM28,""))</f>
        <v>113107.53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Economics'!$B$7:$B$1000,Settings!$B$16))),""))</f>
        <v>29788.05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Economics'!$B$7:$B$1000,Settings!$B$16))),""))</f>
        <v>35851.7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Economics'!$B$7:$B$1000,Settings!$B$16))),""))</f>
        <v>38236.67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Economics'!$B$7:$B$1000,Settings!$B$16))),""))</f>
        <v>39838.1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Economics'!$B$7:$B$1000,Settings!$B$16))),""))</f>
        <v>42717.87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Economics'!$B$7:$B$1000,Settings!$B$16))),""))</f>
        <v>43377.35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Economics'!$B$7:$B$1000,Settings!$B$16))),""))</f>
        <v>42110.67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Economics'!$B$7:$B$1000,Settings!$B$16))),""))</f>
        <v>42460.1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Economics'!$B$7:$B$1000,Settings!$B$16))),""))</f>
        <v>44717.35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Economics'!$B$7:$B$1000,Settings!$B$16))),""))</f>
        <v>46775.42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Economics'!$B$7:$B$1000,Settings!$B$16))),""))</f>
        <v>48745.1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Economics'!$B$7:$B$1000,Settings!$B$16))),""))</f>
        <v>49955.34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Economics'!$B$7:$B$1000,Settings!$B$15))),""))</f>
        <v>42068.58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Economics'!$B$7:$B$1000,Settings!$B$15))),""))</f>
        <v>49523.14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Economics'!$B$7:$B$1000,Settings!$B$15))),""))</f>
        <v>55892.94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Economics'!$B$7:$B$1000,Settings!$B$15))),""))</f>
        <v>49948.04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Economics'!$B$7:$B$1000,Settings!$B$15))),""))</f>
        <v>47508.71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Economics'!$B$7:$B$1000,Settings!$B$15))),""))</f>
        <v>47675.63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Economics'!$B$7:$B$1000,Settings!$B$15))),""))</f>
        <v>49821.24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Economics'!$B$7:$B$1000,Settings!$B$15))),""))</f>
        <v>52472.3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Economics'!$B$7:$B$1000,Settings!$B$15))),""))</f>
        <v>55467.89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Economics'!$B$7:$B$1000,Settings!$B$15))),""))</f>
        <v>58296.66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Economics'!$B$7:$B$1000,Settings!$B$15))),""))</f>
        <v>61086.49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Economics'!$B$7:$B$1000,Settings!$B$15))),""))</f>
        <v>63152.19</v>
      </c>
    </row>
    <row r="29" customFormat="false" ht="15" hidden="false" customHeight="false" outlineLevel="0" collapsed="false">
      <c r="A29" s="36" t="str">
        <f aca="false">IF('Raw data'!$A29="","",'Raw data'!$A29)</f>
        <v>United Kingdom</v>
      </c>
      <c r="B29" s="36" t="str">
        <f aca="false">IF($A29="","",'Raw data'!$C29)</f>
        <v>Commercial</v>
      </c>
      <c r="C29" s="36" t="str">
        <f aca="false">IF($A29="","",IF('Raw data'!$D29="",$A29,'Raw data'!$D29))</f>
        <v>United Kingdom</v>
      </c>
      <c r="D29" s="37" t="n">
        <f aca="false">IF($A29="","",IF(AND(ISNUMBER(P29),ISNUMBER(AB29)),P29+AB29,""))</f>
        <v>67046.45</v>
      </c>
      <c r="E29" s="37" t="n">
        <f aca="false">IF($A29="","",IF(AND(ISNUMBER(Q29),ISNUMBER(AC29)),Q29+AC29,""))</f>
        <v>69888.18</v>
      </c>
      <c r="F29" s="37" t="n">
        <f aca="false">IF($A29="","",IF(AND(ISNUMBER(R29),ISNUMBER(AD29)),R29+AD29,""))</f>
        <v>70425.55</v>
      </c>
      <c r="G29" s="37" t="n">
        <f aca="false">IF($A29="","",IF(AND(ISNUMBER(S29),ISNUMBER(AE29)),S29+AE29,""))</f>
        <v>73486.01</v>
      </c>
      <c r="H29" s="37" t="n">
        <f aca="false">IF($A29="","",IF(AND(ISNUMBER(T29),ISNUMBER(AF29)),T29+AF29,""))</f>
        <v>72397.68</v>
      </c>
      <c r="I29" s="37" t="n">
        <f aca="false">IF($A29="","",IF(AND(ISNUMBER(U29),ISNUMBER(AG29)),U29+AG29,""))</f>
        <v>68667.69</v>
      </c>
      <c r="J29" s="37" t="n">
        <f aca="false">IF($A29="","",IF(AND(ISNUMBER(V29),ISNUMBER(AH29)),V29+AH29,""))</f>
        <v>68300.03</v>
      </c>
      <c r="K29" s="37" t="n">
        <f aca="false">IF($A29="","",IF(AND(ISNUMBER(W29),ISNUMBER(AI29)),W29+AI29,""))</f>
        <v>70373.25</v>
      </c>
      <c r="L29" s="37" t="n">
        <f aca="false">IF($A29="","",IF(AND(ISNUMBER(X29),ISNUMBER(AJ29)),X29+AJ29,""))</f>
        <v>73711.75</v>
      </c>
      <c r="M29" s="37" t="n">
        <f aca="false">IF($A29="","",IF(AND(ISNUMBER(Y29),ISNUMBER(AK29)),Y29+AK29,""))</f>
        <v>77542.9</v>
      </c>
      <c r="N29" s="37" t="n">
        <f aca="false">IF($A29="","",IF(AND(ISNUMBER(Z29),ISNUMBER(AL29)),Z29+AL29,""))</f>
        <v>80800.92</v>
      </c>
      <c r="O29" s="37" t="n">
        <f aca="false">IF($A29="","",IF(AND(ISNUMBER(AA29),ISNUMBER(AM29)),AA29+AM29,""))</f>
        <v>83236.1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Economics'!$B$7:$B$1000,Settings!$B$16))),""))</f>
        <v>21598.12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Economics'!$B$7:$B$1000,Settings!$B$16))),""))</f>
        <v>24644.37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Economics'!$B$7:$B$1000,Settings!$B$16))),""))</f>
        <v>25145.66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Economics'!$B$7:$B$1000,Settings!$B$16))),""))</f>
        <v>27647.3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Economics'!$B$7:$B$1000,Settings!$B$16))),""))</f>
        <v>28906.58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Economics'!$B$7:$B$1000,Settings!$B$16))),""))</f>
        <v>27995.86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Economics'!$B$7:$B$1000,Settings!$B$16))),""))</f>
        <v>27972.61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Economics'!$B$7:$B$1000,Settings!$B$16))),""))</f>
        <v>29213.29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Economics'!$B$7:$B$1000,Settings!$B$16))),""))</f>
        <v>31216.29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Economics'!$B$7:$B$1000,Settings!$B$16))),""))</f>
        <v>33459.68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Economics'!$B$7:$B$1000,Settings!$B$16))),""))</f>
        <v>35319.9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Economics'!$B$7:$B$1000,Settings!$B$16))),""))</f>
        <v>36367.33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Economics'!$B$7:$B$1000,Settings!$B$15))),""))</f>
        <v>45448.33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Economics'!$B$7:$B$1000,Settings!$B$15))),""))</f>
        <v>45243.81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Economics'!$B$7:$B$1000,Settings!$B$15))),""))</f>
        <v>45279.89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Economics'!$B$7:$B$1000,Settings!$B$15))),""))</f>
        <v>45838.71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Economics'!$B$7:$B$1000,Settings!$B$15))),""))</f>
        <v>43491.1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Economics'!$B$7:$B$1000,Settings!$B$15))),""))</f>
        <v>40671.83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Economics'!$B$7:$B$1000,Settings!$B$15))),""))</f>
        <v>40327.42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Economics'!$B$7:$B$1000,Settings!$B$15))),""))</f>
        <v>41159.96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Economics'!$B$7:$B$1000,Settings!$B$15))),""))</f>
        <v>42495.46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Economics'!$B$7:$B$1000,Settings!$B$15))),""))</f>
        <v>44083.22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Economics'!$B$7:$B$1000,Settings!$B$15))),""))</f>
        <v>45481.02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Economics'!$B$7:$B$1000,Settings!$B$15))),""))</f>
        <v>46868.77</v>
      </c>
    </row>
    <row r="30" customFormat="false" ht="15" hidden="false" customHeight="false" outlineLevel="0" collapsed="false">
      <c r="A30" s="36" t="str">
        <f aca="false">IF('Raw data'!$A30="","",'Raw data'!$A30)</f>
        <v>France</v>
      </c>
      <c r="B30" s="36" t="str">
        <f aca="false">IF($A30="","",'Raw data'!$C30)</f>
        <v>Residential</v>
      </c>
      <c r="C30" s="36" t="str">
        <f aca="false">IF($A30="","",IF('Raw data'!$D30="",$A30,'Raw data'!$D30))</f>
        <v>France</v>
      </c>
      <c r="D30" s="37" t="n">
        <f aca="false">IF($A30="","",IF(AND(ISNUMBER(P30),ISNUMBER(AB30)),P30+AB30,""))</f>
        <v>51362.08</v>
      </c>
      <c r="E30" s="37" t="n">
        <f aca="false">IF($A30="","",IF(AND(ISNUMBER(Q30),ISNUMBER(AC30)),Q30+AC30,""))</f>
        <v>55749.15</v>
      </c>
      <c r="F30" s="37" t="n">
        <f aca="false">IF($A30="","",IF(AND(ISNUMBER(R30),ISNUMBER(AD30)),R30+AD30,""))</f>
        <v>53730.03</v>
      </c>
      <c r="G30" s="37" t="n">
        <f aca="false">IF($A30="","",IF(AND(ISNUMBER(S30),ISNUMBER(AE30)),S30+AE30,""))</f>
        <v>52407.61</v>
      </c>
      <c r="H30" s="37" t="n">
        <f aca="false">IF($A30="","",IF(AND(ISNUMBER(T30),ISNUMBER(AF30)),T30+AF30,""))</f>
        <v>47581.62</v>
      </c>
      <c r="I30" s="37" t="n">
        <f aca="false">IF($A30="","",IF(AND(ISNUMBER(U30),ISNUMBER(AG30)),U30+AG30,""))</f>
        <v>47504.24</v>
      </c>
      <c r="J30" s="37" t="n">
        <f aca="false">IF($A30="","",IF(AND(ISNUMBER(V30),ISNUMBER(AH30)),V30+AH30,""))</f>
        <v>47698.61</v>
      </c>
      <c r="K30" s="37" t="n">
        <f aca="false">IF($A30="","",IF(AND(ISNUMBER(W30),ISNUMBER(AI30)),W30+AI30,""))</f>
        <v>48102.06</v>
      </c>
      <c r="L30" s="37" t="n">
        <f aca="false">IF($A30="","",IF(AND(ISNUMBER(X30),ISNUMBER(AJ30)),X30+AJ30,""))</f>
        <v>48998.45</v>
      </c>
      <c r="M30" s="37" t="n">
        <f aca="false">IF($A30="","",IF(AND(ISNUMBER(Y30),ISNUMBER(AK30)),Y30+AK30,""))</f>
        <v>50214.66</v>
      </c>
      <c r="N30" s="37" t="n">
        <f aca="false">IF($A30="","",IF(AND(ISNUMBER(Z30),ISNUMBER(AL30)),Z30+AL30,""))</f>
        <v>51126.61</v>
      </c>
      <c r="O30" s="37" t="n">
        <f aca="false">IF($A30="","",IF(AND(ISNUMBER(AA30),ISNUMBER(AM30)),AA30+AM30,""))</f>
        <v>52450.51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Economics'!$B$7:$B$1000,Settings!$B$16))),""))</f>
        <v>32052.65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Economics'!$B$7:$B$1000,Settings!$B$16))),""))</f>
        <v>34083.08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Economics'!$B$7:$B$1000,Settings!$B$16))),""))</f>
        <v>33476.89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Economics'!$B$7:$B$1000,Settings!$B$16))),""))</f>
        <v>36354.87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Economics'!$B$7:$B$1000,Settings!$B$16))),""))</f>
        <v>36145.05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Economics'!$B$7:$B$1000,Settings!$B$16))),""))</f>
        <v>36813.16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Economics'!$B$7:$B$1000,Settings!$B$16))),""))</f>
        <v>37461.75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Economics'!$B$7:$B$1000,Settings!$B$16))),""))</f>
        <v>38118.86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Economics'!$B$7:$B$1000,Settings!$B$16))),""))</f>
        <v>38832.62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Economics'!$B$7:$B$1000,Settings!$B$16))),""))</f>
        <v>39676.57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Economics'!$B$7:$B$1000,Settings!$B$16))),""))</f>
        <v>40256.56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Economics'!$B$7:$B$1000,Settings!$B$16))),""))</f>
        <v>41210.91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Economics'!$B$7:$B$1000,Settings!$B$15))),""))</f>
        <v>19309.43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Economics'!$B$7:$B$1000,Settings!$B$15))),""))</f>
        <v>21666.07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Economics'!$B$7:$B$1000,Settings!$B$15))),""))</f>
        <v>20253.14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Economics'!$B$7:$B$1000,Settings!$B$15))),""))</f>
        <v>16052.74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Economics'!$B$7:$B$1000,Settings!$B$15))),""))</f>
        <v>11436.57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Economics'!$B$7:$B$1000,Settings!$B$15))),""))</f>
        <v>10691.08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Economics'!$B$7:$B$1000,Settings!$B$15))),""))</f>
        <v>10236.86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Economics'!$B$7:$B$1000,Settings!$B$15))),""))</f>
        <v>9983.2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Economics'!$B$7:$B$1000,Settings!$B$15))),""))</f>
        <v>10165.83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Economics'!$B$7:$B$1000,Settings!$B$15))),""))</f>
        <v>10538.09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Economics'!$B$7:$B$1000,Settings!$B$15))),""))</f>
        <v>10870.05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Economics'!$B$7:$B$1000,Settings!$B$15))),""))</f>
        <v>11239.6</v>
      </c>
    </row>
    <row r="31" customFormat="false" ht="15" hidden="false" customHeight="false" outlineLevel="0" collapsed="false">
      <c r="A31" s="36" t="str">
        <f aca="false">IF('Raw data'!$A31="","",'Raw data'!$A31)</f>
        <v>France</v>
      </c>
      <c r="B31" s="36" t="str">
        <f aca="false">IF($A31="","",'Raw data'!$C31)</f>
        <v>Commercial</v>
      </c>
      <c r="C31" s="36" t="str">
        <f aca="false">IF($A31="","",IF('Raw data'!$D31="",$A31,'Raw data'!$D31))</f>
        <v>France</v>
      </c>
      <c r="D31" s="37" t="n">
        <f aca="false">IF($A31="","",IF(AND(ISNUMBER(P31),ISNUMBER(AB31)),P31+AB31,""))</f>
        <v>89594.8</v>
      </c>
      <c r="E31" s="37" t="n">
        <f aca="false">IF($A31="","",IF(AND(ISNUMBER(Q31),ISNUMBER(AC31)),Q31+AC31,""))</f>
        <v>94161.07</v>
      </c>
      <c r="F31" s="37" t="n">
        <f aca="false">IF($A31="","",IF(AND(ISNUMBER(R31),ISNUMBER(AD31)),R31+AD31,""))</f>
        <v>91159.33</v>
      </c>
      <c r="G31" s="37" t="n">
        <f aca="false">IF($A31="","",IF(AND(ISNUMBER(S31),ISNUMBER(AE31)),S31+AE31,""))</f>
        <v>94479.19</v>
      </c>
      <c r="H31" s="37" t="n">
        <f aca="false">IF($A31="","",IF(AND(ISNUMBER(T31),ISNUMBER(AF31)),T31+AF31,""))</f>
        <v>94583.6</v>
      </c>
      <c r="I31" s="37" t="n">
        <f aca="false">IF($A31="","",IF(AND(ISNUMBER(U31),ISNUMBER(AG31)),U31+AG31,""))</f>
        <v>92949.87</v>
      </c>
      <c r="J31" s="37" t="n">
        <f aca="false">IF($A31="","",IF(AND(ISNUMBER(V31),ISNUMBER(AH31)),V31+AH31,""))</f>
        <v>93918.48</v>
      </c>
      <c r="K31" s="37" t="n">
        <f aca="false">IF($A31="","",IF(AND(ISNUMBER(W31),ISNUMBER(AI31)),W31+AI31,""))</f>
        <v>94492.01</v>
      </c>
      <c r="L31" s="37" t="n">
        <f aca="false">IF($A31="","",IF(AND(ISNUMBER(X31),ISNUMBER(AJ31)),X31+AJ31,""))</f>
        <v>94816.89</v>
      </c>
      <c r="M31" s="37" t="n">
        <f aca="false">IF($A31="","",IF(AND(ISNUMBER(Y31),ISNUMBER(AK31)),Y31+AK31,""))</f>
        <v>96103.47</v>
      </c>
      <c r="N31" s="37" t="n">
        <f aca="false">IF($A31="","",IF(AND(ISNUMBER(Z31),ISNUMBER(AL31)),Z31+AL31,""))</f>
        <v>98103.02</v>
      </c>
      <c r="O31" s="37" t="n">
        <f aca="false">IF($A31="","",IF(AND(ISNUMBER(AA31),ISNUMBER(AM31)),AA31+AM31,""))</f>
        <v>99770.69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Economics'!$B$7:$B$1000,Settings!$B$16))),""))</f>
        <v>47410.23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Economics'!$B$7:$B$1000,Settings!$B$16))),""))</f>
        <v>51400.31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Economics'!$B$7:$B$1000,Settings!$B$16))),""))</f>
        <v>49518.14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Economics'!$B$7:$B$1000,Settings!$B$16))),""))</f>
        <v>53778.22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Economics'!$B$7:$B$1000,Settings!$B$16))),""))</f>
        <v>58852.35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Economics'!$B$7:$B$1000,Settings!$B$16))),""))</f>
        <v>58962.14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Economics'!$B$7:$B$1000,Settings!$B$16))),""))</f>
        <v>59929.88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Economics'!$B$7:$B$1000,Settings!$B$16))),""))</f>
        <v>60976.74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Economics'!$B$7:$B$1000,Settings!$B$16))),""))</f>
        <v>61471.62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Economics'!$B$7:$B$1000,Settings!$B$16))),""))</f>
        <v>62598.49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Economics'!$B$7:$B$1000,Settings!$B$16))),""))</f>
        <v>64151.44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Economics'!$B$7:$B$1000,Settings!$B$16))),""))</f>
        <v>65166.17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Economics'!$B$7:$B$1000,Settings!$B$15))),""))</f>
        <v>42184.57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Economics'!$B$7:$B$1000,Settings!$B$15))),""))</f>
        <v>42760.76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Economics'!$B$7:$B$1000,Settings!$B$15))),""))</f>
        <v>41641.19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Economics'!$B$7:$B$1000,Settings!$B$15))),""))</f>
        <v>40700.97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Economics'!$B$7:$B$1000,Settings!$B$15))),""))</f>
        <v>35731.25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Economics'!$B$7:$B$1000,Settings!$B$15))),""))</f>
        <v>33987.73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Economics'!$B$7:$B$1000,Settings!$B$15))),""))</f>
        <v>33988.6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Economics'!$B$7:$B$1000,Settings!$B$15))),""))</f>
        <v>33515.27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Economics'!$B$7:$B$1000,Settings!$B$15))),""))</f>
        <v>33345.27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Economics'!$B$7:$B$1000,Settings!$B$15))),""))</f>
        <v>33504.98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Economics'!$B$7:$B$1000,Settings!$B$15))),""))</f>
        <v>33951.58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Economics'!$B$7:$B$1000,Settings!$B$15))),""))</f>
        <v>34604.52</v>
      </c>
    </row>
    <row r="32" customFormat="false" ht="15" hidden="false" customHeight="false" outlineLevel="0" collapsed="false">
      <c r="A32" s="36" t="str">
        <f aca="false">IF('Raw data'!$A32="","",'Raw data'!$A32)</f>
        <v>Italy</v>
      </c>
      <c r="B32" s="36" t="str">
        <f aca="false">IF($A32="","",'Raw data'!$C32)</f>
        <v>Residential</v>
      </c>
      <c r="C32" s="36" t="str">
        <f aca="false">IF($A32="","",IF('Raw data'!$D32="",$A32,'Raw data'!$D32))</f>
        <v>Italy</v>
      </c>
      <c r="D32" s="37" t="n">
        <f aca="false">IF($A32="","",IF(AND(ISNUMBER(P32),ISNUMBER(AB32)),P32+AB32,""))</f>
        <v>16621.24</v>
      </c>
      <c r="E32" s="37" t="n">
        <f aca="false">IF($A32="","",IF(AND(ISNUMBER(Q32),ISNUMBER(AC32)),Q32+AC32,""))</f>
        <v>21648.74</v>
      </c>
      <c r="F32" s="37" t="n">
        <f aca="false">IF($A32="","",IF(AND(ISNUMBER(R32),ISNUMBER(AD32)),R32+AD32,""))</f>
        <v>25555.35</v>
      </c>
      <c r="G32" s="37" t="n">
        <f aca="false">IF($A32="","",IF(AND(ISNUMBER(S32),ISNUMBER(AE32)),S32+AE32,""))</f>
        <v>28605.7</v>
      </c>
      <c r="H32" s="37" t="n">
        <f aca="false">IF($A32="","",IF(AND(ISNUMBER(T32),ISNUMBER(AF32)),T32+AF32,""))</f>
        <v>29129.08</v>
      </c>
      <c r="I32" s="37" t="n">
        <f aca="false">IF($A32="","",IF(AND(ISNUMBER(U32),ISNUMBER(AG32)),U32+AG32,""))</f>
        <v>27391</v>
      </c>
      <c r="J32" s="37" t="n">
        <f aca="false">IF($A32="","",IF(AND(ISNUMBER(V32),ISNUMBER(AH32)),V32+AH32,""))</f>
        <v>26617.93</v>
      </c>
      <c r="K32" s="37" t="n">
        <f aca="false">IF($A32="","",IF(AND(ISNUMBER(W32),ISNUMBER(AI32)),W32+AI32,""))</f>
        <v>25218.25</v>
      </c>
      <c r="L32" s="37" t="n">
        <f aca="false">IF($A32="","",IF(AND(ISNUMBER(X32),ISNUMBER(AJ32)),X32+AJ32,""))</f>
        <v>24089.79</v>
      </c>
      <c r="M32" s="37" t="n">
        <f aca="false">IF($A32="","",IF(AND(ISNUMBER(Y32),ISNUMBER(AK32)),Y32+AK32,""))</f>
        <v>23929.75</v>
      </c>
      <c r="N32" s="37" t="n">
        <f aca="false">IF($A32="","",IF(AND(ISNUMBER(Z32),ISNUMBER(AL32)),Z32+AL32,""))</f>
        <v>24090.8</v>
      </c>
      <c r="O32" s="37" t="n">
        <f aca="false">IF($A32="","",IF(AND(ISNUMBER(AA32),ISNUMBER(AM32)),AA32+AM32,""))</f>
        <v>23768.24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Economics'!$B$7:$B$1000,Settings!$B$16))),""))</f>
        <v>13008.11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Economics'!$B$7:$B$1000,Settings!$B$16))),""))</f>
        <v>17124.8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Economics'!$B$7:$B$1000,Settings!$B$16))),""))</f>
        <v>21058.04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Economics'!$B$7:$B$1000,Settings!$B$16))),""))</f>
        <v>23305.68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Economics'!$B$7:$B$1000,Settings!$B$16))),""))</f>
        <v>23100.52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Economics'!$B$7:$B$1000,Settings!$B$16))),""))</f>
        <v>21681.32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Economics'!$B$7:$B$1000,Settings!$B$16))),""))</f>
        <v>20783.71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Economics'!$B$7:$B$1000,Settings!$B$16))),""))</f>
        <v>19831.64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Economics'!$B$7:$B$1000,Settings!$B$16))),""))</f>
        <v>19222.89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Economics'!$B$7:$B$1000,Settings!$B$16))),""))</f>
        <v>19386.41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Economics'!$B$7:$B$1000,Settings!$B$16))),""))</f>
        <v>19725.88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Economics'!$B$7:$B$1000,Settings!$B$16))),""))</f>
        <v>19500.6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Economics'!$B$7:$B$1000,Settings!$B$15))),""))</f>
        <v>3613.13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Economics'!$B$7:$B$1000,Settings!$B$15))),""))</f>
        <v>4523.94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Economics'!$B$7:$B$1000,Settings!$B$15))),""))</f>
        <v>4497.31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Economics'!$B$7:$B$1000,Settings!$B$15))),""))</f>
        <v>5300.02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Economics'!$B$7:$B$1000,Settings!$B$15))),""))</f>
        <v>6028.56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Economics'!$B$7:$B$1000,Settings!$B$15))),""))</f>
        <v>5709.68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Economics'!$B$7:$B$1000,Settings!$B$15))),""))</f>
        <v>5834.22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Economics'!$B$7:$B$1000,Settings!$B$15))),""))</f>
        <v>5386.61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Economics'!$B$7:$B$1000,Settings!$B$15))),""))</f>
        <v>4866.9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Economics'!$B$7:$B$1000,Settings!$B$15))),""))</f>
        <v>4543.34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Economics'!$B$7:$B$1000,Settings!$B$15))),""))</f>
        <v>4364.92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Economics'!$B$7:$B$1000,Settings!$B$15))),""))</f>
        <v>4267.64</v>
      </c>
    </row>
    <row r="33" customFormat="false" ht="15" hidden="false" customHeight="false" outlineLevel="0" collapsed="false">
      <c r="A33" s="36" t="str">
        <f aca="false">IF('Raw data'!$A33="","",'Raw data'!$A33)</f>
        <v>Italy</v>
      </c>
      <c r="B33" s="36" t="str">
        <f aca="false">IF($A33="","",'Raw data'!$C33)</f>
        <v>Commercial</v>
      </c>
      <c r="C33" s="36" t="str">
        <f aca="false">IF($A33="","",IF('Raw data'!$D33="",$A33,'Raw data'!$D33))</f>
        <v>Italy</v>
      </c>
      <c r="D33" s="37" t="n">
        <f aca="false">IF($A33="","",IF(AND(ISNUMBER(P33),ISNUMBER(AB33)),P33+AB33,""))</f>
        <v>59128.93</v>
      </c>
      <c r="E33" s="37" t="n">
        <f aca="false">IF($A33="","",IF(AND(ISNUMBER(Q33),ISNUMBER(AC33)),Q33+AC33,""))</f>
        <v>75387.57</v>
      </c>
      <c r="F33" s="37" t="n">
        <f aca="false">IF($A33="","",IF(AND(ISNUMBER(R33),ISNUMBER(AD33)),R33+AD33,""))</f>
        <v>92196.41</v>
      </c>
      <c r="G33" s="37" t="n">
        <f aca="false">IF($A33="","",IF(AND(ISNUMBER(S33),ISNUMBER(AE33)),S33+AE33,""))</f>
        <v>98255.12</v>
      </c>
      <c r="H33" s="37" t="n">
        <f aca="false">IF($A33="","",IF(AND(ISNUMBER(T33),ISNUMBER(AF33)),T33+AF33,""))</f>
        <v>95187.17</v>
      </c>
      <c r="I33" s="37" t="n">
        <f aca="false">IF($A33="","",IF(AND(ISNUMBER(U33),ISNUMBER(AG33)),U33+AG33,""))</f>
        <v>93406.3</v>
      </c>
      <c r="J33" s="37" t="n">
        <f aca="false">IF($A33="","",IF(AND(ISNUMBER(V33),ISNUMBER(AH33)),V33+AH33,""))</f>
        <v>93565.32</v>
      </c>
      <c r="K33" s="37" t="n">
        <f aca="false">IF($A33="","",IF(AND(ISNUMBER(W33),ISNUMBER(AI33)),W33+AI33,""))</f>
        <v>93939.64</v>
      </c>
      <c r="L33" s="37" t="n">
        <f aca="false">IF($A33="","",IF(AND(ISNUMBER(X33),ISNUMBER(AJ33)),X33+AJ33,""))</f>
        <v>95054.76</v>
      </c>
      <c r="M33" s="37" t="n">
        <f aca="false">IF($A33="","",IF(AND(ISNUMBER(Y33),ISNUMBER(AK33)),Y33+AK33,""))</f>
        <v>97160.54</v>
      </c>
      <c r="N33" s="37" t="n">
        <f aca="false">IF($A33="","",IF(AND(ISNUMBER(Z33),ISNUMBER(AL33)),Z33+AL33,""))</f>
        <v>99643.57</v>
      </c>
      <c r="O33" s="37" t="n">
        <f aca="false">IF($A33="","",IF(AND(ISNUMBER(AA33),ISNUMBER(AM33)),AA33+AM33,""))</f>
        <v>100358.14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Economics'!$B$7:$B$1000,Settings!$B$16))),""))</f>
        <v>48572.37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Economics'!$B$7:$B$1000,Settings!$B$16))),""))</f>
        <v>63053.82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Economics'!$B$7:$B$1000,Settings!$B$16))),""))</f>
        <v>78878.63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Economics'!$B$7:$B$1000,Settings!$B$16))),""))</f>
        <v>83254.03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Economics'!$B$7:$B$1000,Settings!$B$16))),""))</f>
        <v>79008.07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Economics'!$B$7:$B$1000,Settings!$B$16))),""))</f>
        <v>77309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Economics'!$B$7:$B$1000,Settings!$B$16))),""))</f>
        <v>77236.33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Economics'!$B$7:$B$1000,Settings!$B$16))),""))</f>
        <v>77555.95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Economics'!$B$7:$B$1000,Settings!$B$16))),""))</f>
        <v>78151.17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Economics'!$B$7:$B$1000,Settings!$B$16))),""))</f>
        <v>79803.08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Economics'!$B$7:$B$1000,Settings!$B$16))),""))</f>
        <v>81746.5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Economics'!$B$7:$B$1000,Settings!$B$16))),""))</f>
        <v>82077.83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Economics'!$B$7:$B$1000,Settings!$B$15))),""))</f>
        <v>10556.56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Economics'!$B$7:$B$1000,Settings!$B$15))),""))</f>
        <v>12333.75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Economics'!$B$7:$B$1000,Settings!$B$15))),""))</f>
        <v>13317.78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Economics'!$B$7:$B$1000,Settings!$B$15))),""))</f>
        <v>15001.09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Economics'!$B$7:$B$1000,Settings!$B$15))),""))</f>
        <v>16179.1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Economics'!$B$7:$B$1000,Settings!$B$15))),""))</f>
        <v>16097.3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Economics'!$B$7:$B$1000,Settings!$B$15))),""))</f>
        <v>16328.99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Economics'!$B$7:$B$1000,Settings!$B$15))),""))</f>
        <v>16383.69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Economics'!$B$7:$B$1000,Settings!$B$15))),""))</f>
        <v>16903.59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Economics'!$B$7:$B$1000,Settings!$B$15))),""))</f>
        <v>17357.46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Economics'!$B$7:$B$1000,Settings!$B$15))),""))</f>
        <v>17897.07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Economics'!$B$7:$B$1000,Settings!$B$15))),""))</f>
        <v>18280.31</v>
      </c>
    </row>
    <row r="34" customFormat="false" ht="15" hidden="false" customHeight="false" outlineLevel="0" collapsed="false">
      <c r="A34" s="36" t="str">
        <f aca="false">IF('Raw data'!$A34="","",'Raw data'!$A34)</f>
        <v>Belgium</v>
      </c>
      <c r="B34" s="36" t="str">
        <f aca="false">IF($A34="","",'Raw data'!$C34)</f>
        <v>Residential</v>
      </c>
      <c r="C34" s="36" t="str">
        <f aca="false">IF($A34="","",IF('Raw data'!$D34="",$A34,'Raw data'!$D34))</f>
        <v>Belgium</v>
      </c>
      <c r="D34" s="37" t="n">
        <f aca="false">IF($A34="","",IF(AND(ISNUMBER(P34),ISNUMBER(AB34)),P34+AB34,""))</f>
        <v>10309.84</v>
      </c>
      <c r="E34" s="37" t="n">
        <f aca="false">IF($A34="","",IF(AND(ISNUMBER(Q34),ISNUMBER(AC34)),Q34+AC34,""))</f>
        <v>11222.04</v>
      </c>
      <c r="F34" s="37" t="n">
        <f aca="false">IF($A34="","",IF(AND(ISNUMBER(R34),ISNUMBER(AD34)),R34+AD34,""))</f>
        <v>11215.13</v>
      </c>
      <c r="G34" s="37" t="n">
        <f aca="false">IF($A34="","",IF(AND(ISNUMBER(S34),ISNUMBER(AE34)),S34+AE34,""))</f>
        <v>10946.37</v>
      </c>
      <c r="H34" s="37" t="n">
        <f aca="false">IF($A34="","",IF(AND(ISNUMBER(T34),ISNUMBER(AF34)),T34+AF34,""))</f>
        <v>10983.09</v>
      </c>
      <c r="I34" s="37" t="n">
        <f aca="false">IF($A34="","",IF(AND(ISNUMBER(U34),ISNUMBER(AG34)),U34+AG34,""))</f>
        <v>10603.3</v>
      </c>
      <c r="J34" s="37" t="n">
        <f aca="false">IF($A34="","",IF(AND(ISNUMBER(V34),ISNUMBER(AH34)),V34+AH34,""))</f>
        <v>10284.51</v>
      </c>
      <c r="K34" s="37" t="n">
        <f aca="false">IF($A34="","",IF(AND(ISNUMBER(W34),ISNUMBER(AI34)),W34+AI34,""))</f>
        <v>10361.53</v>
      </c>
      <c r="L34" s="37" t="n">
        <f aca="false">IF($A34="","",IF(AND(ISNUMBER(X34),ISNUMBER(AJ34)),X34+AJ34,""))</f>
        <v>10674.52</v>
      </c>
      <c r="M34" s="37" t="n">
        <f aca="false">IF($A34="","",IF(AND(ISNUMBER(Y34),ISNUMBER(AK34)),Y34+AK34,""))</f>
        <v>10942.69</v>
      </c>
      <c r="N34" s="37" t="n">
        <f aca="false">IF($A34="","",IF(AND(ISNUMBER(Z34),ISNUMBER(AL34)),Z34+AL34,""))</f>
        <v>11264.14</v>
      </c>
      <c r="O34" s="37" t="n">
        <f aca="false">IF($A34="","",IF(AND(ISNUMBER(AA34),ISNUMBER(AM34)),AA34+AM34,""))</f>
        <v>11514.62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Economics'!$B$7:$B$1000,Settings!$B$16))),""))</f>
        <v>6694.52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Economics'!$B$7:$B$1000,Settings!$B$16))),""))</f>
        <v>7534.95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Economics'!$B$7:$B$1000,Settings!$B$16))),""))</f>
        <v>7716.04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Economics'!$B$7:$B$1000,Settings!$B$16))),""))</f>
        <v>7652.44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Economics'!$B$7:$B$1000,Settings!$B$16))),""))</f>
        <v>7935.55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Economics'!$B$7:$B$1000,Settings!$B$16))),""))</f>
        <v>7792.85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Economics'!$B$7:$B$1000,Settings!$B$16))),""))</f>
        <v>7705.69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Economics'!$B$7:$B$1000,Settings!$B$16))),""))</f>
        <v>7771.35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Economics'!$B$7:$B$1000,Settings!$B$16))),""))</f>
        <v>8027.81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Economics'!$B$7:$B$1000,Settings!$B$16))),""))</f>
        <v>8243.27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Economics'!$B$7:$B$1000,Settings!$B$16))),""))</f>
        <v>8478.47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Economics'!$B$7:$B$1000,Settings!$B$16))),""))</f>
        <v>8599.5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Economics'!$B$7:$B$1000,Settings!$B$15))),""))</f>
        <v>3615.32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Economics'!$B$7:$B$1000,Settings!$B$15))),""))</f>
        <v>3687.09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Economics'!$B$7:$B$1000,Settings!$B$15))),""))</f>
        <v>3499.09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Economics'!$B$7:$B$1000,Settings!$B$15))),""))</f>
        <v>3293.93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Economics'!$B$7:$B$1000,Settings!$B$15))),""))</f>
        <v>3047.54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Economics'!$B$7:$B$1000,Settings!$B$15))),""))</f>
        <v>2810.45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Economics'!$B$7:$B$1000,Settings!$B$15))),""))</f>
        <v>2578.82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Economics'!$B$7:$B$1000,Settings!$B$15))),""))</f>
        <v>2590.18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Economics'!$B$7:$B$1000,Settings!$B$15))),""))</f>
        <v>2646.71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Economics'!$B$7:$B$1000,Settings!$B$15))),""))</f>
        <v>2699.42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Economics'!$B$7:$B$1000,Settings!$B$15))),""))</f>
        <v>2785.67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Economics'!$B$7:$B$1000,Settings!$B$15))),""))</f>
        <v>2915.12</v>
      </c>
    </row>
    <row r="35" customFormat="false" ht="15" hidden="false" customHeight="false" outlineLevel="0" collapsed="false">
      <c r="A35" s="36" t="str">
        <f aca="false">IF('Raw data'!$A35="","",'Raw data'!$A35)</f>
        <v>Belgium</v>
      </c>
      <c r="B35" s="36" t="str">
        <f aca="false">IF($A35="","",'Raw data'!$C35)</f>
        <v>Commercial</v>
      </c>
      <c r="C35" s="36" t="str">
        <f aca="false">IF($A35="","",IF('Raw data'!$D35="",$A35,'Raw data'!$D35))</f>
        <v>Belgium</v>
      </c>
      <c r="D35" s="37" t="n">
        <f aca="false">IF($A35="","",IF(AND(ISNUMBER(P35),ISNUMBER(AB35)),P35+AB35,""))</f>
        <v>17300.38</v>
      </c>
      <c r="E35" s="37" t="n">
        <f aca="false">IF($A35="","",IF(AND(ISNUMBER(Q35),ISNUMBER(AC35)),Q35+AC35,""))</f>
        <v>19088.24</v>
      </c>
      <c r="F35" s="37" t="n">
        <f aca="false">IF($A35="","",IF(AND(ISNUMBER(R35),ISNUMBER(AD35)),R35+AD35,""))</f>
        <v>19168.47</v>
      </c>
      <c r="G35" s="37" t="n">
        <f aca="false">IF($A35="","",IF(AND(ISNUMBER(S35),ISNUMBER(AE35)),S35+AE35,""))</f>
        <v>19053.98</v>
      </c>
      <c r="H35" s="37" t="n">
        <f aca="false">IF($A35="","",IF(AND(ISNUMBER(T35),ISNUMBER(AF35)),T35+AF35,""))</f>
        <v>19369.15</v>
      </c>
      <c r="I35" s="37" t="n">
        <f aca="false">IF($A35="","",IF(AND(ISNUMBER(U35),ISNUMBER(AG35)),U35+AG35,""))</f>
        <v>19662.69</v>
      </c>
      <c r="J35" s="37" t="n">
        <f aca="false">IF($A35="","",IF(AND(ISNUMBER(V35),ISNUMBER(AH35)),V35+AH35,""))</f>
        <v>20019.05</v>
      </c>
      <c r="K35" s="37" t="n">
        <f aca="false">IF($A35="","",IF(AND(ISNUMBER(W35),ISNUMBER(AI35)),W35+AI35,""))</f>
        <v>20604.01</v>
      </c>
      <c r="L35" s="37" t="n">
        <f aca="false">IF($A35="","",IF(AND(ISNUMBER(X35),ISNUMBER(AJ35)),X35+AJ35,""))</f>
        <v>21200.93</v>
      </c>
      <c r="M35" s="37" t="n">
        <f aca="false">IF($A35="","",IF(AND(ISNUMBER(Y35),ISNUMBER(AK35)),Y35+AK35,""))</f>
        <v>21886.6</v>
      </c>
      <c r="N35" s="37" t="n">
        <f aca="false">IF($A35="","",IF(AND(ISNUMBER(Z35),ISNUMBER(AL35)),Z35+AL35,""))</f>
        <v>22592.07</v>
      </c>
      <c r="O35" s="37" t="n">
        <f aca="false">IF($A35="","",IF(AND(ISNUMBER(AA35),ISNUMBER(AM35)),AA35+AM35,""))</f>
        <v>23279.84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Economics'!$B$7:$B$1000,Settings!$B$16))),""))</f>
        <v>9544.66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Economics'!$B$7:$B$1000,Settings!$B$16))),""))</f>
        <v>10726.92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Economics'!$B$7:$B$1000,Settings!$B$16))),""))</f>
        <v>11012.17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Economics'!$B$7:$B$1000,Settings!$B$16))),""))</f>
        <v>11107.61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Economics'!$B$7:$B$1000,Settings!$B$16))),""))</f>
        <v>11312.89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Economics'!$B$7:$B$1000,Settings!$B$16))),""))</f>
        <v>11539.3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Economics'!$B$7:$B$1000,Settings!$B$16))),""))</f>
        <v>11755.23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Economics'!$B$7:$B$1000,Settings!$B$16))),""))</f>
        <v>12219.74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Economics'!$B$7:$B$1000,Settings!$B$16))),""))</f>
        <v>12720.39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Economics'!$B$7:$B$1000,Settings!$B$16))),""))</f>
        <v>13286.88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Economics'!$B$7:$B$1000,Settings!$B$16))),""))</f>
        <v>13814.27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Economics'!$B$7:$B$1000,Settings!$B$16))),""))</f>
        <v>14149.44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Economics'!$B$7:$B$1000,Settings!$B$15))),""))</f>
        <v>7755.72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Economics'!$B$7:$B$1000,Settings!$B$15))),""))</f>
        <v>8361.32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Economics'!$B$7:$B$1000,Settings!$B$15))),""))</f>
        <v>8156.3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Economics'!$B$7:$B$1000,Settings!$B$15))),""))</f>
        <v>7946.37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Economics'!$B$7:$B$1000,Settings!$B$15))),""))</f>
        <v>8056.26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Economics'!$B$7:$B$1000,Settings!$B$15))),""))</f>
        <v>8123.39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Economics'!$B$7:$B$1000,Settings!$B$15))),""))</f>
        <v>8263.82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Economics'!$B$7:$B$1000,Settings!$B$15))),""))</f>
        <v>8384.27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Economics'!$B$7:$B$1000,Settings!$B$15))),""))</f>
        <v>8480.54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Economics'!$B$7:$B$1000,Settings!$B$15))),""))</f>
        <v>8599.72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Economics'!$B$7:$B$1000,Settings!$B$15))),""))</f>
        <v>8777.8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Economics'!$B$7:$B$1000,Settings!$B$15))),""))</f>
        <v>9130.4</v>
      </c>
    </row>
    <row r="36" customFormat="false" ht="15" hidden="false" customHeight="false" outlineLevel="0" collapsed="false">
      <c r="A36" s="36" t="str">
        <f aca="false">IF('Raw data'!$A36="","",'Raw data'!$A36)</f>
        <v>Spain</v>
      </c>
      <c r="B36" s="36" t="str">
        <f aca="false">IF($A36="","",'Raw data'!$C36)</f>
        <v>Residential</v>
      </c>
      <c r="C36" s="36" t="str">
        <f aca="false">IF($A36="","",IF('Raw data'!$D36="",$A36,'Raw data'!$D36))</f>
        <v>Spain</v>
      </c>
      <c r="D36" s="37" t="n">
        <f aca="false">IF($A36="","",IF(AND(ISNUMBER(P36),ISNUMBER(AB36)),P36+AB36,""))</f>
        <v>16629.83</v>
      </c>
      <c r="E36" s="37" t="n">
        <f aca="false">IF($A36="","",IF(AND(ISNUMBER(Q36),ISNUMBER(AC36)),Q36+AC36,""))</f>
        <v>16446.08</v>
      </c>
      <c r="F36" s="37" t="n">
        <f aca="false">IF($A36="","",IF(AND(ISNUMBER(R36),ISNUMBER(AD36)),R36+AD36,""))</f>
        <v>18455.6</v>
      </c>
      <c r="G36" s="37" t="n">
        <f aca="false">IF($A36="","",IF(AND(ISNUMBER(S36),ISNUMBER(AE36)),S36+AE36,""))</f>
        <v>18644.19</v>
      </c>
      <c r="H36" s="37" t="n">
        <f aca="false">IF($A36="","",IF(AND(ISNUMBER(T36),ISNUMBER(AF36)),T36+AF36,""))</f>
        <v>18534.18</v>
      </c>
      <c r="I36" s="37" t="n">
        <f aca="false">IF($A36="","",IF(AND(ISNUMBER(U36),ISNUMBER(AG36)),U36+AG36,""))</f>
        <v>19526.91</v>
      </c>
      <c r="J36" s="37" t="n">
        <f aca="false">IF($A36="","",IF(AND(ISNUMBER(V36),ISNUMBER(AH36)),V36+AH36,""))</f>
        <v>19872.03</v>
      </c>
      <c r="K36" s="37" t="n">
        <f aca="false">IF($A36="","",IF(AND(ISNUMBER(W36),ISNUMBER(AI36)),W36+AI36,""))</f>
        <v>20401.51</v>
      </c>
      <c r="L36" s="37" t="n">
        <f aca="false">IF($A36="","",IF(AND(ISNUMBER(X36),ISNUMBER(AJ36)),X36+AJ36,""))</f>
        <v>21004.19</v>
      </c>
      <c r="M36" s="37" t="n">
        <f aca="false">IF($A36="","",IF(AND(ISNUMBER(Y36),ISNUMBER(AK36)),Y36+AK36,""))</f>
        <v>21516.17</v>
      </c>
      <c r="N36" s="37" t="n">
        <f aca="false">IF($A36="","",IF(AND(ISNUMBER(Z36),ISNUMBER(AL36)),Z36+AL36,""))</f>
        <v>21965.63</v>
      </c>
      <c r="O36" s="37" t="n">
        <f aca="false">IF($A36="","",IF(AND(ISNUMBER(AA36),ISNUMBER(AM36)),AA36+AM36,""))</f>
        <v>22291.42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Economics'!$B$7:$B$1000,Settings!$B$16))),""))</f>
        <v>6631.37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Economics'!$B$7:$B$1000,Settings!$B$16))),""))</f>
        <v>5985.56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Economics'!$B$7:$B$1000,Settings!$B$16))),""))</f>
        <v>6719.71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Economics'!$B$7:$B$1000,Settings!$B$16))),""))</f>
        <v>7163.26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Economics'!$B$7:$B$1000,Settings!$B$16))),""))</f>
        <v>7284.73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Economics'!$B$7:$B$1000,Settings!$B$16))),""))</f>
        <v>7232.05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Economics'!$B$7:$B$1000,Settings!$B$16))),""))</f>
        <v>7014.15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Economics'!$B$7:$B$1000,Settings!$B$16))),""))</f>
        <v>6781.32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Economics'!$B$7:$B$1000,Settings!$B$16))),""))</f>
        <v>7154.47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Economics'!$B$7:$B$1000,Settings!$B$16))),""))</f>
        <v>7583.92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Economics'!$B$7:$B$1000,Settings!$B$16))),""))</f>
        <v>7964.36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Economics'!$B$7:$B$1000,Settings!$B$16))),""))</f>
        <v>8112.11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Economics'!$B$7:$B$1000,Settings!$B$15))),""))</f>
        <v>9998.46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Economics'!$B$7:$B$1000,Settings!$B$15))),""))</f>
        <v>10460.52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Economics'!$B$7:$B$1000,Settings!$B$15))),""))</f>
        <v>11735.89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Economics'!$B$7:$B$1000,Settings!$B$15))),""))</f>
        <v>11480.93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Economics'!$B$7:$B$1000,Settings!$B$15))),""))</f>
        <v>11249.45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Economics'!$B$7:$B$1000,Settings!$B$15))),""))</f>
        <v>12294.86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Economics'!$B$7:$B$1000,Settings!$B$15))),""))</f>
        <v>12857.88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Economics'!$B$7:$B$1000,Settings!$B$15))),""))</f>
        <v>13620.19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Economics'!$B$7:$B$1000,Settings!$B$15))),""))</f>
        <v>13849.72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Economics'!$B$7:$B$1000,Settings!$B$15))),""))</f>
        <v>13932.25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Economics'!$B$7:$B$1000,Settings!$B$15))),""))</f>
        <v>14001.27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Economics'!$B$7:$B$1000,Settings!$B$15))),""))</f>
        <v>14179.31</v>
      </c>
    </row>
    <row r="37" customFormat="false" ht="15" hidden="false" customHeight="false" outlineLevel="0" collapsed="false">
      <c r="A37" s="36" t="str">
        <f aca="false">IF('Raw data'!$A37="","",'Raw data'!$A37)</f>
        <v>Spain</v>
      </c>
      <c r="B37" s="36" t="str">
        <f aca="false">IF($A37="","",'Raw data'!$C37)</f>
        <v>Commercial</v>
      </c>
      <c r="C37" s="36" t="str">
        <f aca="false">IF($A37="","",IF('Raw data'!$D37="",$A37,'Raw data'!$D37))</f>
        <v>Spain</v>
      </c>
      <c r="D37" s="37" t="n">
        <f aca="false">IF($A37="","",IF(AND(ISNUMBER(P37),ISNUMBER(AB37)),P37+AB37,""))</f>
        <v>67956.51</v>
      </c>
      <c r="E37" s="37" t="n">
        <f aca="false">IF($A37="","",IF(AND(ISNUMBER(Q37),ISNUMBER(AC37)),Q37+AC37,""))</f>
        <v>65800.75</v>
      </c>
      <c r="F37" s="37" t="n">
        <f aca="false">IF($A37="","",IF(AND(ISNUMBER(R37),ISNUMBER(AD37)),R37+AD37,""))</f>
        <v>73496.76</v>
      </c>
      <c r="G37" s="37" t="n">
        <f aca="false">IF($A37="","",IF(AND(ISNUMBER(S37),ISNUMBER(AE37)),S37+AE37,""))</f>
        <v>76655.44</v>
      </c>
      <c r="H37" s="37" t="n">
        <f aca="false">IF($A37="","",IF(AND(ISNUMBER(T37),ISNUMBER(AF37)),T37+AF37,""))</f>
        <v>78112.83</v>
      </c>
      <c r="I37" s="37" t="n">
        <f aca="false">IF($A37="","",IF(AND(ISNUMBER(U37),ISNUMBER(AG37)),U37+AG37,""))</f>
        <v>85393.01</v>
      </c>
      <c r="J37" s="37" t="n">
        <f aca="false">IF($A37="","",IF(AND(ISNUMBER(V37),ISNUMBER(AH37)),V37+AH37,""))</f>
        <v>91094.94</v>
      </c>
      <c r="K37" s="37" t="n">
        <f aca="false">IF($A37="","",IF(AND(ISNUMBER(W37),ISNUMBER(AI37)),W37+AI37,""))</f>
        <v>95168.43</v>
      </c>
      <c r="L37" s="37" t="n">
        <f aca="false">IF($A37="","",IF(AND(ISNUMBER(X37),ISNUMBER(AJ37)),X37+AJ37,""))</f>
        <v>99206.61</v>
      </c>
      <c r="M37" s="37" t="n">
        <f aca="false">IF($A37="","",IF(AND(ISNUMBER(Y37),ISNUMBER(AK37)),Y37+AK37,""))</f>
        <v>103209.64</v>
      </c>
      <c r="N37" s="37" t="n">
        <f aca="false">IF($A37="","",IF(AND(ISNUMBER(Z37),ISNUMBER(AL37)),Z37+AL37,""))</f>
        <v>106794.56</v>
      </c>
      <c r="O37" s="37" t="n">
        <f aca="false">IF($A37="","",IF(AND(ISNUMBER(AA37),ISNUMBER(AM37)),AA37+AM37,""))</f>
        <v>109007.68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Economics'!$B$7:$B$1000,Settings!$B$16))),""))</f>
        <v>23915.74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Economics'!$B$7:$B$1000,Settings!$B$16))),""))</f>
        <v>23729.23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Economics'!$B$7:$B$1000,Settings!$B$16))),""))</f>
        <v>26423.86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Economics'!$B$7:$B$1000,Settings!$B$16))),""))</f>
        <v>27513.56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Economics'!$B$7:$B$1000,Settings!$B$16))),""))</f>
        <v>27909.21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Economics'!$B$7:$B$1000,Settings!$B$16))),""))</f>
        <v>30613.39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Economics'!$B$7:$B$1000,Settings!$B$16))),""))</f>
        <v>30574.66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Economics'!$B$7:$B$1000,Settings!$B$16))),""))</f>
        <v>30659.59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Economics'!$B$7:$B$1000,Settings!$B$16))),""))</f>
        <v>31976.78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Economics'!$B$7:$B$1000,Settings!$B$16))),""))</f>
        <v>34053.34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Economics'!$B$7:$B$1000,Settings!$B$16))),""))</f>
        <v>36143.78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Economics'!$B$7:$B$1000,Settings!$B$16))),""))</f>
        <v>37320.87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Economics'!$B$7:$B$1000,Settings!$B$15))),""))</f>
        <v>44040.77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Economics'!$B$7:$B$1000,Settings!$B$15))),""))</f>
        <v>42071.52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Economics'!$B$7:$B$1000,Settings!$B$15))),""))</f>
        <v>47072.9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Economics'!$B$7:$B$1000,Settings!$B$15))),""))</f>
        <v>49141.88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Economics'!$B$7:$B$1000,Settings!$B$15))),""))</f>
        <v>50203.62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Economics'!$B$7:$B$1000,Settings!$B$15))),""))</f>
        <v>54779.62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Economics'!$B$7:$B$1000,Settings!$B$15))),""))</f>
        <v>60520.28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Economics'!$B$7:$B$1000,Settings!$B$15))),""))</f>
        <v>64508.84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Economics'!$B$7:$B$1000,Settings!$B$15))),""))</f>
        <v>67229.83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Economics'!$B$7:$B$1000,Settings!$B$15))),""))</f>
        <v>69156.3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Economics'!$B$7:$B$1000,Settings!$B$15))),""))</f>
        <v>70650.78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Economics'!$B$7:$B$1000,Settings!$B$15))),""))</f>
        <v>71686.81</v>
      </c>
    </row>
    <row r="38" customFormat="false" ht="15" hidden="false" customHeight="false" outlineLevel="0" collapsed="false">
      <c r="A38" s="36" t="str">
        <f aca="false">IF('Raw data'!$A38="","",'Raw data'!$A38)</f>
        <v>Portugal</v>
      </c>
      <c r="B38" s="36" t="str">
        <f aca="false">IF($A38="","",'Raw data'!$C38)</f>
        <v>Residential</v>
      </c>
      <c r="C38" s="36" t="str">
        <f aca="false">IF($A38="","",IF('Raw data'!$D38="",$A38,'Raw data'!$D38))</f>
        <v>Portugal</v>
      </c>
      <c r="D38" s="37" t="n">
        <f aca="false">IF($A38="","",IF(AND(ISNUMBER(P38),ISNUMBER(AB38)),P38+AB38,""))</f>
        <v>3422.41</v>
      </c>
      <c r="E38" s="37" t="n">
        <f aca="false">IF($A38="","",IF(AND(ISNUMBER(Q38),ISNUMBER(AC38)),Q38+AC38,""))</f>
        <v>3536.71</v>
      </c>
      <c r="F38" s="37" t="n">
        <f aca="false">IF($A38="","",IF(AND(ISNUMBER(R38),ISNUMBER(AD38)),R38+AD38,""))</f>
        <v>3544.62</v>
      </c>
      <c r="G38" s="37" t="n">
        <f aca="false">IF($A38="","",IF(AND(ISNUMBER(S38),ISNUMBER(AE38)),S38+AE38,""))</f>
        <v>3609.4</v>
      </c>
      <c r="H38" s="37" t="n">
        <f aca="false">IF($A38="","",IF(AND(ISNUMBER(T38),ISNUMBER(AF38)),T38+AF38,""))</f>
        <v>3659.01</v>
      </c>
      <c r="I38" s="37" t="n">
        <f aca="false">IF($A38="","",IF(AND(ISNUMBER(U38),ISNUMBER(AG38)),U38+AG38,""))</f>
        <v>3971.49</v>
      </c>
      <c r="J38" s="37" t="n">
        <f aca="false">IF($A38="","",IF(AND(ISNUMBER(V38),ISNUMBER(AH38)),V38+AH38,""))</f>
        <v>4139.38</v>
      </c>
      <c r="K38" s="37" t="n">
        <f aca="false">IF($A38="","",IF(AND(ISNUMBER(W38),ISNUMBER(AI38)),W38+AI38,""))</f>
        <v>4144.61</v>
      </c>
      <c r="L38" s="37" t="n">
        <f aca="false">IF($A38="","",IF(AND(ISNUMBER(X38),ISNUMBER(AJ38)),X38+AJ38,""))</f>
        <v>4112.18</v>
      </c>
      <c r="M38" s="37" t="n">
        <f aca="false">IF($A38="","",IF(AND(ISNUMBER(Y38),ISNUMBER(AK38)),Y38+AK38,""))</f>
        <v>4107.31</v>
      </c>
      <c r="N38" s="37" t="n">
        <f aca="false">IF($A38="","",IF(AND(ISNUMBER(Z38),ISNUMBER(AL38)),Z38+AL38,""))</f>
        <v>4139.33</v>
      </c>
      <c r="O38" s="37" t="n">
        <f aca="false">IF($A38="","",IF(AND(ISNUMBER(AA38),ISNUMBER(AM38)),AA38+AM38,""))</f>
        <v>4179.74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Economics'!$B$7:$B$1000,Settings!$B$16))),""))</f>
        <v>2183.7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Economics'!$B$7:$B$1000,Settings!$B$16))),""))</f>
        <v>2610.81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Economics'!$B$7:$B$1000,Settings!$B$16))),""))</f>
        <v>3033.45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Economics'!$B$7:$B$1000,Settings!$B$16))),""))</f>
        <v>3004.15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Economics'!$B$7:$B$1000,Settings!$B$16))),""))</f>
        <v>2992.25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Economics'!$B$7:$B$1000,Settings!$B$16))),""))</f>
        <v>3160.22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Economics'!$B$7:$B$1000,Settings!$B$16))),""))</f>
        <v>3258.65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Economics'!$B$7:$B$1000,Settings!$B$16))),""))</f>
        <v>3249.54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Economics'!$B$7:$B$1000,Settings!$B$16))),""))</f>
        <v>3218.37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Economics'!$B$7:$B$1000,Settings!$B$16))),""))</f>
        <v>3201.23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Economics'!$B$7:$B$1000,Settings!$B$16))),""))</f>
        <v>3206.35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Economics'!$B$7:$B$1000,Settings!$B$16))),""))</f>
        <v>3220.96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Economics'!$B$7:$B$1000,Settings!$B$15))),""))</f>
        <v>1238.71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Economics'!$B$7:$B$1000,Settings!$B$15))),""))</f>
        <v>925.9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Economics'!$B$7:$B$1000,Settings!$B$15))),""))</f>
        <v>511.17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Economics'!$B$7:$B$1000,Settings!$B$15))),""))</f>
        <v>605.25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Economics'!$B$7:$B$1000,Settings!$B$15))),""))</f>
        <v>666.76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Economics'!$B$7:$B$1000,Settings!$B$15))),""))</f>
        <v>811.27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Economics'!$B$7:$B$1000,Settings!$B$15))),""))</f>
        <v>880.73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Economics'!$B$7:$B$1000,Settings!$B$15))),""))</f>
        <v>895.07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Economics'!$B$7:$B$1000,Settings!$B$15))),""))</f>
        <v>893.81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Economics'!$B$7:$B$1000,Settings!$B$15))),""))</f>
        <v>906.08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Economics'!$B$7:$B$1000,Settings!$B$15))),""))</f>
        <v>932.98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Economics'!$B$7:$B$1000,Settings!$B$15))),""))</f>
        <v>958.78</v>
      </c>
    </row>
    <row r="39" customFormat="false" ht="15" hidden="false" customHeight="false" outlineLevel="0" collapsed="false">
      <c r="A39" s="36" t="str">
        <f aca="false">IF('Raw data'!$A39="","",'Raw data'!$A39)</f>
        <v>Portugal</v>
      </c>
      <c r="B39" s="36" t="str">
        <f aca="false">IF($A39="","",'Raw data'!$C39)</f>
        <v>Commercial</v>
      </c>
      <c r="C39" s="36" t="str">
        <f aca="false">IF($A39="","",IF('Raw data'!$D39="",$A39,'Raw data'!$D39))</f>
        <v>Portugal</v>
      </c>
      <c r="D39" s="37" t="n">
        <f aca="false">IF($A39="","",IF(AND(ISNUMBER(P39),ISNUMBER(AB39)),P39+AB39,""))</f>
        <v>7017.82</v>
      </c>
      <c r="E39" s="37" t="n">
        <f aca="false">IF($A39="","",IF(AND(ISNUMBER(Q39),ISNUMBER(AC39)),Q39+AC39,""))</f>
        <v>7418.12</v>
      </c>
      <c r="F39" s="37" t="n">
        <f aca="false">IF($A39="","",IF(AND(ISNUMBER(R39),ISNUMBER(AD39)),R39+AD39,""))</f>
        <v>7578.38</v>
      </c>
      <c r="G39" s="37" t="n">
        <f aca="false">IF($A39="","",IF(AND(ISNUMBER(S39),ISNUMBER(AE39)),S39+AE39,""))</f>
        <v>7713.88</v>
      </c>
      <c r="H39" s="37" t="n">
        <f aca="false">IF($A39="","",IF(AND(ISNUMBER(T39),ISNUMBER(AF39)),T39+AF39,""))</f>
        <v>7919</v>
      </c>
      <c r="I39" s="37" t="n">
        <f aca="false">IF($A39="","",IF(AND(ISNUMBER(U39),ISNUMBER(AG39)),U39+AG39,""))</f>
        <v>8433.78</v>
      </c>
      <c r="J39" s="37" t="n">
        <f aca="false">IF($A39="","",IF(AND(ISNUMBER(V39),ISNUMBER(AH39)),V39+AH39,""))</f>
        <v>9146.9</v>
      </c>
      <c r="K39" s="37" t="n">
        <f aca="false">IF($A39="","",IF(AND(ISNUMBER(W39),ISNUMBER(AI39)),W39+AI39,""))</f>
        <v>9585.74</v>
      </c>
      <c r="L39" s="37" t="n">
        <f aca="false">IF($A39="","",IF(AND(ISNUMBER(X39),ISNUMBER(AJ39)),X39+AJ39,""))</f>
        <v>9824.28</v>
      </c>
      <c r="M39" s="37" t="n">
        <f aca="false">IF($A39="","",IF(AND(ISNUMBER(Y39),ISNUMBER(AK39)),Y39+AK39,""))</f>
        <v>10014.62</v>
      </c>
      <c r="N39" s="37" t="n">
        <f aca="false">IF($A39="","",IF(AND(ISNUMBER(Z39),ISNUMBER(AL39)),Z39+AL39,""))</f>
        <v>10248.43</v>
      </c>
      <c r="O39" s="37" t="n">
        <f aca="false">IF($A39="","",IF(AND(ISNUMBER(AA39),ISNUMBER(AM39)),AA39+AM39,""))</f>
        <v>10477.1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Economics'!$B$7:$B$1000,Settings!$B$16))),""))</f>
        <v>4205.94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Economics'!$B$7:$B$1000,Settings!$B$16))),""))</f>
        <v>4211.78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Economics'!$B$7:$B$1000,Settings!$B$16))),""))</f>
        <v>3885.91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Economics'!$B$7:$B$1000,Settings!$B$16))),""))</f>
        <v>4033.69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Economics'!$B$7:$B$1000,Settings!$B$16))),""))</f>
        <v>4158.4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Economics'!$B$7:$B$1000,Settings!$B$16))),""))</f>
        <v>4557.43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Economics'!$B$7:$B$1000,Settings!$B$16))),""))</f>
        <v>4956.6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Economics'!$B$7:$B$1000,Settings!$B$16))),""))</f>
        <v>5283.7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Economics'!$B$7:$B$1000,Settings!$B$16))),""))</f>
        <v>5440.4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Economics'!$B$7:$B$1000,Settings!$B$16))),""))</f>
        <v>5540.03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Economics'!$B$7:$B$1000,Settings!$B$16))),""))</f>
        <v>5644.9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Economics'!$B$7:$B$1000,Settings!$B$16))),""))</f>
        <v>5778.22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Economics'!$B$7:$B$1000,Settings!$B$15))),""))</f>
        <v>2811.88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Economics'!$B$7:$B$1000,Settings!$B$15))),""))</f>
        <v>3206.34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Economics'!$B$7:$B$1000,Settings!$B$15))),""))</f>
        <v>3692.47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Economics'!$B$7:$B$1000,Settings!$B$15))),""))</f>
        <v>3680.19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Economics'!$B$7:$B$1000,Settings!$B$15))),""))</f>
        <v>3760.6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Economics'!$B$7:$B$1000,Settings!$B$15))),""))</f>
        <v>3876.35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Economics'!$B$7:$B$1000,Settings!$B$15))),""))</f>
        <v>4190.3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Economics'!$B$7:$B$1000,Settings!$B$15))),""))</f>
        <v>4302.04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Economics'!$B$7:$B$1000,Settings!$B$15))),""))</f>
        <v>4383.88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Economics'!$B$7:$B$1000,Settings!$B$15))),""))</f>
        <v>4474.59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Economics'!$B$7:$B$1000,Settings!$B$15))),""))</f>
        <v>4603.53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Economics'!$B$7:$B$1000,Settings!$B$15))),""))</f>
        <v>4698.88</v>
      </c>
    </row>
    <row r="40" customFormat="false" ht="15" hidden="false" customHeight="false" outlineLevel="0" collapsed="false">
      <c r="A40" s="36" t="str">
        <f aca="false">IF('Raw data'!$A40="","",'Raw data'!$A40)</f>
        <v/>
      </c>
      <c r="B40" s="36" t="str">
        <f aca="false">IF($A40="","",'Raw data'!$C40)</f>
        <v/>
      </c>
      <c r="C40" s="36" t="str">
        <f aca="false">IF($A40="","",IF('Raw data'!$D40="",$A40,'Raw data'!$D40))</f>
        <v/>
      </c>
      <c r="D40" s="37" t="str">
        <f aca="false">IF($A40="","",IF(AND(ISNUMBER(P40),ISNUMBER(AB40)),P40+AB40,""))</f>
        <v/>
      </c>
      <c r="E40" s="37" t="str">
        <f aca="false">IF($A40="","",IF(AND(ISNUMBER(Q40),ISNUMBER(AC40)),Q40+AC40,""))</f>
        <v/>
      </c>
      <c r="F40" s="37" t="str">
        <f aca="false">IF($A40="","",IF(AND(ISNUMBER(R40),ISNUMBER(AD40)),R40+AD40,""))</f>
        <v/>
      </c>
      <c r="G40" s="37" t="str">
        <f aca="false">IF($A40="","",IF(AND(ISNUMBER(S40),ISNUMBER(AE40)),S40+AE40,""))</f>
        <v/>
      </c>
      <c r="H40" s="37" t="str">
        <f aca="false">IF($A40="","",IF(AND(ISNUMBER(T40),ISNUMBER(AF40)),T40+AF40,""))</f>
        <v/>
      </c>
      <c r="I40" s="37" t="str">
        <f aca="false">IF($A40="","",IF(AND(ISNUMBER(U40),ISNUMBER(AG40)),U40+AG40,""))</f>
        <v/>
      </c>
      <c r="J40" s="37" t="str">
        <f aca="false">IF($A40="","",IF(AND(ISNUMBER(V40),ISNUMBER(AH40)),V40+AH40,""))</f>
        <v/>
      </c>
      <c r="K40" s="37" t="str">
        <f aca="false">IF($A40="","",IF(AND(ISNUMBER(W40),ISNUMBER(AI40)),W40+AI40,""))</f>
        <v/>
      </c>
      <c r="L40" s="37" t="str">
        <f aca="false">IF($A40="","",IF(AND(ISNUMBER(X40),ISNUMBER(AJ40)),X40+AJ40,""))</f>
        <v/>
      </c>
      <c r="M40" s="37" t="str">
        <f aca="false">IF($A40="","",IF(AND(ISNUMBER(Y40),ISNUMBER(AK40)),Y40+AK40,""))</f>
        <v/>
      </c>
      <c r="N40" s="37" t="str">
        <f aca="false">IF($A40="","",IF(AND(ISNUMBER(Z40),ISNUMBER(AL40)),Z40+AL40,""))</f>
        <v/>
      </c>
      <c r="O40" s="37" t="str">
        <f aca="false">IF($A40="","",IF(AND(ISNUMBER(AA40),ISNUMBER(AM40)),AA40+AM40,""))</f>
        <v/>
      </c>
      <c r="P40" s="37" t="str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Economics'!$B$7:$B$1000,Settings!$B$16))),""))</f>
        <v/>
      </c>
      <c r="Q40" s="37" t="str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Economics'!$B$7:$B$1000,Settings!$B$16))),""))</f>
        <v/>
      </c>
      <c r="R40" s="37" t="str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Economics'!$B$7:$B$1000,Settings!$B$16))),""))</f>
        <v/>
      </c>
      <c r="S40" s="37" t="str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Economics'!$B$7:$B$1000,Settings!$B$16))),""))</f>
        <v/>
      </c>
      <c r="T40" s="37" t="str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Economics'!$B$7:$B$1000,Settings!$B$16))),""))</f>
        <v/>
      </c>
      <c r="U40" s="37" t="str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Economics'!$B$7:$B$1000,Settings!$B$16))),""))</f>
        <v/>
      </c>
      <c r="V40" s="37" t="str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Economics'!$B$7:$B$1000,Settings!$B$16))),""))</f>
        <v/>
      </c>
      <c r="W40" s="37" t="str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Economics'!$B$7:$B$1000,Settings!$B$16))),""))</f>
        <v/>
      </c>
      <c r="X40" s="37" t="str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Economics'!$B$7:$B$1000,Settings!$B$16))),""))</f>
        <v/>
      </c>
      <c r="Y40" s="37" t="str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Economics'!$B$7:$B$1000,Settings!$B$16))),""))</f>
        <v/>
      </c>
      <c r="Z40" s="37" t="str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Economics'!$B$7:$B$1000,Settings!$B$16))),""))</f>
        <v/>
      </c>
      <c r="AA40" s="37" t="str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Economics'!$B$7:$B$1000,Settings!$B$16))),""))</f>
        <v/>
      </c>
      <c r="AB40" s="37" t="str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Economics'!$B$7:$B$1000,Settings!$B$15))),""))</f>
        <v/>
      </c>
      <c r="AC40" s="37" t="str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Economics'!$B$7:$B$1000,Settings!$B$15))),""))</f>
        <v/>
      </c>
      <c r="AD40" s="37" t="str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Economics'!$B$7:$B$1000,Settings!$B$15))),""))</f>
        <v/>
      </c>
      <c r="AE40" s="37" t="str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Economics'!$B$7:$B$1000,Settings!$B$15))),""))</f>
        <v/>
      </c>
      <c r="AF40" s="37" t="str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Economics'!$B$7:$B$1000,Settings!$B$15))),""))</f>
        <v/>
      </c>
      <c r="AG40" s="37" t="str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Economics'!$B$7:$B$1000,Settings!$B$15))),""))</f>
        <v/>
      </c>
      <c r="AH40" s="37" t="str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Economics'!$B$7:$B$1000,Settings!$B$15))),""))</f>
        <v/>
      </c>
      <c r="AI40" s="37" t="str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Economics'!$B$7:$B$1000,Settings!$B$15))),""))</f>
        <v/>
      </c>
      <c r="AJ40" s="37" t="str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Economics'!$B$7:$B$1000,Settings!$B$15))),""))</f>
        <v/>
      </c>
      <c r="AK40" s="37" t="str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Economics'!$B$7:$B$1000,Settings!$B$15))),""))</f>
        <v/>
      </c>
      <c r="AL40" s="37" t="str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Economics'!$B$7:$B$1000,Settings!$B$15))),""))</f>
        <v/>
      </c>
      <c r="AM40" s="37" t="str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Economics'!$B$7:$B$1000,Settings!$B$15))),""))</f>
        <v/>
      </c>
    </row>
    <row r="41" customFormat="false" ht="15" hidden="false" customHeight="false" outlineLevel="0" collapsed="false">
      <c r="A41" s="36" t="str">
        <f aca="false">IF('Raw data'!$A41="","",'Raw data'!$A41)</f>
        <v/>
      </c>
      <c r="B41" s="36" t="str">
        <f aca="false">IF($A41="","",'Raw data'!$C41)</f>
        <v/>
      </c>
      <c r="C41" s="36" t="str">
        <f aca="false">IF($A41="","",IF('Raw data'!$D41="",$A41,'Raw data'!$D41))</f>
        <v/>
      </c>
      <c r="D41" s="37" t="str">
        <f aca="false">IF($A41="","",IF(AND(ISNUMBER(P41),ISNUMBER(AB41)),P41+AB41,""))</f>
        <v/>
      </c>
      <c r="E41" s="37" t="str">
        <f aca="false">IF($A41="","",IF(AND(ISNUMBER(Q41),ISNUMBER(AC41)),Q41+AC41,""))</f>
        <v/>
      </c>
      <c r="F41" s="37" t="str">
        <f aca="false">IF($A41="","",IF(AND(ISNUMBER(R41),ISNUMBER(AD41)),R41+AD41,""))</f>
        <v/>
      </c>
      <c r="G41" s="37" t="str">
        <f aca="false">IF($A41="","",IF(AND(ISNUMBER(S41),ISNUMBER(AE41)),S41+AE41,""))</f>
        <v/>
      </c>
      <c r="H41" s="37" t="str">
        <f aca="false">IF($A41="","",IF(AND(ISNUMBER(T41),ISNUMBER(AF41)),T41+AF41,""))</f>
        <v/>
      </c>
      <c r="I41" s="37" t="str">
        <f aca="false">IF($A41="","",IF(AND(ISNUMBER(U41),ISNUMBER(AG41)),U41+AG41,""))</f>
        <v/>
      </c>
      <c r="J41" s="37" t="str">
        <f aca="false">IF($A41="","",IF(AND(ISNUMBER(V41),ISNUMBER(AH41)),V41+AH41,""))</f>
        <v/>
      </c>
      <c r="K41" s="37" t="str">
        <f aca="false">IF($A41="","",IF(AND(ISNUMBER(W41),ISNUMBER(AI41)),W41+AI41,""))</f>
        <v/>
      </c>
      <c r="L41" s="37" t="str">
        <f aca="false">IF($A41="","",IF(AND(ISNUMBER(X41),ISNUMBER(AJ41)),X41+AJ41,""))</f>
        <v/>
      </c>
      <c r="M41" s="37" t="str">
        <f aca="false">IF($A41="","",IF(AND(ISNUMBER(Y41),ISNUMBER(AK41)),Y41+AK41,""))</f>
        <v/>
      </c>
      <c r="N41" s="37" t="str">
        <f aca="false">IF($A41="","",IF(AND(ISNUMBER(Z41),ISNUMBER(AL41)),Z41+AL41,""))</f>
        <v/>
      </c>
      <c r="O41" s="37" t="str">
        <f aca="false">IF($A41="","",IF(AND(ISNUMBER(AA41),ISNUMBER(AM41)),AA41+AM41,""))</f>
        <v/>
      </c>
      <c r="P41" s="37" t="str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Economics'!$B$7:$B$1000,Settings!$B$16))),""))</f>
        <v/>
      </c>
      <c r="Q41" s="37" t="str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Economics'!$B$7:$B$1000,Settings!$B$16))),""))</f>
        <v/>
      </c>
      <c r="R41" s="37" t="str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Economics'!$B$7:$B$1000,Settings!$B$16))),""))</f>
        <v/>
      </c>
      <c r="S41" s="37" t="str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Economics'!$B$7:$B$1000,Settings!$B$16))),""))</f>
        <v/>
      </c>
      <c r="T41" s="37" t="str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Economics'!$B$7:$B$1000,Settings!$B$16))),""))</f>
        <v/>
      </c>
      <c r="U41" s="37" t="str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Economics'!$B$7:$B$1000,Settings!$B$16))),""))</f>
        <v/>
      </c>
      <c r="V41" s="37" t="str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Economics'!$B$7:$B$1000,Settings!$B$16))),""))</f>
        <v/>
      </c>
      <c r="W41" s="37" t="str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Economics'!$B$7:$B$1000,Settings!$B$16))),""))</f>
        <v/>
      </c>
      <c r="X41" s="37" t="str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Economics'!$B$7:$B$1000,Settings!$B$16))),""))</f>
        <v/>
      </c>
      <c r="Y41" s="37" t="str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Economics'!$B$7:$B$1000,Settings!$B$16))),""))</f>
        <v/>
      </c>
      <c r="Z41" s="37" t="str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Economics'!$B$7:$B$1000,Settings!$B$16))),""))</f>
        <v/>
      </c>
      <c r="AA41" s="37" t="str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Economics'!$B$7:$B$1000,Settings!$B$16))),""))</f>
        <v/>
      </c>
      <c r="AB41" s="37" t="str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Economics'!$B$7:$B$1000,Settings!$B$15))),""))</f>
        <v/>
      </c>
      <c r="AC41" s="37" t="str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Economics'!$B$7:$B$1000,Settings!$B$15))),""))</f>
        <v/>
      </c>
      <c r="AD41" s="37" t="str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Economics'!$B$7:$B$1000,Settings!$B$15))),""))</f>
        <v/>
      </c>
      <c r="AE41" s="37" t="str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Economics'!$B$7:$B$1000,Settings!$B$15))),""))</f>
        <v/>
      </c>
      <c r="AF41" s="37" t="str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Economics'!$B$7:$B$1000,Settings!$B$15))),""))</f>
        <v/>
      </c>
      <c r="AG41" s="37" t="str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Economics'!$B$7:$B$1000,Settings!$B$15))),""))</f>
        <v/>
      </c>
      <c r="AH41" s="37" t="str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Economics'!$B$7:$B$1000,Settings!$B$15))),""))</f>
        <v/>
      </c>
      <c r="AI41" s="37" t="str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Economics'!$B$7:$B$1000,Settings!$B$15))),""))</f>
        <v/>
      </c>
      <c r="AJ41" s="37" t="str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Economics'!$B$7:$B$1000,Settings!$B$15))),""))</f>
        <v/>
      </c>
      <c r="AK41" s="37" t="str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Economics'!$B$7:$B$1000,Settings!$B$15))),""))</f>
        <v/>
      </c>
      <c r="AL41" s="37" t="str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Economics'!$B$7:$B$1000,Settings!$B$15))),""))</f>
        <v/>
      </c>
      <c r="AM41" s="37" t="str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Economics'!$B$7:$B$1000,Settings!$B$15))),""))</f>
        <v/>
      </c>
    </row>
    <row r="42" customFormat="false" ht="15" hidden="false" customHeight="false" outlineLevel="0" collapsed="false">
      <c r="A42" s="36" t="str">
        <f aca="false">IF('Raw data'!$A42="","",'Raw data'!$A42)</f>
        <v/>
      </c>
      <c r="B42" s="36" t="str">
        <f aca="false">IF($A42="","",'Raw data'!$C42)</f>
        <v/>
      </c>
      <c r="C42" s="36" t="str">
        <f aca="false">IF($A42="","",IF('Raw data'!$D42="",$A42,'Raw data'!$D42))</f>
        <v/>
      </c>
      <c r="D42" s="37" t="str">
        <f aca="false">IF($A42="","",IF(AND(ISNUMBER(P42),ISNUMBER(AB42)),P42+AB42,""))</f>
        <v/>
      </c>
      <c r="E42" s="37" t="str">
        <f aca="false">IF($A42="","",IF(AND(ISNUMBER(Q42),ISNUMBER(AC42)),Q42+AC42,""))</f>
        <v/>
      </c>
      <c r="F42" s="37" t="str">
        <f aca="false">IF($A42="","",IF(AND(ISNUMBER(R42),ISNUMBER(AD42)),R42+AD42,""))</f>
        <v/>
      </c>
      <c r="G42" s="37" t="str">
        <f aca="false">IF($A42="","",IF(AND(ISNUMBER(S42),ISNUMBER(AE42)),S42+AE42,""))</f>
        <v/>
      </c>
      <c r="H42" s="37" t="str">
        <f aca="false">IF($A42="","",IF(AND(ISNUMBER(T42),ISNUMBER(AF42)),T42+AF42,""))</f>
        <v/>
      </c>
      <c r="I42" s="37" t="str">
        <f aca="false">IF($A42="","",IF(AND(ISNUMBER(U42),ISNUMBER(AG42)),U42+AG42,""))</f>
        <v/>
      </c>
      <c r="J42" s="37" t="str">
        <f aca="false">IF($A42="","",IF(AND(ISNUMBER(V42),ISNUMBER(AH42)),V42+AH42,""))</f>
        <v/>
      </c>
      <c r="K42" s="37" t="str">
        <f aca="false">IF($A42="","",IF(AND(ISNUMBER(W42),ISNUMBER(AI42)),W42+AI42,""))</f>
        <v/>
      </c>
      <c r="L42" s="37" t="str">
        <f aca="false">IF($A42="","",IF(AND(ISNUMBER(X42),ISNUMBER(AJ42)),X42+AJ42,""))</f>
        <v/>
      </c>
      <c r="M42" s="37" t="str">
        <f aca="false">IF($A42="","",IF(AND(ISNUMBER(Y42),ISNUMBER(AK42)),Y42+AK42,""))</f>
        <v/>
      </c>
      <c r="N42" s="37" t="str">
        <f aca="false">IF($A42="","",IF(AND(ISNUMBER(Z42),ISNUMBER(AL42)),Z42+AL42,""))</f>
        <v/>
      </c>
      <c r="O42" s="37" t="str">
        <f aca="false">IF($A42="","",IF(AND(ISNUMBER(AA42),ISNUMBER(AM42)),AA42+AM42,""))</f>
        <v/>
      </c>
      <c r="P42" s="37" t="str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Economics'!$B$7:$B$1000,Settings!$B$16))),""))</f>
        <v/>
      </c>
      <c r="Q42" s="37" t="str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Economics'!$B$7:$B$1000,Settings!$B$16))),""))</f>
        <v/>
      </c>
      <c r="R42" s="37" t="str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Economics'!$B$7:$B$1000,Settings!$B$16))),""))</f>
        <v/>
      </c>
      <c r="S42" s="37" t="str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Economics'!$B$7:$B$1000,Settings!$B$16))),""))</f>
        <v/>
      </c>
      <c r="T42" s="37" t="str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Economics'!$B$7:$B$1000,Settings!$B$16))),""))</f>
        <v/>
      </c>
      <c r="U42" s="37" t="str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Economics'!$B$7:$B$1000,Settings!$B$16))),""))</f>
        <v/>
      </c>
      <c r="V42" s="37" t="str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Economics'!$B$7:$B$1000,Settings!$B$16))),""))</f>
        <v/>
      </c>
      <c r="W42" s="37" t="str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Economics'!$B$7:$B$1000,Settings!$B$16))),""))</f>
        <v/>
      </c>
      <c r="X42" s="37" t="str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Economics'!$B$7:$B$1000,Settings!$B$16))),""))</f>
        <v/>
      </c>
      <c r="Y42" s="37" t="str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Economics'!$B$7:$B$1000,Settings!$B$16))),""))</f>
        <v/>
      </c>
      <c r="Z42" s="37" t="str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Economics'!$B$7:$B$1000,Settings!$B$16))),""))</f>
        <v/>
      </c>
      <c r="AA42" s="37" t="str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Economics'!$B$7:$B$1000,Settings!$B$16))),""))</f>
        <v/>
      </c>
      <c r="AB42" s="37" t="str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Economics'!$B$7:$B$1000,Settings!$B$15))),""))</f>
        <v/>
      </c>
      <c r="AC42" s="37" t="str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Economics'!$B$7:$B$1000,Settings!$B$15))),""))</f>
        <v/>
      </c>
      <c r="AD42" s="37" t="str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Economics'!$B$7:$B$1000,Settings!$B$15))),""))</f>
        <v/>
      </c>
      <c r="AE42" s="37" t="str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Economics'!$B$7:$B$1000,Settings!$B$15))),""))</f>
        <v/>
      </c>
      <c r="AF42" s="37" t="str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Economics'!$B$7:$B$1000,Settings!$B$15))),""))</f>
        <v/>
      </c>
      <c r="AG42" s="37" t="str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Economics'!$B$7:$B$1000,Settings!$B$15))),""))</f>
        <v/>
      </c>
      <c r="AH42" s="37" t="str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Economics'!$B$7:$B$1000,Settings!$B$15))),""))</f>
        <v/>
      </c>
      <c r="AI42" s="37" t="str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Economics'!$B$7:$B$1000,Settings!$B$15))),""))</f>
        <v/>
      </c>
      <c r="AJ42" s="37" t="str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Economics'!$B$7:$B$1000,Settings!$B$15))),""))</f>
        <v/>
      </c>
      <c r="AK42" s="37" t="str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Economics'!$B$7:$B$1000,Settings!$B$15))),""))</f>
        <v/>
      </c>
      <c r="AL42" s="37" t="str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Economics'!$B$7:$B$1000,Settings!$B$15))),""))</f>
        <v/>
      </c>
      <c r="AM42" s="37" t="str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Economics'!$B$7:$B$1000,Settings!$B$15))),""))</f>
        <v/>
      </c>
    </row>
    <row r="43" customFormat="false" ht="15" hidden="false" customHeight="false" outlineLevel="0" collapsed="false">
      <c r="A43" s="36" t="str">
        <f aca="false">IF('Raw data'!$A43="","",'Raw data'!$A43)</f>
        <v/>
      </c>
      <c r="B43" s="36" t="str">
        <f aca="false">IF($A43="","",'Raw data'!$C43)</f>
        <v/>
      </c>
      <c r="C43" s="36" t="str">
        <f aca="false">IF($A43="","",IF('Raw data'!$D43="",$A43,'Raw data'!$D43))</f>
        <v/>
      </c>
      <c r="D43" s="37" t="str">
        <f aca="false">IF($A43="","",IF(AND(ISNUMBER(P43),ISNUMBER(AB43)),P43+AB43,""))</f>
        <v/>
      </c>
      <c r="E43" s="37" t="str">
        <f aca="false">IF($A43="","",IF(AND(ISNUMBER(Q43),ISNUMBER(AC43)),Q43+AC43,""))</f>
        <v/>
      </c>
      <c r="F43" s="37" t="str">
        <f aca="false">IF($A43="","",IF(AND(ISNUMBER(R43),ISNUMBER(AD43)),R43+AD43,""))</f>
        <v/>
      </c>
      <c r="G43" s="37" t="str">
        <f aca="false">IF($A43="","",IF(AND(ISNUMBER(S43),ISNUMBER(AE43)),S43+AE43,""))</f>
        <v/>
      </c>
      <c r="H43" s="37" t="str">
        <f aca="false">IF($A43="","",IF(AND(ISNUMBER(T43),ISNUMBER(AF43)),T43+AF43,""))</f>
        <v/>
      </c>
      <c r="I43" s="37" t="str">
        <f aca="false">IF($A43="","",IF(AND(ISNUMBER(U43),ISNUMBER(AG43)),U43+AG43,""))</f>
        <v/>
      </c>
      <c r="J43" s="37" t="str">
        <f aca="false">IF($A43="","",IF(AND(ISNUMBER(V43),ISNUMBER(AH43)),V43+AH43,""))</f>
        <v/>
      </c>
      <c r="K43" s="37" t="str">
        <f aca="false">IF($A43="","",IF(AND(ISNUMBER(W43),ISNUMBER(AI43)),W43+AI43,""))</f>
        <v/>
      </c>
      <c r="L43" s="37" t="str">
        <f aca="false">IF($A43="","",IF(AND(ISNUMBER(X43),ISNUMBER(AJ43)),X43+AJ43,""))</f>
        <v/>
      </c>
      <c r="M43" s="37" t="str">
        <f aca="false">IF($A43="","",IF(AND(ISNUMBER(Y43),ISNUMBER(AK43)),Y43+AK43,""))</f>
        <v/>
      </c>
      <c r="N43" s="37" t="str">
        <f aca="false">IF($A43="","",IF(AND(ISNUMBER(Z43),ISNUMBER(AL43)),Z43+AL43,""))</f>
        <v/>
      </c>
      <c r="O43" s="37" t="str">
        <f aca="false">IF($A43="","",IF(AND(ISNUMBER(AA43),ISNUMBER(AM43)),AA43+AM43,""))</f>
        <v/>
      </c>
      <c r="P43" s="37" t="str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Economics'!$B$7:$B$1000,Settings!$B$16))),""))</f>
        <v/>
      </c>
      <c r="Q43" s="37" t="str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Economics'!$B$7:$B$1000,Settings!$B$16))),""))</f>
        <v/>
      </c>
      <c r="R43" s="37" t="str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Economics'!$B$7:$B$1000,Settings!$B$16))),""))</f>
        <v/>
      </c>
      <c r="S43" s="37" t="str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Economics'!$B$7:$B$1000,Settings!$B$16))),""))</f>
        <v/>
      </c>
      <c r="T43" s="37" t="str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Economics'!$B$7:$B$1000,Settings!$B$16))),""))</f>
        <v/>
      </c>
      <c r="U43" s="37" t="str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Economics'!$B$7:$B$1000,Settings!$B$16))),""))</f>
        <v/>
      </c>
      <c r="V43" s="37" t="str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Economics'!$B$7:$B$1000,Settings!$B$16))),""))</f>
        <v/>
      </c>
      <c r="W43" s="37" t="str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Economics'!$B$7:$B$1000,Settings!$B$16))),""))</f>
        <v/>
      </c>
      <c r="X43" s="37" t="str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Economics'!$B$7:$B$1000,Settings!$B$16))),""))</f>
        <v/>
      </c>
      <c r="Y43" s="37" t="str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Economics'!$B$7:$B$1000,Settings!$B$16))),""))</f>
        <v/>
      </c>
      <c r="Z43" s="37" t="str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Economics'!$B$7:$B$1000,Settings!$B$16))),""))</f>
        <v/>
      </c>
      <c r="AA43" s="37" t="str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Economics'!$B$7:$B$1000,Settings!$B$16))),""))</f>
        <v/>
      </c>
      <c r="AB43" s="37" t="str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Economics'!$B$7:$B$1000,Settings!$B$15))),""))</f>
        <v/>
      </c>
      <c r="AC43" s="37" t="str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Economics'!$B$7:$B$1000,Settings!$B$15))),""))</f>
        <v/>
      </c>
      <c r="AD43" s="37" t="str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Economics'!$B$7:$B$1000,Settings!$B$15))),""))</f>
        <v/>
      </c>
      <c r="AE43" s="37" t="str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Economics'!$B$7:$B$1000,Settings!$B$15))),""))</f>
        <v/>
      </c>
      <c r="AF43" s="37" t="str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Economics'!$B$7:$B$1000,Settings!$B$15))),""))</f>
        <v/>
      </c>
      <c r="AG43" s="37" t="str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Economics'!$B$7:$B$1000,Settings!$B$15))),""))</f>
        <v/>
      </c>
      <c r="AH43" s="37" t="str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Economics'!$B$7:$B$1000,Settings!$B$15))),""))</f>
        <v/>
      </c>
      <c r="AI43" s="37" t="str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Economics'!$B$7:$B$1000,Settings!$B$15))),""))</f>
        <v/>
      </c>
      <c r="AJ43" s="37" t="str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Economics'!$B$7:$B$1000,Settings!$B$15))),""))</f>
        <v/>
      </c>
      <c r="AK43" s="37" t="str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Economics'!$B$7:$B$1000,Settings!$B$15))),""))</f>
        <v/>
      </c>
      <c r="AL43" s="37" t="str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Economics'!$B$7:$B$1000,Settings!$B$15))),""))</f>
        <v/>
      </c>
      <c r="AM43" s="37" t="str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Economics'!$B$7:$B$1000,Settings!$B$15))),""))</f>
        <v/>
      </c>
    </row>
    <row r="44" customFormat="false" ht="15" hidden="false" customHeight="false" outlineLevel="0" collapsed="false">
      <c r="A44" s="36" t="str">
        <f aca="false">IF('Raw data'!$A44="","",'Raw data'!$A44)</f>
        <v/>
      </c>
      <c r="B44" s="36" t="str">
        <f aca="false">IF($A44="","",'Raw data'!$C44)</f>
        <v/>
      </c>
      <c r="C44" s="36" t="str">
        <f aca="false">IF($A44="","",IF('Raw data'!$D44="",$A44,'Raw data'!$D44))</f>
        <v/>
      </c>
      <c r="D44" s="37" t="str">
        <f aca="false">IF($A44="","",IF(AND(ISNUMBER(P44),ISNUMBER(AB44)),P44+AB44,""))</f>
        <v/>
      </c>
      <c r="E44" s="37" t="str">
        <f aca="false">IF($A44="","",IF(AND(ISNUMBER(Q44),ISNUMBER(AC44)),Q44+AC44,""))</f>
        <v/>
      </c>
      <c r="F44" s="37" t="str">
        <f aca="false">IF($A44="","",IF(AND(ISNUMBER(R44),ISNUMBER(AD44)),R44+AD44,""))</f>
        <v/>
      </c>
      <c r="G44" s="37" t="str">
        <f aca="false">IF($A44="","",IF(AND(ISNUMBER(S44),ISNUMBER(AE44)),S44+AE44,""))</f>
        <v/>
      </c>
      <c r="H44" s="37" t="str">
        <f aca="false">IF($A44="","",IF(AND(ISNUMBER(T44),ISNUMBER(AF44)),T44+AF44,""))</f>
        <v/>
      </c>
      <c r="I44" s="37" t="str">
        <f aca="false">IF($A44="","",IF(AND(ISNUMBER(U44),ISNUMBER(AG44)),U44+AG44,""))</f>
        <v/>
      </c>
      <c r="J44" s="37" t="str">
        <f aca="false">IF($A44="","",IF(AND(ISNUMBER(V44),ISNUMBER(AH44)),V44+AH44,""))</f>
        <v/>
      </c>
      <c r="K44" s="37" t="str">
        <f aca="false">IF($A44="","",IF(AND(ISNUMBER(W44),ISNUMBER(AI44)),W44+AI44,""))</f>
        <v/>
      </c>
      <c r="L44" s="37" t="str">
        <f aca="false">IF($A44="","",IF(AND(ISNUMBER(X44),ISNUMBER(AJ44)),X44+AJ44,""))</f>
        <v/>
      </c>
      <c r="M44" s="37" t="str">
        <f aca="false">IF($A44="","",IF(AND(ISNUMBER(Y44),ISNUMBER(AK44)),Y44+AK44,""))</f>
        <v/>
      </c>
      <c r="N44" s="37" t="str">
        <f aca="false">IF($A44="","",IF(AND(ISNUMBER(Z44),ISNUMBER(AL44)),Z44+AL44,""))</f>
        <v/>
      </c>
      <c r="O44" s="37" t="str">
        <f aca="false">IF($A44="","",IF(AND(ISNUMBER(AA44),ISNUMBER(AM44)),AA44+AM44,""))</f>
        <v/>
      </c>
      <c r="P44" s="37" t="str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Economics'!$B$7:$B$1000,Settings!$B$16))),""))</f>
        <v/>
      </c>
      <c r="Q44" s="37" t="str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Economics'!$B$7:$B$1000,Settings!$B$16))),""))</f>
        <v/>
      </c>
      <c r="R44" s="37" t="str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Economics'!$B$7:$B$1000,Settings!$B$16))),""))</f>
        <v/>
      </c>
      <c r="S44" s="37" t="str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Economics'!$B$7:$B$1000,Settings!$B$16))),""))</f>
        <v/>
      </c>
      <c r="T44" s="37" t="str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Economics'!$B$7:$B$1000,Settings!$B$16))),""))</f>
        <v/>
      </c>
      <c r="U44" s="37" t="str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Economics'!$B$7:$B$1000,Settings!$B$16))),""))</f>
        <v/>
      </c>
      <c r="V44" s="37" t="str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Economics'!$B$7:$B$1000,Settings!$B$16))),""))</f>
        <v/>
      </c>
      <c r="W44" s="37" t="str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Economics'!$B$7:$B$1000,Settings!$B$16))),""))</f>
        <v/>
      </c>
      <c r="X44" s="37" t="str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Economics'!$B$7:$B$1000,Settings!$B$16))),""))</f>
        <v/>
      </c>
      <c r="Y44" s="37" t="str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Economics'!$B$7:$B$1000,Settings!$B$16))),""))</f>
        <v/>
      </c>
      <c r="Z44" s="37" t="str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Economics'!$B$7:$B$1000,Settings!$B$16))),""))</f>
        <v/>
      </c>
      <c r="AA44" s="37" t="str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Economics'!$B$7:$B$1000,Settings!$B$16))),""))</f>
        <v/>
      </c>
      <c r="AB44" s="37" t="str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Economics'!$B$7:$B$1000,Settings!$B$15))),""))</f>
        <v/>
      </c>
      <c r="AC44" s="37" t="str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Economics'!$B$7:$B$1000,Settings!$B$15))),""))</f>
        <v/>
      </c>
      <c r="AD44" s="37" t="str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Economics'!$B$7:$B$1000,Settings!$B$15))),""))</f>
        <v/>
      </c>
      <c r="AE44" s="37" t="str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Economics'!$B$7:$B$1000,Settings!$B$15))),""))</f>
        <v/>
      </c>
      <c r="AF44" s="37" t="str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Economics'!$B$7:$B$1000,Settings!$B$15))),""))</f>
        <v/>
      </c>
      <c r="AG44" s="37" t="str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Economics'!$B$7:$B$1000,Settings!$B$15))),""))</f>
        <v/>
      </c>
      <c r="AH44" s="37" t="str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Economics'!$B$7:$B$1000,Settings!$B$15))),""))</f>
        <v/>
      </c>
      <c r="AI44" s="37" t="str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Economics'!$B$7:$B$1000,Settings!$B$15))),""))</f>
        <v/>
      </c>
      <c r="AJ44" s="37" t="str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Economics'!$B$7:$B$1000,Settings!$B$15))),""))</f>
        <v/>
      </c>
      <c r="AK44" s="37" t="str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Economics'!$B$7:$B$1000,Settings!$B$15))),""))</f>
        <v/>
      </c>
      <c r="AL44" s="37" t="str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Economics'!$B$7:$B$1000,Settings!$B$15))),""))</f>
        <v/>
      </c>
      <c r="AM44" s="37" t="str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Economics'!$B$7:$B$1000,Settings!$B$15))),""))</f>
        <v/>
      </c>
    </row>
    <row r="45" customFormat="false" ht="15" hidden="false" customHeight="false" outlineLevel="0" collapsed="false">
      <c r="A45" s="36" t="str">
        <f aca="false">IF('Raw data'!$A45="","",'Raw data'!$A45)</f>
        <v/>
      </c>
      <c r="B45" s="36" t="str">
        <f aca="false">IF($A45="","",'Raw data'!$C45)</f>
        <v/>
      </c>
      <c r="C45" s="36" t="str">
        <f aca="false">IF($A45="","",IF('Raw data'!$D45="",$A45,'Raw data'!$D45))</f>
        <v/>
      </c>
      <c r="D45" s="37" t="str">
        <f aca="false">IF($A45="","",IF(AND(ISNUMBER(P45),ISNUMBER(AB45)),P45+AB45,""))</f>
        <v/>
      </c>
      <c r="E45" s="37" t="str">
        <f aca="false">IF($A45="","",IF(AND(ISNUMBER(Q45),ISNUMBER(AC45)),Q45+AC45,""))</f>
        <v/>
      </c>
      <c r="F45" s="37" t="str">
        <f aca="false">IF($A45="","",IF(AND(ISNUMBER(R45),ISNUMBER(AD45)),R45+AD45,""))</f>
        <v/>
      </c>
      <c r="G45" s="37" t="str">
        <f aca="false">IF($A45="","",IF(AND(ISNUMBER(S45),ISNUMBER(AE45)),S45+AE45,""))</f>
        <v/>
      </c>
      <c r="H45" s="37" t="str">
        <f aca="false">IF($A45="","",IF(AND(ISNUMBER(T45),ISNUMBER(AF45)),T45+AF45,""))</f>
        <v/>
      </c>
      <c r="I45" s="37" t="str">
        <f aca="false">IF($A45="","",IF(AND(ISNUMBER(U45),ISNUMBER(AG45)),U45+AG45,""))</f>
        <v/>
      </c>
      <c r="J45" s="37" t="str">
        <f aca="false">IF($A45="","",IF(AND(ISNUMBER(V45),ISNUMBER(AH45)),V45+AH45,""))</f>
        <v/>
      </c>
      <c r="K45" s="37" t="str">
        <f aca="false">IF($A45="","",IF(AND(ISNUMBER(W45),ISNUMBER(AI45)),W45+AI45,""))</f>
        <v/>
      </c>
      <c r="L45" s="37" t="str">
        <f aca="false">IF($A45="","",IF(AND(ISNUMBER(X45),ISNUMBER(AJ45)),X45+AJ45,""))</f>
        <v/>
      </c>
      <c r="M45" s="37" t="str">
        <f aca="false">IF($A45="","",IF(AND(ISNUMBER(Y45),ISNUMBER(AK45)),Y45+AK45,""))</f>
        <v/>
      </c>
      <c r="N45" s="37" t="str">
        <f aca="false">IF($A45="","",IF(AND(ISNUMBER(Z45),ISNUMBER(AL45)),Z45+AL45,""))</f>
        <v/>
      </c>
      <c r="O45" s="37" t="str">
        <f aca="false">IF($A45="","",IF(AND(ISNUMBER(AA45),ISNUMBER(AM45)),AA45+AM45,""))</f>
        <v/>
      </c>
      <c r="P45" s="37" t="str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Economics'!$B$7:$B$1000,Settings!$B$16))),""))</f>
        <v/>
      </c>
      <c r="Q45" s="37" t="str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Economics'!$B$7:$B$1000,Settings!$B$16))),""))</f>
        <v/>
      </c>
      <c r="R45" s="37" t="str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Economics'!$B$7:$B$1000,Settings!$B$16))),""))</f>
        <v/>
      </c>
      <c r="S45" s="37" t="str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Economics'!$B$7:$B$1000,Settings!$B$16))),""))</f>
        <v/>
      </c>
      <c r="T45" s="37" t="str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Economics'!$B$7:$B$1000,Settings!$B$16))),""))</f>
        <v/>
      </c>
      <c r="U45" s="37" t="str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Economics'!$B$7:$B$1000,Settings!$B$16))),""))</f>
        <v/>
      </c>
      <c r="V45" s="37" t="str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Economics'!$B$7:$B$1000,Settings!$B$16))),""))</f>
        <v/>
      </c>
      <c r="W45" s="37" t="str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Economics'!$B$7:$B$1000,Settings!$B$16))),""))</f>
        <v/>
      </c>
      <c r="X45" s="37" t="str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Economics'!$B$7:$B$1000,Settings!$B$16))),""))</f>
        <v/>
      </c>
      <c r="Y45" s="37" t="str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Economics'!$B$7:$B$1000,Settings!$B$16))),""))</f>
        <v/>
      </c>
      <c r="Z45" s="37" t="str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Economics'!$B$7:$B$1000,Settings!$B$16))),""))</f>
        <v/>
      </c>
      <c r="AA45" s="37" t="str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Economics'!$B$7:$B$1000,Settings!$B$16))),""))</f>
        <v/>
      </c>
      <c r="AB45" s="37" t="str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Economics'!$B$7:$B$1000,Settings!$B$15))),""))</f>
        <v/>
      </c>
      <c r="AC45" s="37" t="str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Economics'!$B$7:$B$1000,Settings!$B$15))),""))</f>
        <v/>
      </c>
      <c r="AD45" s="37" t="str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Economics'!$B$7:$B$1000,Settings!$B$15))),""))</f>
        <v/>
      </c>
      <c r="AE45" s="37" t="str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Economics'!$B$7:$B$1000,Settings!$B$15))),""))</f>
        <v/>
      </c>
      <c r="AF45" s="37" t="str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Economics'!$B$7:$B$1000,Settings!$B$15))),""))</f>
        <v/>
      </c>
      <c r="AG45" s="37" t="str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Economics'!$B$7:$B$1000,Settings!$B$15))),""))</f>
        <v/>
      </c>
      <c r="AH45" s="37" t="str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Economics'!$B$7:$B$1000,Settings!$B$15))),""))</f>
        <v/>
      </c>
      <c r="AI45" s="37" t="str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Economics'!$B$7:$B$1000,Settings!$B$15))),""))</f>
        <v/>
      </c>
      <c r="AJ45" s="37" t="str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Economics'!$B$7:$B$1000,Settings!$B$15))),""))</f>
        <v/>
      </c>
      <c r="AK45" s="37" t="str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Economics'!$B$7:$B$1000,Settings!$B$15))),""))</f>
        <v/>
      </c>
      <c r="AL45" s="37" t="str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Economics'!$B$7:$B$1000,Settings!$B$15))),""))</f>
        <v/>
      </c>
      <c r="AM45" s="37" t="str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Economics'!$B$7:$B$1000,Settings!$B$15))),""))</f>
        <v/>
      </c>
    </row>
    <row r="46" customFormat="false" ht="15" hidden="false" customHeight="false" outlineLevel="0" collapsed="false">
      <c r="A46" s="36" t="str">
        <f aca="false">IF('Raw data'!$A46="","",'Raw data'!$A46)</f>
        <v/>
      </c>
      <c r="B46" s="36" t="str">
        <f aca="false">IF($A46="","",'Raw data'!$C46)</f>
        <v/>
      </c>
      <c r="C46" s="36" t="str">
        <f aca="false">IF($A46="","",IF('Raw data'!$D46="",$A46,'Raw data'!$D46))</f>
        <v/>
      </c>
      <c r="D46" s="37" t="str">
        <f aca="false">IF($A46="","",IF(AND(ISNUMBER(P46),ISNUMBER(AB46)),P46+AB46,""))</f>
        <v/>
      </c>
      <c r="E46" s="37" t="str">
        <f aca="false">IF($A46="","",IF(AND(ISNUMBER(Q46),ISNUMBER(AC46)),Q46+AC46,""))</f>
        <v/>
      </c>
      <c r="F46" s="37" t="str">
        <f aca="false">IF($A46="","",IF(AND(ISNUMBER(R46),ISNUMBER(AD46)),R46+AD46,""))</f>
        <v/>
      </c>
      <c r="G46" s="37" t="str">
        <f aca="false">IF($A46="","",IF(AND(ISNUMBER(S46),ISNUMBER(AE46)),S46+AE46,""))</f>
        <v/>
      </c>
      <c r="H46" s="37" t="str">
        <f aca="false">IF($A46="","",IF(AND(ISNUMBER(T46),ISNUMBER(AF46)),T46+AF46,""))</f>
        <v/>
      </c>
      <c r="I46" s="37" t="str">
        <f aca="false">IF($A46="","",IF(AND(ISNUMBER(U46),ISNUMBER(AG46)),U46+AG46,""))</f>
        <v/>
      </c>
      <c r="J46" s="37" t="str">
        <f aca="false">IF($A46="","",IF(AND(ISNUMBER(V46),ISNUMBER(AH46)),V46+AH46,""))</f>
        <v/>
      </c>
      <c r="K46" s="37" t="str">
        <f aca="false">IF($A46="","",IF(AND(ISNUMBER(W46),ISNUMBER(AI46)),W46+AI46,""))</f>
        <v/>
      </c>
      <c r="L46" s="37" t="str">
        <f aca="false">IF($A46="","",IF(AND(ISNUMBER(X46),ISNUMBER(AJ46)),X46+AJ46,""))</f>
        <v/>
      </c>
      <c r="M46" s="37" t="str">
        <f aca="false">IF($A46="","",IF(AND(ISNUMBER(Y46),ISNUMBER(AK46)),Y46+AK46,""))</f>
        <v/>
      </c>
      <c r="N46" s="37" t="str">
        <f aca="false">IF($A46="","",IF(AND(ISNUMBER(Z46),ISNUMBER(AL46)),Z46+AL46,""))</f>
        <v/>
      </c>
      <c r="O46" s="37" t="str">
        <f aca="false">IF($A46="","",IF(AND(ISNUMBER(AA46),ISNUMBER(AM46)),AA46+AM46,""))</f>
        <v/>
      </c>
      <c r="P46" s="37" t="str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Economics'!$B$7:$B$1000,Settings!$B$16))),""))</f>
        <v/>
      </c>
      <c r="Q46" s="37" t="str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Economics'!$B$7:$B$1000,Settings!$B$16))),""))</f>
        <v/>
      </c>
      <c r="R46" s="37" t="str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Economics'!$B$7:$B$1000,Settings!$B$16))),""))</f>
        <v/>
      </c>
      <c r="S46" s="37" t="str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Economics'!$B$7:$B$1000,Settings!$B$16))),""))</f>
        <v/>
      </c>
      <c r="T46" s="37" t="str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Economics'!$B$7:$B$1000,Settings!$B$16))),""))</f>
        <v/>
      </c>
      <c r="U46" s="37" t="str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Economics'!$B$7:$B$1000,Settings!$B$16))),""))</f>
        <v/>
      </c>
      <c r="V46" s="37" t="str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Economics'!$B$7:$B$1000,Settings!$B$16))),""))</f>
        <v/>
      </c>
      <c r="W46" s="37" t="str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Economics'!$B$7:$B$1000,Settings!$B$16))),""))</f>
        <v/>
      </c>
      <c r="X46" s="37" t="str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Economics'!$B$7:$B$1000,Settings!$B$16))),""))</f>
        <v/>
      </c>
      <c r="Y46" s="37" t="str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Economics'!$B$7:$B$1000,Settings!$B$16))),""))</f>
        <v/>
      </c>
      <c r="Z46" s="37" t="str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Economics'!$B$7:$B$1000,Settings!$B$16))),""))</f>
        <v/>
      </c>
      <c r="AA46" s="37" t="str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Economics'!$B$7:$B$1000,Settings!$B$16))),""))</f>
        <v/>
      </c>
      <c r="AB46" s="37" t="str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Economics'!$B$7:$B$1000,Settings!$B$15))),""))</f>
        <v/>
      </c>
      <c r="AC46" s="37" t="str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Economics'!$B$7:$B$1000,Settings!$B$15))),""))</f>
        <v/>
      </c>
      <c r="AD46" s="37" t="str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Economics'!$B$7:$B$1000,Settings!$B$15))),""))</f>
        <v/>
      </c>
      <c r="AE46" s="37" t="str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Economics'!$B$7:$B$1000,Settings!$B$15))),""))</f>
        <v/>
      </c>
      <c r="AF46" s="37" t="str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Economics'!$B$7:$B$1000,Settings!$B$15))),""))</f>
        <v/>
      </c>
      <c r="AG46" s="37" t="str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Economics'!$B$7:$B$1000,Settings!$B$15))),""))</f>
        <v/>
      </c>
      <c r="AH46" s="37" t="str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Economics'!$B$7:$B$1000,Settings!$B$15))),""))</f>
        <v/>
      </c>
      <c r="AI46" s="37" t="str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Economics'!$B$7:$B$1000,Settings!$B$15))),""))</f>
        <v/>
      </c>
      <c r="AJ46" s="37" t="str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Economics'!$B$7:$B$1000,Settings!$B$15))),""))</f>
        <v/>
      </c>
      <c r="AK46" s="37" t="str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Economics'!$B$7:$B$1000,Settings!$B$15))),""))</f>
        <v/>
      </c>
      <c r="AL46" s="37" t="str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Economics'!$B$7:$B$1000,Settings!$B$15))),""))</f>
        <v/>
      </c>
      <c r="AM46" s="37" t="str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Economics'!$B$7:$B$1000,Settings!$B$15))),""))</f>
        <v/>
      </c>
    </row>
    <row r="47" customFormat="false" ht="15" hidden="false" customHeight="false" outlineLevel="0" collapsed="false">
      <c r="A47" s="36" t="str">
        <f aca="false">IF('Raw data'!$A47="","",'Raw data'!$A47)</f>
        <v/>
      </c>
      <c r="B47" s="36" t="str">
        <f aca="false">IF($A47="","",'Raw data'!$C47)</f>
        <v/>
      </c>
      <c r="C47" s="36" t="str">
        <f aca="false">IF($A47="","",IF('Raw data'!$D47="",$A47,'Raw data'!$D47))</f>
        <v/>
      </c>
      <c r="D47" s="37" t="str">
        <f aca="false">IF($A47="","",IF(AND(ISNUMBER(P47),ISNUMBER(AB47)),P47+AB47,""))</f>
        <v/>
      </c>
      <c r="E47" s="37" t="str">
        <f aca="false">IF($A47="","",IF(AND(ISNUMBER(Q47),ISNUMBER(AC47)),Q47+AC47,""))</f>
        <v/>
      </c>
      <c r="F47" s="37" t="str">
        <f aca="false">IF($A47="","",IF(AND(ISNUMBER(R47),ISNUMBER(AD47)),R47+AD47,""))</f>
        <v/>
      </c>
      <c r="G47" s="37" t="str">
        <f aca="false">IF($A47="","",IF(AND(ISNUMBER(S47),ISNUMBER(AE47)),S47+AE47,""))</f>
        <v/>
      </c>
      <c r="H47" s="37" t="str">
        <f aca="false">IF($A47="","",IF(AND(ISNUMBER(T47),ISNUMBER(AF47)),T47+AF47,""))</f>
        <v/>
      </c>
      <c r="I47" s="37" t="str">
        <f aca="false">IF($A47="","",IF(AND(ISNUMBER(U47),ISNUMBER(AG47)),U47+AG47,""))</f>
        <v/>
      </c>
      <c r="J47" s="37" t="str">
        <f aca="false">IF($A47="","",IF(AND(ISNUMBER(V47),ISNUMBER(AH47)),V47+AH47,""))</f>
        <v/>
      </c>
      <c r="K47" s="37" t="str">
        <f aca="false">IF($A47="","",IF(AND(ISNUMBER(W47),ISNUMBER(AI47)),W47+AI47,""))</f>
        <v/>
      </c>
      <c r="L47" s="37" t="str">
        <f aca="false">IF($A47="","",IF(AND(ISNUMBER(X47),ISNUMBER(AJ47)),X47+AJ47,""))</f>
        <v/>
      </c>
      <c r="M47" s="37" t="str">
        <f aca="false">IF($A47="","",IF(AND(ISNUMBER(Y47),ISNUMBER(AK47)),Y47+AK47,""))</f>
        <v/>
      </c>
      <c r="N47" s="37" t="str">
        <f aca="false">IF($A47="","",IF(AND(ISNUMBER(Z47),ISNUMBER(AL47)),Z47+AL47,""))</f>
        <v/>
      </c>
      <c r="O47" s="37" t="str">
        <f aca="false">IF($A47="","",IF(AND(ISNUMBER(AA47),ISNUMBER(AM47)),AA47+AM47,""))</f>
        <v/>
      </c>
      <c r="P47" s="37" t="str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Economics'!$B$7:$B$1000,Settings!$B$16))),""))</f>
        <v/>
      </c>
      <c r="Q47" s="37" t="str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Economics'!$B$7:$B$1000,Settings!$B$16))),""))</f>
        <v/>
      </c>
      <c r="R47" s="37" t="str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Economics'!$B$7:$B$1000,Settings!$B$16))),""))</f>
        <v/>
      </c>
      <c r="S47" s="37" t="str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Economics'!$B$7:$B$1000,Settings!$B$16))),""))</f>
        <v/>
      </c>
      <c r="T47" s="37" t="str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Economics'!$B$7:$B$1000,Settings!$B$16))),""))</f>
        <v/>
      </c>
      <c r="U47" s="37" t="str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Economics'!$B$7:$B$1000,Settings!$B$16))),""))</f>
        <v/>
      </c>
      <c r="V47" s="37" t="str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Economics'!$B$7:$B$1000,Settings!$B$16))),""))</f>
        <v/>
      </c>
      <c r="W47" s="37" t="str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Economics'!$B$7:$B$1000,Settings!$B$16))),""))</f>
        <v/>
      </c>
      <c r="X47" s="37" t="str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Economics'!$B$7:$B$1000,Settings!$B$16))),""))</f>
        <v/>
      </c>
      <c r="Y47" s="37" t="str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Economics'!$B$7:$B$1000,Settings!$B$16))),""))</f>
        <v/>
      </c>
      <c r="Z47" s="37" t="str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Economics'!$B$7:$B$1000,Settings!$B$16))),""))</f>
        <v/>
      </c>
      <c r="AA47" s="37" t="str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Economics'!$B$7:$B$1000,Settings!$B$16))),""))</f>
        <v/>
      </c>
      <c r="AB47" s="37" t="str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Economics'!$B$7:$B$1000,Settings!$B$15))),""))</f>
        <v/>
      </c>
      <c r="AC47" s="37" t="str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Economics'!$B$7:$B$1000,Settings!$B$15))),""))</f>
        <v/>
      </c>
      <c r="AD47" s="37" t="str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Economics'!$B$7:$B$1000,Settings!$B$15))),""))</f>
        <v/>
      </c>
      <c r="AE47" s="37" t="str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Economics'!$B$7:$B$1000,Settings!$B$15))),""))</f>
        <v/>
      </c>
      <c r="AF47" s="37" t="str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Economics'!$B$7:$B$1000,Settings!$B$15))),""))</f>
        <v/>
      </c>
      <c r="AG47" s="37" t="str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Economics'!$B$7:$B$1000,Settings!$B$15))),""))</f>
        <v/>
      </c>
      <c r="AH47" s="37" t="str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Economics'!$B$7:$B$1000,Settings!$B$15))),""))</f>
        <v/>
      </c>
      <c r="AI47" s="37" t="str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Economics'!$B$7:$B$1000,Settings!$B$15))),""))</f>
        <v/>
      </c>
      <c r="AJ47" s="37" t="str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Economics'!$B$7:$B$1000,Settings!$B$15))),""))</f>
        <v/>
      </c>
      <c r="AK47" s="37" t="str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Economics'!$B$7:$B$1000,Settings!$B$15))),""))</f>
        <v/>
      </c>
      <c r="AL47" s="37" t="str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Economics'!$B$7:$B$1000,Settings!$B$15))),""))</f>
        <v/>
      </c>
      <c r="AM47" s="37" t="str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Economics'!$B$7:$B$1000,Settings!$B$15))),""))</f>
        <v/>
      </c>
    </row>
    <row r="48" customFormat="false" ht="15" hidden="false" customHeight="false" outlineLevel="0" collapsed="false">
      <c r="A48" s="36" t="str">
        <f aca="false">IF('Raw data'!$A48="","",'Raw data'!$A48)</f>
        <v/>
      </c>
      <c r="B48" s="36" t="str">
        <f aca="false">IF($A48="","",'Raw data'!$C48)</f>
        <v/>
      </c>
      <c r="C48" s="36" t="str">
        <f aca="false">IF($A48="","",IF('Raw data'!$D48="",$A48,'Raw data'!$D48))</f>
        <v/>
      </c>
      <c r="D48" s="37" t="str">
        <f aca="false">IF($A48="","",IF(AND(ISNUMBER(P48),ISNUMBER(AB48)),P48+AB48,""))</f>
        <v/>
      </c>
      <c r="E48" s="37" t="str">
        <f aca="false">IF($A48="","",IF(AND(ISNUMBER(Q48),ISNUMBER(AC48)),Q48+AC48,""))</f>
        <v/>
      </c>
      <c r="F48" s="37" t="str">
        <f aca="false">IF($A48="","",IF(AND(ISNUMBER(R48),ISNUMBER(AD48)),R48+AD48,""))</f>
        <v/>
      </c>
      <c r="G48" s="37" t="str">
        <f aca="false">IF($A48="","",IF(AND(ISNUMBER(S48),ISNUMBER(AE48)),S48+AE48,""))</f>
        <v/>
      </c>
      <c r="H48" s="37" t="str">
        <f aca="false">IF($A48="","",IF(AND(ISNUMBER(T48),ISNUMBER(AF48)),T48+AF48,""))</f>
        <v/>
      </c>
      <c r="I48" s="37" t="str">
        <f aca="false">IF($A48="","",IF(AND(ISNUMBER(U48),ISNUMBER(AG48)),U48+AG48,""))</f>
        <v/>
      </c>
      <c r="J48" s="37" t="str">
        <f aca="false">IF($A48="","",IF(AND(ISNUMBER(V48),ISNUMBER(AH48)),V48+AH48,""))</f>
        <v/>
      </c>
      <c r="K48" s="37" t="str">
        <f aca="false">IF($A48="","",IF(AND(ISNUMBER(W48),ISNUMBER(AI48)),W48+AI48,""))</f>
        <v/>
      </c>
      <c r="L48" s="37" t="str">
        <f aca="false">IF($A48="","",IF(AND(ISNUMBER(X48),ISNUMBER(AJ48)),X48+AJ48,""))</f>
        <v/>
      </c>
      <c r="M48" s="37" t="str">
        <f aca="false">IF($A48="","",IF(AND(ISNUMBER(Y48),ISNUMBER(AK48)),Y48+AK48,""))</f>
        <v/>
      </c>
      <c r="N48" s="37" t="str">
        <f aca="false">IF($A48="","",IF(AND(ISNUMBER(Z48),ISNUMBER(AL48)),Z48+AL48,""))</f>
        <v/>
      </c>
      <c r="O48" s="37" t="str">
        <f aca="false">IF($A48="","",IF(AND(ISNUMBER(AA48),ISNUMBER(AM48)),AA48+AM48,""))</f>
        <v/>
      </c>
      <c r="P48" s="37" t="str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Economics'!$B$7:$B$1000,Settings!$B$16))),""))</f>
        <v/>
      </c>
      <c r="Q48" s="37" t="str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Economics'!$B$7:$B$1000,Settings!$B$16))),""))</f>
        <v/>
      </c>
      <c r="R48" s="37" t="str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Economics'!$B$7:$B$1000,Settings!$B$16))),""))</f>
        <v/>
      </c>
      <c r="S48" s="37" t="str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Economics'!$B$7:$B$1000,Settings!$B$16))),""))</f>
        <v/>
      </c>
      <c r="T48" s="37" t="str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Economics'!$B$7:$B$1000,Settings!$B$16))),""))</f>
        <v/>
      </c>
      <c r="U48" s="37" t="str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Economics'!$B$7:$B$1000,Settings!$B$16))),""))</f>
        <v/>
      </c>
      <c r="V48" s="37" t="str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Economics'!$B$7:$B$1000,Settings!$B$16))),""))</f>
        <v/>
      </c>
      <c r="W48" s="37" t="str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Economics'!$B$7:$B$1000,Settings!$B$16))),""))</f>
        <v/>
      </c>
      <c r="X48" s="37" t="str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Economics'!$B$7:$B$1000,Settings!$B$16))),""))</f>
        <v/>
      </c>
      <c r="Y48" s="37" t="str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Economics'!$B$7:$B$1000,Settings!$B$16))),""))</f>
        <v/>
      </c>
      <c r="Z48" s="37" t="str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Economics'!$B$7:$B$1000,Settings!$B$16))),""))</f>
        <v/>
      </c>
      <c r="AA48" s="37" t="str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Economics'!$B$7:$B$1000,Settings!$B$16))),""))</f>
        <v/>
      </c>
      <c r="AB48" s="37" t="str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Economics'!$B$7:$B$1000,Settings!$B$15))),""))</f>
        <v/>
      </c>
      <c r="AC48" s="37" t="str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Economics'!$B$7:$B$1000,Settings!$B$15))),""))</f>
        <v/>
      </c>
      <c r="AD48" s="37" t="str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Economics'!$B$7:$B$1000,Settings!$B$15))),""))</f>
        <v/>
      </c>
      <c r="AE48" s="37" t="str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Economics'!$B$7:$B$1000,Settings!$B$15))),""))</f>
        <v/>
      </c>
      <c r="AF48" s="37" t="str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Economics'!$B$7:$B$1000,Settings!$B$15))),""))</f>
        <v/>
      </c>
      <c r="AG48" s="37" t="str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Economics'!$B$7:$B$1000,Settings!$B$15))),""))</f>
        <v/>
      </c>
      <c r="AH48" s="37" t="str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Economics'!$B$7:$B$1000,Settings!$B$15))),""))</f>
        <v/>
      </c>
      <c r="AI48" s="37" t="str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Economics'!$B$7:$B$1000,Settings!$B$15))),""))</f>
        <v/>
      </c>
      <c r="AJ48" s="37" t="str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Economics'!$B$7:$B$1000,Settings!$B$15))),""))</f>
        <v/>
      </c>
      <c r="AK48" s="37" t="str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Economics'!$B$7:$B$1000,Settings!$B$15))),""))</f>
        <v/>
      </c>
      <c r="AL48" s="37" t="str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Economics'!$B$7:$B$1000,Settings!$B$15))),""))</f>
        <v/>
      </c>
      <c r="AM48" s="37" t="str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Economics'!$B$7:$B$1000,Settings!$B$15))),""))</f>
        <v/>
      </c>
    </row>
    <row r="49" customFormat="false" ht="15" hidden="false" customHeight="false" outlineLevel="0" collapsed="false">
      <c r="A49" s="36" t="str">
        <f aca="false">IF('Raw data'!$A49="","",'Raw data'!$A49)</f>
        <v/>
      </c>
      <c r="B49" s="36" t="str">
        <f aca="false">IF($A49="","",'Raw data'!$C49)</f>
        <v/>
      </c>
      <c r="C49" s="36" t="str">
        <f aca="false">IF($A49="","",IF('Raw data'!$D49="",$A49,'Raw data'!$D49))</f>
        <v/>
      </c>
      <c r="D49" s="37" t="str">
        <f aca="false">IF($A49="","",IF(AND(ISNUMBER(P49),ISNUMBER(AB49)),P49+AB49,""))</f>
        <v/>
      </c>
      <c r="E49" s="37" t="str">
        <f aca="false">IF($A49="","",IF(AND(ISNUMBER(Q49),ISNUMBER(AC49)),Q49+AC49,""))</f>
        <v/>
      </c>
      <c r="F49" s="37" t="str">
        <f aca="false">IF($A49="","",IF(AND(ISNUMBER(R49),ISNUMBER(AD49)),R49+AD49,""))</f>
        <v/>
      </c>
      <c r="G49" s="37" t="str">
        <f aca="false">IF($A49="","",IF(AND(ISNUMBER(S49),ISNUMBER(AE49)),S49+AE49,""))</f>
        <v/>
      </c>
      <c r="H49" s="37" t="str">
        <f aca="false">IF($A49="","",IF(AND(ISNUMBER(T49),ISNUMBER(AF49)),T49+AF49,""))</f>
        <v/>
      </c>
      <c r="I49" s="37" t="str">
        <f aca="false">IF($A49="","",IF(AND(ISNUMBER(U49),ISNUMBER(AG49)),U49+AG49,""))</f>
        <v/>
      </c>
      <c r="J49" s="37" t="str">
        <f aca="false">IF($A49="","",IF(AND(ISNUMBER(V49),ISNUMBER(AH49)),V49+AH49,""))</f>
        <v/>
      </c>
      <c r="K49" s="37" t="str">
        <f aca="false">IF($A49="","",IF(AND(ISNUMBER(W49),ISNUMBER(AI49)),W49+AI49,""))</f>
        <v/>
      </c>
      <c r="L49" s="37" t="str">
        <f aca="false">IF($A49="","",IF(AND(ISNUMBER(X49),ISNUMBER(AJ49)),X49+AJ49,""))</f>
        <v/>
      </c>
      <c r="M49" s="37" t="str">
        <f aca="false">IF($A49="","",IF(AND(ISNUMBER(Y49),ISNUMBER(AK49)),Y49+AK49,""))</f>
        <v/>
      </c>
      <c r="N49" s="37" t="str">
        <f aca="false">IF($A49="","",IF(AND(ISNUMBER(Z49),ISNUMBER(AL49)),Z49+AL49,""))</f>
        <v/>
      </c>
      <c r="O49" s="37" t="str">
        <f aca="false">IF($A49="","",IF(AND(ISNUMBER(AA49),ISNUMBER(AM49)),AA49+AM49,""))</f>
        <v/>
      </c>
      <c r="P49" s="37" t="str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Economics'!$B$7:$B$1000,Settings!$B$16))),""))</f>
        <v/>
      </c>
      <c r="Q49" s="37" t="str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Economics'!$B$7:$B$1000,Settings!$B$16))),""))</f>
        <v/>
      </c>
      <c r="R49" s="37" t="str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Economics'!$B$7:$B$1000,Settings!$B$16))),""))</f>
        <v/>
      </c>
      <c r="S49" s="37" t="str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Economics'!$B$7:$B$1000,Settings!$B$16))),""))</f>
        <v/>
      </c>
      <c r="T49" s="37" t="str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Economics'!$B$7:$B$1000,Settings!$B$16))),""))</f>
        <v/>
      </c>
      <c r="U49" s="37" t="str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Economics'!$B$7:$B$1000,Settings!$B$16))),""))</f>
        <v/>
      </c>
      <c r="V49" s="37" t="str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Economics'!$B$7:$B$1000,Settings!$B$16))),""))</f>
        <v/>
      </c>
      <c r="W49" s="37" t="str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Economics'!$B$7:$B$1000,Settings!$B$16))),""))</f>
        <v/>
      </c>
      <c r="X49" s="37" t="str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Economics'!$B$7:$B$1000,Settings!$B$16))),""))</f>
        <v/>
      </c>
      <c r="Y49" s="37" t="str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Economics'!$B$7:$B$1000,Settings!$B$16))),""))</f>
        <v/>
      </c>
      <c r="Z49" s="37" t="str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Economics'!$B$7:$B$1000,Settings!$B$16))),""))</f>
        <v/>
      </c>
      <c r="AA49" s="37" t="str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Economics'!$B$7:$B$1000,Settings!$B$16))),""))</f>
        <v/>
      </c>
      <c r="AB49" s="37" t="str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Economics'!$B$7:$B$1000,Settings!$B$15))),""))</f>
        <v/>
      </c>
      <c r="AC49" s="37" t="str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Economics'!$B$7:$B$1000,Settings!$B$15))),""))</f>
        <v/>
      </c>
      <c r="AD49" s="37" t="str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Economics'!$B$7:$B$1000,Settings!$B$15))),""))</f>
        <v/>
      </c>
      <c r="AE49" s="37" t="str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Economics'!$B$7:$B$1000,Settings!$B$15))),""))</f>
        <v/>
      </c>
      <c r="AF49" s="37" t="str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Economics'!$B$7:$B$1000,Settings!$B$15))),""))</f>
        <v/>
      </c>
      <c r="AG49" s="37" t="str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Economics'!$B$7:$B$1000,Settings!$B$15))),""))</f>
        <v/>
      </c>
      <c r="AH49" s="37" t="str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Economics'!$B$7:$B$1000,Settings!$B$15))),""))</f>
        <v/>
      </c>
      <c r="AI49" s="37" t="str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Economics'!$B$7:$B$1000,Settings!$B$15))),""))</f>
        <v/>
      </c>
      <c r="AJ49" s="37" t="str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Economics'!$B$7:$B$1000,Settings!$B$15))),""))</f>
        <v/>
      </c>
      <c r="AK49" s="37" t="str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Economics'!$B$7:$B$1000,Settings!$B$15))),""))</f>
        <v/>
      </c>
      <c r="AL49" s="37" t="str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Economics'!$B$7:$B$1000,Settings!$B$15))),""))</f>
        <v/>
      </c>
      <c r="AM49" s="37" t="str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Economics'!$B$7:$B$1000,Settings!$B$15))),""))</f>
        <v/>
      </c>
    </row>
    <row r="50" customFormat="false" ht="15" hidden="false" customHeight="false" outlineLevel="0" collapsed="false">
      <c r="A50" s="36" t="str">
        <f aca="false">IF('Raw data'!$A50="","",'Raw data'!$A50)</f>
        <v/>
      </c>
      <c r="B50" s="36" t="str">
        <f aca="false">IF($A50="","",'Raw data'!$C50)</f>
        <v/>
      </c>
      <c r="C50" s="36" t="str">
        <f aca="false">IF($A50="","",IF('Raw data'!$D50="",$A50,'Raw data'!$D50))</f>
        <v/>
      </c>
      <c r="D50" s="37" t="str">
        <f aca="false">IF($A50="","",IF(AND(ISNUMBER(P50),ISNUMBER(AB50)),P50+AB50,""))</f>
        <v/>
      </c>
      <c r="E50" s="37" t="str">
        <f aca="false">IF($A50="","",IF(AND(ISNUMBER(Q50),ISNUMBER(AC50)),Q50+AC50,""))</f>
        <v/>
      </c>
      <c r="F50" s="37" t="str">
        <f aca="false">IF($A50="","",IF(AND(ISNUMBER(R50),ISNUMBER(AD50)),R50+AD50,""))</f>
        <v/>
      </c>
      <c r="G50" s="37" t="str">
        <f aca="false">IF($A50="","",IF(AND(ISNUMBER(S50),ISNUMBER(AE50)),S50+AE50,""))</f>
        <v/>
      </c>
      <c r="H50" s="37" t="str">
        <f aca="false">IF($A50="","",IF(AND(ISNUMBER(T50),ISNUMBER(AF50)),T50+AF50,""))</f>
        <v/>
      </c>
      <c r="I50" s="37" t="str">
        <f aca="false">IF($A50="","",IF(AND(ISNUMBER(U50),ISNUMBER(AG50)),U50+AG50,""))</f>
        <v/>
      </c>
      <c r="J50" s="37" t="str">
        <f aca="false">IF($A50="","",IF(AND(ISNUMBER(V50),ISNUMBER(AH50)),V50+AH50,""))</f>
        <v/>
      </c>
      <c r="K50" s="37" t="str">
        <f aca="false">IF($A50="","",IF(AND(ISNUMBER(W50),ISNUMBER(AI50)),W50+AI50,""))</f>
        <v/>
      </c>
      <c r="L50" s="37" t="str">
        <f aca="false">IF($A50="","",IF(AND(ISNUMBER(X50),ISNUMBER(AJ50)),X50+AJ50,""))</f>
        <v/>
      </c>
      <c r="M50" s="37" t="str">
        <f aca="false">IF($A50="","",IF(AND(ISNUMBER(Y50),ISNUMBER(AK50)),Y50+AK50,""))</f>
        <v/>
      </c>
      <c r="N50" s="37" t="str">
        <f aca="false">IF($A50="","",IF(AND(ISNUMBER(Z50),ISNUMBER(AL50)),Z50+AL50,""))</f>
        <v/>
      </c>
      <c r="O50" s="37" t="str">
        <f aca="false">IF($A50="","",IF(AND(ISNUMBER(AA50),ISNUMBER(AM50)),AA50+AM50,""))</f>
        <v/>
      </c>
      <c r="P50" s="37" t="str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Economics'!$B$7:$B$1000,Settings!$B$16))),""))</f>
        <v/>
      </c>
      <c r="Q50" s="37" t="str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Economics'!$B$7:$B$1000,Settings!$B$16))),""))</f>
        <v/>
      </c>
      <c r="R50" s="37" t="str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Economics'!$B$7:$B$1000,Settings!$B$16))),""))</f>
        <v/>
      </c>
      <c r="S50" s="37" t="str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Economics'!$B$7:$B$1000,Settings!$B$16))),""))</f>
        <v/>
      </c>
      <c r="T50" s="37" t="str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Economics'!$B$7:$B$1000,Settings!$B$16))),""))</f>
        <v/>
      </c>
      <c r="U50" s="37" t="str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Economics'!$B$7:$B$1000,Settings!$B$16))),""))</f>
        <v/>
      </c>
      <c r="V50" s="37" t="str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Economics'!$B$7:$B$1000,Settings!$B$16))),""))</f>
        <v/>
      </c>
      <c r="W50" s="37" t="str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Economics'!$B$7:$B$1000,Settings!$B$16))),""))</f>
        <v/>
      </c>
      <c r="X50" s="37" t="str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Economics'!$B$7:$B$1000,Settings!$B$16))),""))</f>
        <v/>
      </c>
      <c r="Y50" s="37" t="str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Economics'!$B$7:$B$1000,Settings!$B$16))),""))</f>
        <v/>
      </c>
      <c r="Z50" s="37" t="str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Economics'!$B$7:$B$1000,Settings!$B$16))),""))</f>
        <v/>
      </c>
      <c r="AA50" s="37" t="str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Economics'!$B$7:$B$1000,Settings!$B$16))),""))</f>
        <v/>
      </c>
      <c r="AB50" s="37" t="str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Economics'!$B$7:$B$1000,Settings!$B$15))),""))</f>
        <v/>
      </c>
      <c r="AC50" s="37" t="str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Economics'!$B$7:$B$1000,Settings!$B$15))),""))</f>
        <v/>
      </c>
      <c r="AD50" s="37" t="str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Economics'!$B$7:$B$1000,Settings!$B$15))),""))</f>
        <v/>
      </c>
      <c r="AE50" s="37" t="str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Economics'!$B$7:$B$1000,Settings!$B$15))),""))</f>
        <v/>
      </c>
      <c r="AF50" s="37" t="str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Economics'!$B$7:$B$1000,Settings!$B$15))),""))</f>
        <v/>
      </c>
      <c r="AG50" s="37" t="str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Economics'!$B$7:$B$1000,Settings!$B$15))),""))</f>
        <v/>
      </c>
      <c r="AH50" s="37" t="str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Economics'!$B$7:$B$1000,Settings!$B$15))),""))</f>
        <v/>
      </c>
      <c r="AI50" s="37" t="str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Economics'!$B$7:$B$1000,Settings!$B$15))),""))</f>
        <v/>
      </c>
      <c r="AJ50" s="37" t="str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Economics'!$B$7:$B$1000,Settings!$B$15))),""))</f>
        <v/>
      </c>
      <c r="AK50" s="37" t="str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Economics'!$B$7:$B$1000,Settings!$B$15))),""))</f>
        <v/>
      </c>
      <c r="AL50" s="37" t="str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Economics'!$B$7:$B$1000,Settings!$B$15))),""))</f>
        <v/>
      </c>
      <c r="AM50" s="37" t="str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Economics'!$B$7:$B$1000,Settings!$B$15))),""))</f>
        <v/>
      </c>
    </row>
    <row r="51" customFormat="false" ht="15" hidden="false" customHeight="false" outlineLevel="0" collapsed="false">
      <c r="A51" s="36" t="str">
        <f aca="false">IF('Raw data'!$A51="","",'Raw data'!$A51)</f>
        <v/>
      </c>
      <c r="B51" s="36" t="str">
        <f aca="false">IF($A51="","",'Raw data'!$C51)</f>
        <v/>
      </c>
      <c r="C51" s="36" t="str">
        <f aca="false">IF($A51="","",IF('Raw data'!$D51="",$A51,'Raw data'!$D51))</f>
        <v/>
      </c>
      <c r="D51" s="37" t="str">
        <f aca="false">IF($A51="","",IF(AND(ISNUMBER(P51),ISNUMBER(AB51)),P51+AB51,""))</f>
        <v/>
      </c>
      <c r="E51" s="37" t="str">
        <f aca="false">IF($A51="","",IF(AND(ISNUMBER(Q51),ISNUMBER(AC51)),Q51+AC51,""))</f>
        <v/>
      </c>
      <c r="F51" s="37" t="str">
        <f aca="false">IF($A51="","",IF(AND(ISNUMBER(R51),ISNUMBER(AD51)),R51+AD51,""))</f>
        <v/>
      </c>
      <c r="G51" s="37" t="str">
        <f aca="false">IF($A51="","",IF(AND(ISNUMBER(S51),ISNUMBER(AE51)),S51+AE51,""))</f>
        <v/>
      </c>
      <c r="H51" s="37" t="str">
        <f aca="false">IF($A51="","",IF(AND(ISNUMBER(T51),ISNUMBER(AF51)),T51+AF51,""))</f>
        <v/>
      </c>
      <c r="I51" s="37" t="str">
        <f aca="false">IF($A51="","",IF(AND(ISNUMBER(U51),ISNUMBER(AG51)),U51+AG51,""))</f>
        <v/>
      </c>
      <c r="J51" s="37" t="str">
        <f aca="false">IF($A51="","",IF(AND(ISNUMBER(V51),ISNUMBER(AH51)),V51+AH51,""))</f>
        <v/>
      </c>
      <c r="K51" s="37" t="str">
        <f aca="false">IF($A51="","",IF(AND(ISNUMBER(W51),ISNUMBER(AI51)),W51+AI51,""))</f>
        <v/>
      </c>
      <c r="L51" s="37" t="str">
        <f aca="false">IF($A51="","",IF(AND(ISNUMBER(X51),ISNUMBER(AJ51)),X51+AJ51,""))</f>
        <v/>
      </c>
      <c r="M51" s="37" t="str">
        <f aca="false">IF($A51="","",IF(AND(ISNUMBER(Y51),ISNUMBER(AK51)),Y51+AK51,""))</f>
        <v/>
      </c>
      <c r="N51" s="37" t="str">
        <f aca="false">IF($A51="","",IF(AND(ISNUMBER(Z51),ISNUMBER(AL51)),Z51+AL51,""))</f>
        <v/>
      </c>
      <c r="O51" s="37" t="str">
        <f aca="false">IF($A51="","",IF(AND(ISNUMBER(AA51),ISNUMBER(AM51)),AA51+AM51,""))</f>
        <v/>
      </c>
      <c r="P51" s="37" t="str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Economics'!$B$7:$B$1000,Settings!$B$16))),""))</f>
        <v/>
      </c>
      <c r="Q51" s="37" t="str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Economics'!$B$7:$B$1000,Settings!$B$16))),""))</f>
        <v/>
      </c>
      <c r="R51" s="37" t="str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Economics'!$B$7:$B$1000,Settings!$B$16))),""))</f>
        <v/>
      </c>
      <c r="S51" s="37" t="str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Economics'!$B$7:$B$1000,Settings!$B$16))),""))</f>
        <v/>
      </c>
      <c r="T51" s="37" t="str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Economics'!$B$7:$B$1000,Settings!$B$16))),""))</f>
        <v/>
      </c>
      <c r="U51" s="37" t="str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Economics'!$B$7:$B$1000,Settings!$B$16))),""))</f>
        <v/>
      </c>
      <c r="V51" s="37" t="str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Economics'!$B$7:$B$1000,Settings!$B$16))),""))</f>
        <v/>
      </c>
      <c r="W51" s="37" t="str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Economics'!$B$7:$B$1000,Settings!$B$16))),""))</f>
        <v/>
      </c>
      <c r="X51" s="37" t="str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Economics'!$B$7:$B$1000,Settings!$B$16))),""))</f>
        <v/>
      </c>
      <c r="Y51" s="37" t="str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Economics'!$B$7:$B$1000,Settings!$B$16))),""))</f>
        <v/>
      </c>
      <c r="Z51" s="37" t="str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Economics'!$B$7:$B$1000,Settings!$B$16))),""))</f>
        <v/>
      </c>
      <c r="AA51" s="37" t="str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Economics'!$B$7:$B$1000,Settings!$B$16))),""))</f>
        <v/>
      </c>
      <c r="AB51" s="37" t="str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Economics'!$B$7:$B$1000,Settings!$B$15))),""))</f>
        <v/>
      </c>
      <c r="AC51" s="37" t="str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Economics'!$B$7:$B$1000,Settings!$B$15))),""))</f>
        <v/>
      </c>
      <c r="AD51" s="37" t="str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Economics'!$B$7:$B$1000,Settings!$B$15))),""))</f>
        <v/>
      </c>
      <c r="AE51" s="37" t="str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Economics'!$B$7:$B$1000,Settings!$B$15))),""))</f>
        <v/>
      </c>
      <c r="AF51" s="37" t="str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Economics'!$B$7:$B$1000,Settings!$B$15))),""))</f>
        <v/>
      </c>
      <c r="AG51" s="37" t="str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Economics'!$B$7:$B$1000,Settings!$B$15))),""))</f>
        <v/>
      </c>
      <c r="AH51" s="37" t="str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Economics'!$B$7:$B$1000,Settings!$B$15))),""))</f>
        <v/>
      </c>
      <c r="AI51" s="37" t="str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Economics'!$B$7:$B$1000,Settings!$B$15))),""))</f>
        <v/>
      </c>
      <c r="AJ51" s="37" t="str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Economics'!$B$7:$B$1000,Settings!$B$15))),""))</f>
        <v/>
      </c>
      <c r="AK51" s="37" t="str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Economics'!$B$7:$B$1000,Settings!$B$15))),""))</f>
        <v/>
      </c>
      <c r="AL51" s="37" t="str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Economics'!$B$7:$B$1000,Settings!$B$15))),""))</f>
        <v/>
      </c>
      <c r="AM51" s="37" t="str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Economics'!$B$7:$B$1000,Settings!$B$15))),""))</f>
        <v/>
      </c>
    </row>
    <row r="52" customFormat="false" ht="15" hidden="false" customHeight="false" outlineLevel="0" collapsed="false">
      <c r="A52" s="36" t="str">
        <f aca="false">IF('Raw data'!$A52="","",'Raw data'!$A52)</f>
        <v/>
      </c>
      <c r="B52" s="36" t="str">
        <f aca="false">IF($A52="","",'Raw data'!$C52)</f>
        <v/>
      </c>
      <c r="C52" s="36" t="str">
        <f aca="false">IF($A52="","",IF('Raw data'!$D52="",$A52,'Raw data'!$D52))</f>
        <v/>
      </c>
      <c r="D52" s="37" t="str">
        <f aca="false">IF($A52="","",IF(AND(ISNUMBER(P52),ISNUMBER(AB52)),P52+AB52,""))</f>
        <v/>
      </c>
      <c r="E52" s="37" t="str">
        <f aca="false">IF($A52="","",IF(AND(ISNUMBER(Q52),ISNUMBER(AC52)),Q52+AC52,""))</f>
        <v/>
      </c>
      <c r="F52" s="37" t="str">
        <f aca="false">IF($A52="","",IF(AND(ISNUMBER(R52),ISNUMBER(AD52)),R52+AD52,""))</f>
        <v/>
      </c>
      <c r="G52" s="37" t="str">
        <f aca="false">IF($A52="","",IF(AND(ISNUMBER(S52),ISNUMBER(AE52)),S52+AE52,""))</f>
        <v/>
      </c>
      <c r="H52" s="37" t="str">
        <f aca="false">IF($A52="","",IF(AND(ISNUMBER(T52),ISNUMBER(AF52)),T52+AF52,""))</f>
        <v/>
      </c>
      <c r="I52" s="37" t="str">
        <f aca="false">IF($A52="","",IF(AND(ISNUMBER(U52),ISNUMBER(AG52)),U52+AG52,""))</f>
        <v/>
      </c>
      <c r="J52" s="37" t="str">
        <f aca="false">IF($A52="","",IF(AND(ISNUMBER(V52),ISNUMBER(AH52)),V52+AH52,""))</f>
        <v/>
      </c>
      <c r="K52" s="37" t="str">
        <f aca="false">IF($A52="","",IF(AND(ISNUMBER(W52),ISNUMBER(AI52)),W52+AI52,""))</f>
        <v/>
      </c>
      <c r="L52" s="37" t="str">
        <f aca="false">IF($A52="","",IF(AND(ISNUMBER(X52),ISNUMBER(AJ52)),X52+AJ52,""))</f>
        <v/>
      </c>
      <c r="M52" s="37" t="str">
        <f aca="false">IF($A52="","",IF(AND(ISNUMBER(Y52),ISNUMBER(AK52)),Y52+AK52,""))</f>
        <v/>
      </c>
      <c r="N52" s="37" t="str">
        <f aca="false">IF($A52="","",IF(AND(ISNUMBER(Z52),ISNUMBER(AL52)),Z52+AL52,""))</f>
        <v/>
      </c>
      <c r="O52" s="37" t="str">
        <f aca="false">IF($A52="","",IF(AND(ISNUMBER(AA52),ISNUMBER(AM52)),AA52+AM52,""))</f>
        <v/>
      </c>
      <c r="P52" s="37" t="str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Economics'!$B$7:$B$1000,Settings!$B$16))),""))</f>
        <v/>
      </c>
      <c r="Q52" s="37" t="str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Economics'!$B$7:$B$1000,Settings!$B$16))),""))</f>
        <v/>
      </c>
      <c r="R52" s="37" t="str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Economics'!$B$7:$B$1000,Settings!$B$16))),""))</f>
        <v/>
      </c>
      <c r="S52" s="37" t="str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Economics'!$B$7:$B$1000,Settings!$B$16))),""))</f>
        <v/>
      </c>
      <c r="T52" s="37" t="str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Economics'!$B$7:$B$1000,Settings!$B$16))),""))</f>
        <v/>
      </c>
      <c r="U52" s="37" t="str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Economics'!$B$7:$B$1000,Settings!$B$16))),""))</f>
        <v/>
      </c>
      <c r="V52" s="37" t="str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Economics'!$B$7:$B$1000,Settings!$B$16))),""))</f>
        <v/>
      </c>
      <c r="W52" s="37" t="str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Economics'!$B$7:$B$1000,Settings!$B$16))),""))</f>
        <v/>
      </c>
      <c r="X52" s="37" t="str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Economics'!$B$7:$B$1000,Settings!$B$16))),""))</f>
        <v/>
      </c>
      <c r="Y52" s="37" t="str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Economics'!$B$7:$B$1000,Settings!$B$16))),""))</f>
        <v/>
      </c>
      <c r="Z52" s="37" t="str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Economics'!$B$7:$B$1000,Settings!$B$16))),""))</f>
        <v/>
      </c>
      <c r="AA52" s="37" t="str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Economics'!$B$7:$B$1000,Settings!$B$16))),""))</f>
        <v/>
      </c>
      <c r="AB52" s="37" t="str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Economics'!$B$7:$B$1000,Settings!$B$15))),""))</f>
        <v/>
      </c>
      <c r="AC52" s="37" t="str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Economics'!$B$7:$B$1000,Settings!$B$15))),""))</f>
        <v/>
      </c>
      <c r="AD52" s="37" t="str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Economics'!$B$7:$B$1000,Settings!$B$15))),""))</f>
        <v/>
      </c>
      <c r="AE52" s="37" t="str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Economics'!$B$7:$B$1000,Settings!$B$15))),""))</f>
        <v/>
      </c>
      <c r="AF52" s="37" t="str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Economics'!$B$7:$B$1000,Settings!$B$15))),""))</f>
        <v/>
      </c>
      <c r="AG52" s="37" t="str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Economics'!$B$7:$B$1000,Settings!$B$15))),""))</f>
        <v/>
      </c>
      <c r="AH52" s="37" t="str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Economics'!$B$7:$B$1000,Settings!$B$15))),""))</f>
        <v/>
      </c>
      <c r="AI52" s="37" t="str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Economics'!$B$7:$B$1000,Settings!$B$15))),""))</f>
        <v/>
      </c>
      <c r="AJ52" s="37" t="str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Economics'!$B$7:$B$1000,Settings!$B$15))),""))</f>
        <v/>
      </c>
      <c r="AK52" s="37" t="str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Economics'!$B$7:$B$1000,Settings!$B$15))),""))</f>
        <v/>
      </c>
      <c r="AL52" s="37" t="str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Economics'!$B$7:$B$1000,Settings!$B$15))),""))</f>
        <v/>
      </c>
      <c r="AM52" s="37" t="str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Economics'!$B$7:$B$1000,Settings!$B$15))),""))</f>
        <v/>
      </c>
    </row>
    <row r="53" customFormat="false" ht="15" hidden="false" customHeight="false" outlineLevel="0" collapsed="false">
      <c r="A53" s="36" t="str">
        <f aca="false">IF('Raw data'!$A53="","",'Raw data'!$A53)</f>
        <v/>
      </c>
      <c r="B53" s="36" t="str">
        <f aca="false">IF($A53="","",'Raw data'!$C53)</f>
        <v/>
      </c>
      <c r="C53" s="36" t="str">
        <f aca="false">IF($A53="","",IF('Raw data'!$D53="",$A53,'Raw data'!$D53))</f>
        <v/>
      </c>
      <c r="D53" s="37" t="str">
        <f aca="false">IF($A53="","",IF(AND(ISNUMBER(P53),ISNUMBER(AB53)),P53+AB53,""))</f>
        <v/>
      </c>
      <c r="E53" s="37" t="str">
        <f aca="false">IF($A53="","",IF(AND(ISNUMBER(Q53),ISNUMBER(AC53)),Q53+AC53,""))</f>
        <v/>
      </c>
      <c r="F53" s="37" t="str">
        <f aca="false">IF($A53="","",IF(AND(ISNUMBER(R53),ISNUMBER(AD53)),R53+AD53,""))</f>
        <v/>
      </c>
      <c r="G53" s="37" t="str">
        <f aca="false">IF($A53="","",IF(AND(ISNUMBER(S53),ISNUMBER(AE53)),S53+AE53,""))</f>
        <v/>
      </c>
      <c r="H53" s="37" t="str">
        <f aca="false">IF($A53="","",IF(AND(ISNUMBER(T53),ISNUMBER(AF53)),T53+AF53,""))</f>
        <v/>
      </c>
      <c r="I53" s="37" t="str">
        <f aca="false">IF($A53="","",IF(AND(ISNUMBER(U53),ISNUMBER(AG53)),U53+AG53,""))</f>
        <v/>
      </c>
      <c r="J53" s="37" t="str">
        <f aca="false">IF($A53="","",IF(AND(ISNUMBER(V53),ISNUMBER(AH53)),V53+AH53,""))</f>
        <v/>
      </c>
      <c r="K53" s="37" t="str">
        <f aca="false">IF($A53="","",IF(AND(ISNUMBER(W53),ISNUMBER(AI53)),W53+AI53,""))</f>
        <v/>
      </c>
      <c r="L53" s="37" t="str">
        <f aca="false">IF($A53="","",IF(AND(ISNUMBER(X53),ISNUMBER(AJ53)),X53+AJ53,""))</f>
        <v/>
      </c>
      <c r="M53" s="37" t="str">
        <f aca="false">IF($A53="","",IF(AND(ISNUMBER(Y53),ISNUMBER(AK53)),Y53+AK53,""))</f>
        <v/>
      </c>
      <c r="N53" s="37" t="str">
        <f aca="false">IF($A53="","",IF(AND(ISNUMBER(Z53),ISNUMBER(AL53)),Z53+AL53,""))</f>
        <v/>
      </c>
      <c r="O53" s="37" t="str">
        <f aca="false">IF($A53="","",IF(AND(ISNUMBER(AA53),ISNUMBER(AM53)),AA53+AM53,""))</f>
        <v/>
      </c>
      <c r="P53" s="37" t="str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Economics'!$B$7:$B$1000,Settings!$B$16))),""))</f>
        <v/>
      </c>
      <c r="Q53" s="37" t="str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Economics'!$B$7:$B$1000,Settings!$B$16))),""))</f>
        <v/>
      </c>
      <c r="R53" s="37" t="str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Economics'!$B$7:$B$1000,Settings!$B$16))),""))</f>
        <v/>
      </c>
      <c r="S53" s="37" t="str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Economics'!$B$7:$B$1000,Settings!$B$16))),""))</f>
        <v/>
      </c>
      <c r="T53" s="37" t="str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Economics'!$B$7:$B$1000,Settings!$B$16))),""))</f>
        <v/>
      </c>
      <c r="U53" s="37" t="str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Economics'!$B$7:$B$1000,Settings!$B$16))),""))</f>
        <v/>
      </c>
      <c r="V53" s="37" t="str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Economics'!$B$7:$B$1000,Settings!$B$16))),""))</f>
        <v/>
      </c>
      <c r="W53" s="37" t="str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Economics'!$B$7:$B$1000,Settings!$B$16))),""))</f>
        <v/>
      </c>
      <c r="X53" s="37" t="str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Economics'!$B$7:$B$1000,Settings!$B$16))),""))</f>
        <v/>
      </c>
      <c r="Y53" s="37" t="str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Economics'!$B$7:$B$1000,Settings!$B$16))),""))</f>
        <v/>
      </c>
      <c r="Z53" s="37" t="str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Economics'!$B$7:$B$1000,Settings!$B$16))),""))</f>
        <v/>
      </c>
      <c r="AA53" s="37" t="str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Economics'!$B$7:$B$1000,Settings!$B$16))),""))</f>
        <v/>
      </c>
      <c r="AB53" s="37" t="str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Economics'!$B$7:$B$1000,Settings!$B$15))),""))</f>
        <v/>
      </c>
      <c r="AC53" s="37" t="str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Economics'!$B$7:$B$1000,Settings!$B$15))),""))</f>
        <v/>
      </c>
      <c r="AD53" s="37" t="str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Economics'!$B$7:$B$1000,Settings!$B$15))),""))</f>
        <v/>
      </c>
      <c r="AE53" s="37" t="str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Economics'!$B$7:$B$1000,Settings!$B$15))),""))</f>
        <v/>
      </c>
      <c r="AF53" s="37" t="str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Economics'!$B$7:$B$1000,Settings!$B$15))),""))</f>
        <v/>
      </c>
      <c r="AG53" s="37" t="str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Economics'!$B$7:$B$1000,Settings!$B$15))),""))</f>
        <v/>
      </c>
      <c r="AH53" s="37" t="str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Economics'!$B$7:$B$1000,Settings!$B$15))),""))</f>
        <v/>
      </c>
      <c r="AI53" s="37" t="str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Economics'!$B$7:$B$1000,Settings!$B$15))),""))</f>
        <v/>
      </c>
      <c r="AJ53" s="37" t="str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Economics'!$B$7:$B$1000,Settings!$B$15))),""))</f>
        <v/>
      </c>
      <c r="AK53" s="37" t="str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Economics'!$B$7:$B$1000,Settings!$B$15))),""))</f>
        <v/>
      </c>
      <c r="AL53" s="37" t="str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Economics'!$B$7:$B$1000,Settings!$B$15))),""))</f>
        <v/>
      </c>
      <c r="AM53" s="37" t="str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Economics'!$B$7:$B$1000,Settings!$B$15))),""))</f>
        <v/>
      </c>
    </row>
    <row r="54" customFormat="false" ht="15" hidden="false" customHeight="false" outlineLevel="0" collapsed="false">
      <c r="A54" s="36" t="str">
        <f aca="false">IF('Raw data'!$A54="","",'Raw data'!$A54)</f>
        <v/>
      </c>
      <c r="B54" s="36" t="str">
        <f aca="false">IF($A54="","",'Raw data'!$C54)</f>
        <v/>
      </c>
      <c r="C54" s="36" t="str">
        <f aca="false">IF($A54="","",IF('Raw data'!$D54="",$A54,'Raw data'!$D54))</f>
        <v/>
      </c>
      <c r="D54" s="37" t="str">
        <f aca="false">IF($A54="","",IF(AND(ISNUMBER(P54),ISNUMBER(AB54)),P54+AB54,""))</f>
        <v/>
      </c>
      <c r="E54" s="37" t="str">
        <f aca="false">IF($A54="","",IF(AND(ISNUMBER(Q54),ISNUMBER(AC54)),Q54+AC54,""))</f>
        <v/>
      </c>
      <c r="F54" s="37" t="str">
        <f aca="false">IF($A54="","",IF(AND(ISNUMBER(R54),ISNUMBER(AD54)),R54+AD54,""))</f>
        <v/>
      </c>
      <c r="G54" s="37" t="str">
        <f aca="false">IF($A54="","",IF(AND(ISNUMBER(S54),ISNUMBER(AE54)),S54+AE54,""))</f>
        <v/>
      </c>
      <c r="H54" s="37" t="str">
        <f aca="false">IF($A54="","",IF(AND(ISNUMBER(T54),ISNUMBER(AF54)),T54+AF54,""))</f>
        <v/>
      </c>
      <c r="I54" s="37" t="str">
        <f aca="false">IF($A54="","",IF(AND(ISNUMBER(U54),ISNUMBER(AG54)),U54+AG54,""))</f>
        <v/>
      </c>
      <c r="J54" s="37" t="str">
        <f aca="false">IF($A54="","",IF(AND(ISNUMBER(V54),ISNUMBER(AH54)),V54+AH54,""))</f>
        <v/>
      </c>
      <c r="K54" s="37" t="str">
        <f aca="false">IF($A54="","",IF(AND(ISNUMBER(W54),ISNUMBER(AI54)),W54+AI54,""))</f>
        <v/>
      </c>
      <c r="L54" s="37" t="str">
        <f aca="false">IF($A54="","",IF(AND(ISNUMBER(X54),ISNUMBER(AJ54)),X54+AJ54,""))</f>
        <v/>
      </c>
      <c r="M54" s="37" t="str">
        <f aca="false">IF($A54="","",IF(AND(ISNUMBER(Y54),ISNUMBER(AK54)),Y54+AK54,""))</f>
        <v/>
      </c>
      <c r="N54" s="37" t="str">
        <f aca="false">IF($A54="","",IF(AND(ISNUMBER(Z54),ISNUMBER(AL54)),Z54+AL54,""))</f>
        <v/>
      </c>
      <c r="O54" s="37" t="str">
        <f aca="false">IF($A54="","",IF(AND(ISNUMBER(AA54),ISNUMBER(AM54)),AA54+AM54,""))</f>
        <v/>
      </c>
      <c r="P54" s="37" t="str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Economics'!$B$7:$B$1000,Settings!$B$16))),""))</f>
        <v/>
      </c>
      <c r="Q54" s="37" t="str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Economics'!$B$7:$B$1000,Settings!$B$16))),""))</f>
        <v/>
      </c>
      <c r="R54" s="37" t="str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Economics'!$B$7:$B$1000,Settings!$B$16))),""))</f>
        <v/>
      </c>
      <c r="S54" s="37" t="str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Economics'!$B$7:$B$1000,Settings!$B$16))),""))</f>
        <v/>
      </c>
      <c r="T54" s="37" t="str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Economics'!$B$7:$B$1000,Settings!$B$16))),""))</f>
        <v/>
      </c>
      <c r="U54" s="37" t="str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Economics'!$B$7:$B$1000,Settings!$B$16))),""))</f>
        <v/>
      </c>
      <c r="V54" s="37" t="str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Economics'!$B$7:$B$1000,Settings!$B$16))),""))</f>
        <v/>
      </c>
      <c r="W54" s="37" t="str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Economics'!$B$7:$B$1000,Settings!$B$16))),""))</f>
        <v/>
      </c>
      <c r="X54" s="37" t="str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Economics'!$B$7:$B$1000,Settings!$B$16))),""))</f>
        <v/>
      </c>
      <c r="Y54" s="37" t="str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Economics'!$B$7:$B$1000,Settings!$B$16))),""))</f>
        <v/>
      </c>
      <c r="Z54" s="37" t="str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Economics'!$B$7:$B$1000,Settings!$B$16))),""))</f>
        <v/>
      </c>
      <c r="AA54" s="37" t="str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Economics'!$B$7:$B$1000,Settings!$B$16))),""))</f>
        <v/>
      </c>
      <c r="AB54" s="37" t="str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Economics'!$B$7:$B$1000,Settings!$B$15))),""))</f>
        <v/>
      </c>
      <c r="AC54" s="37" t="str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Economics'!$B$7:$B$1000,Settings!$B$15))),""))</f>
        <v/>
      </c>
      <c r="AD54" s="37" t="str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Economics'!$B$7:$B$1000,Settings!$B$15))),""))</f>
        <v/>
      </c>
      <c r="AE54" s="37" t="str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Economics'!$B$7:$B$1000,Settings!$B$15))),""))</f>
        <v/>
      </c>
      <c r="AF54" s="37" t="str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Economics'!$B$7:$B$1000,Settings!$B$15))),""))</f>
        <v/>
      </c>
      <c r="AG54" s="37" t="str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Economics'!$B$7:$B$1000,Settings!$B$15))),""))</f>
        <v/>
      </c>
      <c r="AH54" s="37" t="str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Economics'!$B$7:$B$1000,Settings!$B$15))),""))</f>
        <v/>
      </c>
      <c r="AI54" s="37" t="str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Economics'!$B$7:$B$1000,Settings!$B$15))),""))</f>
        <v/>
      </c>
      <c r="AJ54" s="37" t="str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Economics'!$B$7:$B$1000,Settings!$B$15))),""))</f>
        <v/>
      </c>
      <c r="AK54" s="37" t="str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Economics'!$B$7:$B$1000,Settings!$B$15))),""))</f>
        <v/>
      </c>
      <c r="AL54" s="37" t="str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Economics'!$B$7:$B$1000,Settings!$B$15))),""))</f>
        <v/>
      </c>
      <c r="AM54" s="37" t="str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Economics'!$B$7:$B$1000,Settings!$B$15))),""))</f>
        <v/>
      </c>
    </row>
    <row r="55" customFormat="false" ht="15" hidden="false" customHeight="false" outlineLevel="0" collapsed="false">
      <c r="A55" s="36" t="str">
        <f aca="false">IF('Raw data'!$A55="","",'Raw data'!$A55)</f>
        <v/>
      </c>
      <c r="B55" s="36" t="str">
        <f aca="false">IF($A55="","",'Raw data'!$C55)</f>
        <v/>
      </c>
      <c r="C55" s="36" t="str">
        <f aca="false">IF($A55="","",IF('Raw data'!$D55="",$A55,'Raw data'!$D55))</f>
        <v/>
      </c>
      <c r="D55" s="37" t="str">
        <f aca="false">IF($A55="","",IF(AND(ISNUMBER(P55),ISNUMBER(AB55)),P55+AB55,""))</f>
        <v/>
      </c>
      <c r="E55" s="37" t="str">
        <f aca="false">IF($A55="","",IF(AND(ISNUMBER(Q55),ISNUMBER(AC55)),Q55+AC55,""))</f>
        <v/>
      </c>
      <c r="F55" s="37" t="str">
        <f aca="false">IF($A55="","",IF(AND(ISNUMBER(R55),ISNUMBER(AD55)),R55+AD55,""))</f>
        <v/>
      </c>
      <c r="G55" s="37" t="str">
        <f aca="false">IF($A55="","",IF(AND(ISNUMBER(S55),ISNUMBER(AE55)),S55+AE55,""))</f>
        <v/>
      </c>
      <c r="H55" s="37" t="str">
        <f aca="false">IF($A55="","",IF(AND(ISNUMBER(T55),ISNUMBER(AF55)),T55+AF55,""))</f>
        <v/>
      </c>
      <c r="I55" s="37" t="str">
        <f aca="false">IF($A55="","",IF(AND(ISNUMBER(U55),ISNUMBER(AG55)),U55+AG55,""))</f>
        <v/>
      </c>
      <c r="J55" s="37" t="str">
        <f aca="false">IF($A55="","",IF(AND(ISNUMBER(V55),ISNUMBER(AH55)),V55+AH55,""))</f>
        <v/>
      </c>
      <c r="K55" s="37" t="str">
        <f aca="false">IF($A55="","",IF(AND(ISNUMBER(W55),ISNUMBER(AI55)),W55+AI55,""))</f>
        <v/>
      </c>
      <c r="L55" s="37" t="str">
        <f aca="false">IF($A55="","",IF(AND(ISNUMBER(X55),ISNUMBER(AJ55)),X55+AJ55,""))</f>
        <v/>
      </c>
      <c r="M55" s="37" t="str">
        <f aca="false">IF($A55="","",IF(AND(ISNUMBER(Y55),ISNUMBER(AK55)),Y55+AK55,""))</f>
        <v/>
      </c>
      <c r="N55" s="37" t="str">
        <f aca="false">IF($A55="","",IF(AND(ISNUMBER(Z55),ISNUMBER(AL55)),Z55+AL55,""))</f>
        <v/>
      </c>
      <c r="O55" s="37" t="str">
        <f aca="false">IF($A55="","",IF(AND(ISNUMBER(AA55),ISNUMBER(AM55)),AA55+AM55,""))</f>
        <v/>
      </c>
      <c r="P55" s="37" t="str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Economics'!$B$7:$B$1000,Settings!$B$16))),""))</f>
        <v/>
      </c>
      <c r="Q55" s="37" t="str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Economics'!$B$7:$B$1000,Settings!$B$16))),""))</f>
        <v/>
      </c>
      <c r="R55" s="37" t="str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Economics'!$B$7:$B$1000,Settings!$B$16))),""))</f>
        <v/>
      </c>
      <c r="S55" s="37" t="str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Economics'!$B$7:$B$1000,Settings!$B$16))),""))</f>
        <v/>
      </c>
      <c r="T55" s="37" t="str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Economics'!$B$7:$B$1000,Settings!$B$16))),""))</f>
        <v/>
      </c>
      <c r="U55" s="37" t="str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Economics'!$B$7:$B$1000,Settings!$B$16))),""))</f>
        <v/>
      </c>
      <c r="V55" s="37" t="str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Economics'!$B$7:$B$1000,Settings!$B$16))),""))</f>
        <v/>
      </c>
      <c r="W55" s="37" t="str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Economics'!$B$7:$B$1000,Settings!$B$16))),""))</f>
        <v/>
      </c>
      <c r="X55" s="37" t="str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Economics'!$B$7:$B$1000,Settings!$B$16))),""))</f>
        <v/>
      </c>
      <c r="Y55" s="37" t="str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Economics'!$B$7:$B$1000,Settings!$B$16))),""))</f>
        <v/>
      </c>
      <c r="Z55" s="37" t="str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Economics'!$B$7:$B$1000,Settings!$B$16))),""))</f>
        <v/>
      </c>
      <c r="AA55" s="37" t="str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Economics'!$B$7:$B$1000,Settings!$B$16))),""))</f>
        <v/>
      </c>
      <c r="AB55" s="37" t="str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Economics'!$B$7:$B$1000,Settings!$B$15))),""))</f>
        <v/>
      </c>
      <c r="AC55" s="37" t="str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Economics'!$B$7:$B$1000,Settings!$B$15))),""))</f>
        <v/>
      </c>
      <c r="AD55" s="37" t="str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Economics'!$B$7:$B$1000,Settings!$B$15))),""))</f>
        <v/>
      </c>
      <c r="AE55" s="37" t="str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Economics'!$B$7:$B$1000,Settings!$B$15))),""))</f>
        <v/>
      </c>
      <c r="AF55" s="37" t="str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Economics'!$B$7:$B$1000,Settings!$B$15))),""))</f>
        <v/>
      </c>
      <c r="AG55" s="37" t="str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Economics'!$B$7:$B$1000,Settings!$B$15))),""))</f>
        <v/>
      </c>
      <c r="AH55" s="37" t="str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Economics'!$B$7:$B$1000,Settings!$B$15))),""))</f>
        <v/>
      </c>
      <c r="AI55" s="37" t="str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Economics'!$B$7:$B$1000,Settings!$B$15))),""))</f>
        <v/>
      </c>
      <c r="AJ55" s="37" t="str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Economics'!$B$7:$B$1000,Settings!$B$15))),""))</f>
        <v/>
      </c>
      <c r="AK55" s="37" t="str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Economics'!$B$7:$B$1000,Settings!$B$15))),""))</f>
        <v/>
      </c>
      <c r="AL55" s="37" t="str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Economics'!$B$7:$B$1000,Settings!$B$15))),""))</f>
        <v/>
      </c>
      <c r="AM55" s="37" t="str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Economics'!$B$7:$B$1000,Settings!$B$15))),""))</f>
        <v/>
      </c>
    </row>
    <row r="56" customFormat="false" ht="15" hidden="false" customHeight="false" outlineLevel="0" collapsed="false">
      <c r="A56" s="36" t="str">
        <f aca="false">IF('Raw data'!$A56="","",'Raw data'!$A56)</f>
        <v/>
      </c>
      <c r="B56" s="36" t="str">
        <f aca="false">IF($A56="","",'Raw data'!$C56)</f>
        <v/>
      </c>
      <c r="C56" s="36" t="str">
        <f aca="false">IF($A56="","",IF('Raw data'!$D56="",$A56,'Raw data'!$D56))</f>
        <v/>
      </c>
      <c r="D56" s="37" t="str">
        <f aca="false">IF($A56="","",IF(AND(ISNUMBER(P56),ISNUMBER(AB56)),P56+AB56,""))</f>
        <v/>
      </c>
      <c r="E56" s="37" t="str">
        <f aca="false">IF($A56="","",IF(AND(ISNUMBER(Q56),ISNUMBER(AC56)),Q56+AC56,""))</f>
        <v/>
      </c>
      <c r="F56" s="37" t="str">
        <f aca="false">IF($A56="","",IF(AND(ISNUMBER(R56),ISNUMBER(AD56)),R56+AD56,""))</f>
        <v/>
      </c>
      <c r="G56" s="37" t="str">
        <f aca="false">IF($A56="","",IF(AND(ISNUMBER(S56),ISNUMBER(AE56)),S56+AE56,""))</f>
        <v/>
      </c>
      <c r="H56" s="37" t="str">
        <f aca="false">IF($A56="","",IF(AND(ISNUMBER(T56),ISNUMBER(AF56)),T56+AF56,""))</f>
        <v/>
      </c>
      <c r="I56" s="37" t="str">
        <f aca="false">IF($A56="","",IF(AND(ISNUMBER(U56),ISNUMBER(AG56)),U56+AG56,""))</f>
        <v/>
      </c>
      <c r="J56" s="37" t="str">
        <f aca="false">IF($A56="","",IF(AND(ISNUMBER(V56),ISNUMBER(AH56)),V56+AH56,""))</f>
        <v/>
      </c>
      <c r="K56" s="37" t="str">
        <f aca="false">IF($A56="","",IF(AND(ISNUMBER(W56),ISNUMBER(AI56)),W56+AI56,""))</f>
        <v/>
      </c>
      <c r="L56" s="37" t="str">
        <f aca="false">IF($A56="","",IF(AND(ISNUMBER(X56),ISNUMBER(AJ56)),X56+AJ56,""))</f>
        <v/>
      </c>
      <c r="M56" s="37" t="str">
        <f aca="false">IF($A56="","",IF(AND(ISNUMBER(Y56),ISNUMBER(AK56)),Y56+AK56,""))</f>
        <v/>
      </c>
      <c r="N56" s="37" t="str">
        <f aca="false">IF($A56="","",IF(AND(ISNUMBER(Z56),ISNUMBER(AL56)),Z56+AL56,""))</f>
        <v/>
      </c>
      <c r="O56" s="37" t="str">
        <f aca="false">IF($A56="","",IF(AND(ISNUMBER(AA56),ISNUMBER(AM56)),AA56+AM56,""))</f>
        <v/>
      </c>
      <c r="P56" s="37" t="str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Economics'!$B$7:$B$1000,Settings!$B$16))),""))</f>
        <v/>
      </c>
      <c r="Q56" s="37" t="str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Economics'!$B$7:$B$1000,Settings!$B$16))),""))</f>
        <v/>
      </c>
      <c r="R56" s="37" t="str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Economics'!$B$7:$B$1000,Settings!$B$16))),""))</f>
        <v/>
      </c>
      <c r="S56" s="37" t="str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Economics'!$B$7:$B$1000,Settings!$B$16))),""))</f>
        <v/>
      </c>
      <c r="T56" s="37" t="str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Economics'!$B$7:$B$1000,Settings!$B$16))),""))</f>
        <v/>
      </c>
      <c r="U56" s="37" t="str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Economics'!$B$7:$B$1000,Settings!$B$16))),""))</f>
        <v/>
      </c>
      <c r="V56" s="37" t="str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Economics'!$B$7:$B$1000,Settings!$B$16))),""))</f>
        <v/>
      </c>
      <c r="W56" s="37" t="str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Economics'!$B$7:$B$1000,Settings!$B$16))),""))</f>
        <v/>
      </c>
      <c r="X56" s="37" t="str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Economics'!$B$7:$B$1000,Settings!$B$16))),""))</f>
        <v/>
      </c>
      <c r="Y56" s="37" t="str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Economics'!$B$7:$B$1000,Settings!$B$16))),""))</f>
        <v/>
      </c>
      <c r="Z56" s="37" t="str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Economics'!$B$7:$B$1000,Settings!$B$16))),""))</f>
        <v/>
      </c>
      <c r="AA56" s="37" t="str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Economics'!$B$7:$B$1000,Settings!$B$16))),""))</f>
        <v/>
      </c>
      <c r="AB56" s="37" t="str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Economics'!$B$7:$B$1000,Settings!$B$15))),""))</f>
        <v/>
      </c>
      <c r="AC56" s="37" t="str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Economics'!$B$7:$B$1000,Settings!$B$15))),""))</f>
        <v/>
      </c>
      <c r="AD56" s="37" t="str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Economics'!$B$7:$B$1000,Settings!$B$15))),""))</f>
        <v/>
      </c>
      <c r="AE56" s="37" t="str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Economics'!$B$7:$B$1000,Settings!$B$15))),""))</f>
        <v/>
      </c>
      <c r="AF56" s="37" t="str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Economics'!$B$7:$B$1000,Settings!$B$15))),""))</f>
        <v/>
      </c>
      <c r="AG56" s="37" t="str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Economics'!$B$7:$B$1000,Settings!$B$15))),""))</f>
        <v/>
      </c>
      <c r="AH56" s="37" t="str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Economics'!$B$7:$B$1000,Settings!$B$15))),""))</f>
        <v/>
      </c>
      <c r="AI56" s="37" t="str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Economics'!$B$7:$B$1000,Settings!$B$15))),""))</f>
        <v/>
      </c>
      <c r="AJ56" s="37" t="str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Economics'!$B$7:$B$1000,Settings!$B$15))),""))</f>
        <v/>
      </c>
      <c r="AK56" s="37" t="str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Economics'!$B$7:$B$1000,Settings!$B$15))),""))</f>
        <v/>
      </c>
      <c r="AL56" s="37" t="str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Economics'!$B$7:$B$1000,Settings!$B$15))),""))</f>
        <v/>
      </c>
      <c r="AM56" s="37" t="str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Economics'!$B$7:$B$1000,Settings!$B$15))),""))</f>
        <v/>
      </c>
    </row>
    <row r="57" customFormat="false" ht="15" hidden="false" customHeight="false" outlineLevel="0" collapsed="false">
      <c r="A57" s="36" t="str">
        <f aca="false">IF('Raw data'!$A57="","",'Raw data'!$A57)</f>
        <v/>
      </c>
      <c r="B57" s="36" t="str">
        <f aca="false">IF($A57="","",'Raw data'!$C57)</f>
        <v/>
      </c>
      <c r="C57" s="36" t="str">
        <f aca="false">IF($A57="","",IF('Raw data'!$D57="",$A57,'Raw data'!$D57))</f>
        <v/>
      </c>
      <c r="D57" s="37" t="str">
        <f aca="false">IF($A57="","",IF(AND(ISNUMBER(P57),ISNUMBER(AB57)),P57+AB57,""))</f>
        <v/>
      </c>
      <c r="E57" s="37" t="str">
        <f aca="false">IF($A57="","",IF(AND(ISNUMBER(Q57),ISNUMBER(AC57)),Q57+AC57,""))</f>
        <v/>
      </c>
      <c r="F57" s="37" t="str">
        <f aca="false">IF($A57="","",IF(AND(ISNUMBER(R57),ISNUMBER(AD57)),R57+AD57,""))</f>
        <v/>
      </c>
      <c r="G57" s="37" t="str">
        <f aca="false">IF($A57="","",IF(AND(ISNUMBER(S57),ISNUMBER(AE57)),S57+AE57,""))</f>
        <v/>
      </c>
      <c r="H57" s="37" t="str">
        <f aca="false">IF($A57="","",IF(AND(ISNUMBER(T57),ISNUMBER(AF57)),T57+AF57,""))</f>
        <v/>
      </c>
      <c r="I57" s="37" t="str">
        <f aca="false">IF($A57="","",IF(AND(ISNUMBER(U57),ISNUMBER(AG57)),U57+AG57,""))</f>
        <v/>
      </c>
      <c r="J57" s="37" t="str">
        <f aca="false">IF($A57="","",IF(AND(ISNUMBER(V57),ISNUMBER(AH57)),V57+AH57,""))</f>
        <v/>
      </c>
      <c r="K57" s="37" t="str">
        <f aca="false">IF($A57="","",IF(AND(ISNUMBER(W57),ISNUMBER(AI57)),W57+AI57,""))</f>
        <v/>
      </c>
      <c r="L57" s="37" t="str">
        <f aca="false">IF($A57="","",IF(AND(ISNUMBER(X57),ISNUMBER(AJ57)),X57+AJ57,""))</f>
        <v/>
      </c>
      <c r="M57" s="37" t="str">
        <f aca="false">IF($A57="","",IF(AND(ISNUMBER(Y57),ISNUMBER(AK57)),Y57+AK57,""))</f>
        <v/>
      </c>
      <c r="N57" s="37" t="str">
        <f aca="false">IF($A57="","",IF(AND(ISNUMBER(Z57),ISNUMBER(AL57)),Z57+AL57,""))</f>
        <v/>
      </c>
      <c r="O57" s="37" t="str">
        <f aca="false">IF($A57="","",IF(AND(ISNUMBER(AA57),ISNUMBER(AM57)),AA57+AM57,""))</f>
        <v/>
      </c>
      <c r="P57" s="37" t="str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Economics'!$B$7:$B$1000,Settings!$B$16))),""))</f>
        <v/>
      </c>
      <c r="Q57" s="37" t="str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Economics'!$B$7:$B$1000,Settings!$B$16))),""))</f>
        <v/>
      </c>
      <c r="R57" s="37" t="str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Economics'!$B$7:$B$1000,Settings!$B$16))),""))</f>
        <v/>
      </c>
      <c r="S57" s="37" t="str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Economics'!$B$7:$B$1000,Settings!$B$16))),""))</f>
        <v/>
      </c>
      <c r="T57" s="37" t="str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Economics'!$B$7:$B$1000,Settings!$B$16))),""))</f>
        <v/>
      </c>
      <c r="U57" s="37" t="str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Economics'!$B$7:$B$1000,Settings!$B$16))),""))</f>
        <v/>
      </c>
      <c r="V57" s="37" t="str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Economics'!$B$7:$B$1000,Settings!$B$16))),""))</f>
        <v/>
      </c>
      <c r="W57" s="37" t="str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Economics'!$B$7:$B$1000,Settings!$B$16))),""))</f>
        <v/>
      </c>
      <c r="X57" s="37" t="str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Economics'!$B$7:$B$1000,Settings!$B$16))),""))</f>
        <v/>
      </c>
      <c r="Y57" s="37" t="str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Economics'!$B$7:$B$1000,Settings!$B$16))),""))</f>
        <v/>
      </c>
      <c r="Z57" s="37" t="str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Economics'!$B$7:$B$1000,Settings!$B$16))),""))</f>
        <v/>
      </c>
      <c r="AA57" s="37" t="str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Economics'!$B$7:$B$1000,Settings!$B$16))),""))</f>
        <v/>
      </c>
      <c r="AB57" s="37" t="str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Economics'!$B$7:$B$1000,Settings!$B$15))),""))</f>
        <v/>
      </c>
      <c r="AC57" s="37" t="str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Economics'!$B$7:$B$1000,Settings!$B$15))),""))</f>
        <v/>
      </c>
      <c r="AD57" s="37" t="str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Economics'!$B$7:$B$1000,Settings!$B$15))),""))</f>
        <v/>
      </c>
      <c r="AE57" s="37" t="str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Economics'!$B$7:$B$1000,Settings!$B$15))),""))</f>
        <v/>
      </c>
      <c r="AF57" s="37" t="str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Economics'!$B$7:$B$1000,Settings!$B$15))),""))</f>
        <v/>
      </c>
      <c r="AG57" s="37" t="str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Economics'!$B$7:$B$1000,Settings!$B$15))),""))</f>
        <v/>
      </c>
      <c r="AH57" s="37" t="str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Economics'!$B$7:$B$1000,Settings!$B$15))),""))</f>
        <v/>
      </c>
      <c r="AI57" s="37" t="str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Economics'!$B$7:$B$1000,Settings!$B$15))),""))</f>
        <v/>
      </c>
      <c r="AJ57" s="37" t="str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Economics'!$B$7:$B$1000,Settings!$B$15))),""))</f>
        <v/>
      </c>
      <c r="AK57" s="37" t="str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Economics'!$B$7:$B$1000,Settings!$B$15))),""))</f>
        <v/>
      </c>
      <c r="AL57" s="37" t="str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Economics'!$B$7:$B$1000,Settings!$B$15))),""))</f>
        <v/>
      </c>
      <c r="AM57" s="37" t="str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Economics'!$B$7:$B$1000,Settings!$B$15))),""))</f>
        <v/>
      </c>
    </row>
    <row r="58" customFormat="false" ht="15" hidden="false" customHeight="false" outlineLevel="0" collapsed="false">
      <c r="A58" s="36" t="str">
        <f aca="false">IF('Raw data'!$A58="","",'Raw data'!$A58)</f>
        <v/>
      </c>
      <c r="B58" s="36" t="str">
        <f aca="false">IF($A58="","",'Raw data'!$C58)</f>
        <v/>
      </c>
      <c r="C58" s="36" t="str">
        <f aca="false">IF($A58="","",IF('Raw data'!$D58="",$A58,'Raw data'!$D58))</f>
        <v/>
      </c>
      <c r="D58" s="37" t="str">
        <f aca="false">IF($A58="","",IF(AND(ISNUMBER(P58),ISNUMBER(AB58)),P58+AB58,""))</f>
        <v/>
      </c>
      <c r="E58" s="37" t="str">
        <f aca="false">IF($A58="","",IF(AND(ISNUMBER(Q58),ISNUMBER(AC58)),Q58+AC58,""))</f>
        <v/>
      </c>
      <c r="F58" s="37" t="str">
        <f aca="false">IF($A58="","",IF(AND(ISNUMBER(R58),ISNUMBER(AD58)),R58+AD58,""))</f>
        <v/>
      </c>
      <c r="G58" s="37" t="str">
        <f aca="false">IF($A58="","",IF(AND(ISNUMBER(S58),ISNUMBER(AE58)),S58+AE58,""))</f>
        <v/>
      </c>
      <c r="H58" s="37" t="str">
        <f aca="false">IF($A58="","",IF(AND(ISNUMBER(T58),ISNUMBER(AF58)),T58+AF58,""))</f>
        <v/>
      </c>
      <c r="I58" s="37" t="str">
        <f aca="false">IF($A58="","",IF(AND(ISNUMBER(U58),ISNUMBER(AG58)),U58+AG58,""))</f>
        <v/>
      </c>
      <c r="J58" s="37" t="str">
        <f aca="false">IF($A58="","",IF(AND(ISNUMBER(V58),ISNUMBER(AH58)),V58+AH58,""))</f>
        <v/>
      </c>
      <c r="K58" s="37" t="str">
        <f aca="false">IF($A58="","",IF(AND(ISNUMBER(W58),ISNUMBER(AI58)),W58+AI58,""))</f>
        <v/>
      </c>
      <c r="L58" s="37" t="str">
        <f aca="false">IF($A58="","",IF(AND(ISNUMBER(X58),ISNUMBER(AJ58)),X58+AJ58,""))</f>
        <v/>
      </c>
      <c r="M58" s="37" t="str">
        <f aca="false">IF($A58="","",IF(AND(ISNUMBER(Y58),ISNUMBER(AK58)),Y58+AK58,""))</f>
        <v/>
      </c>
      <c r="N58" s="37" t="str">
        <f aca="false">IF($A58="","",IF(AND(ISNUMBER(Z58),ISNUMBER(AL58)),Z58+AL58,""))</f>
        <v/>
      </c>
      <c r="O58" s="37" t="str">
        <f aca="false">IF($A58="","",IF(AND(ISNUMBER(AA58),ISNUMBER(AM58)),AA58+AM58,""))</f>
        <v/>
      </c>
      <c r="P58" s="37" t="str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Economics'!$B$7:$B$1000,Settings!$B$16))),""))</f>
        <v/>
      </c>
      <c r="Q58" s="37" t="str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Economics'!$B$7:$B$1000,Settings!$B$16))),""))</f>
        <v/>
      </c>
      <c r="R58" s="37" t="str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Economics'!$B$7:$B$1000,Settings!$B$16))),""))</f>
        <v/>
      </c>
      <c r="S58" s="37" t="str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Economics'!$B$7:$B$1000,Settings!$B$16))),""))</f>
        <v/>
      </c>
      <c r="T58" s="37" t="str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Economics'!$B$7:$B$1000,Settings!$B$16))),""))</f>
        <v/>
      </c>
      <c r="U58" s="37" t="str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Economics'!$B$7:$B$1000,Settings!$B$16))),""))</f>
        <v/>
      </c>
      <c r="V58" s="37" t="str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Economics'!$B$7:$B$1000,Settings!$B$16))),""))</f>
        <v/>
      </c>
      <c r="W58" s="37" t="str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Economics'!$B$7:$B$1000,Settings!$B$16))),""))</f>
        <v/>
      </c>
      <c r="X58" s="37" t="str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Economics'!$B$7:$B$1000,Settings!$B$16))),""))</f>
        <v/>
      </c>
      <c r="Y58" s="37" t="str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Economics'!$B$7:$B$1000,Settings!$B$16))),""))</f>
        <v/>
      </c>
      <c r="Z58" s="37" t="str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Economics'!$B$7:$B$1000,Settings!$B$16))),""))</f>
        <v/>
      </c>
      <c r="AA58" s="37" t="str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Economics'!$B$7:$B$1000,Settings!$B$16))),""))</f>
        <v/>
      </c>
      <c r="AB58" s="37" t="str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Economics'!$B$7:$B$1000,Settings!$B$15))),""))</f>
        <v/>
      </c>
      <c r="AC58" s="37" t="str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Economics'!$B$7:$B$1000,Settings!$B$15))),""))</f>
        <v/>
      </c>
      <c r="AD58" s="37" t="str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Economics'!$B$7:$B$1000,Settings!$B$15))),""))</f>
        <v/>
      </c>
      <c r="AE58" s="37" t="str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Economics'!$B$7:$B$1000,Settings!$B$15))),""))</f>
        <v/>
      </c>
      <c r="AF58" s="37" t="str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Economics'!$B$7:$B$1000,Settings!$B$15))),""))</f>
        <v/>
      </c>
      <c r="AG58" s="37" t="str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Economics'!$B$7:$B$1000,Settings!$B$15))),""))</f>
        <v/>
      </c>
      <c r="AH58" s="37" t="str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Economics'!$B$7:$B$1000,Settings!$B$15))),""))</f>
        <v/>
      </c>
      <c r="AI58" s="37" t="str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Economics'!$B$7:$B$1000,Settings!$B$15))),""))</f>
        <v/>
      </c>
      <c r="AJ58" s="37" t="str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Economics'!$B$7:$B$1000,Settings!$B$15))),""))</f>
        <v/>
      </c>
      <c r="AK58" s="37" t="str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Economics'!$B$7:$B$1000,Settings!$B$15))),""))</f>
        <v/>
      </c>
      <c r="AL58" s="37" t="str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Economics'!$B$7:$B$1000,Settings!$B$15))),""))</f>
        <v/>
      </c>
      <c r="AM58" s="37" t="str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Economics'!$B$7:$B$1000,Settings!$B$15))),""))</f>
        <v/>
      </c>
    </row>
    <row r="59" customFormat="false" ht="15" hidden="false" customHeight="false" outlineLevel="0" collapsed="false">
      <c r="A59" s="36" t="str">
        <f aca="false">IF('Raw data'!$A59="","",'Raw data'!$A59)</f>
        <v/>
      </c>
      <c r="B59" s="36" t="str">
        <f aca="false">IF($A59="","",'Raw data'!$C59)</f>
        <v/>
      </c>
      <c r="C59" s="36" t="str">
        <f aca="false">IF($A59="","",IF('Raw data'!$D59="",$A59,'Raw data'!$D59))</f>
        <v/>
      </c>
      <c r="D59" s="37" t="str">
        <f aca="false">IF($A59="","",IF(AND(ISNUMBER(P59),ISNUMBER(AB59)),P59+AB59,""))</f>
        <v/>
      </c>
      <c r="E59" s="37" t="str">
        <f aca="false">IF($A59="","",IF(AND(ISNUMBER(Q59),ISNUMBER(AC59)),Q59+AC59,""))</f>
        <v/>
      </c>
      <c r="F59" s="37" t="str">
        <f aca="false">IF($A59="","",IF(AND(ISNUMBER(R59),ISNUMBER(AD59)),R59+AD59,""))</f>
        <v/>
      </c>
      <c r="G59" s="37" t="str">
        <f aca="false">IF($A59="","",IF(AND(ISNUMBER(S59),ISNUMBER(AE59)),S59+AE59,""))</f>
        <v/>
      </c>
      <c r="H59" s="37" t="str">
        <f aca="false">IF($A59="","",IF(AND(ISNUMBER(T59),ISNUMBER(AF59)),T59+AF59,""))</f>
        <v/>
      </c>
      <c r="I59" s="37" t="str">
        <f aca="false">IF($A59="","",IF(AND(ISNUMBER(U59),ISNUMBER(AG59)),U59+AG59,""))</f>
        <v/>
      </c>
      <c r="J59" s="37" t="str">
        <f aca="false">IF($A59="","",IF(AND(ISNUMBER(V59),ISNUMBER(AH59)),V59+AH59,""))</f>
        <v/>
      </c>
      <c r="K59" s="37" t="str">
        <f aca="false">IF($A59="","",IF(AND(ISNUMBER(W59),ISNUMBER(AI59)),W59+AI59,""))</f>
        <v/>
      </c>
      <c r="L59" s="37" t="str">
        <f aca="false">IF($A59="","",IF(AND(ISNUMBER(X59),ISNUMBER(AJ59)),X59+AJ59,""))</f>
        <v/>
      </c>
      <c r="M59" s="37" t="str">
        <f aca="false">IF($A59="","",IF(AND(ISNUMBER(Y59),ISNUMBER(AK59)),Y59+AK59,""))</f>
        <v/>
      </c>
      <c r="N59" s="37" t="str">
        <f aca="false">IF($A59="","",IF(AND(ISNUMBER(Z59),ISNUMBER(AL59)),Z59+AL59,""))</f>
        <v/>
      </c>
      <c r="O59" s="37" t="str">
        <f aca="false">IF($A59="","",IF(AND(ISNUMBER(AA59),ISNUMBER(AM59)),AA59+AM59,""))</f>
        <v/>
      </c>
      <c r="P59" s="37" t="str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Economics'!$B$7:$B$1000,Settings!$B$16))),""))</f>
        <v/>
      </c>
      <c r="Q59" s="37" t="str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Economics'!$B$7:$B$1000,Settings!$B$16))),""))</f>
        <v/>
      </c>
      <c r="R59" s="37" t="str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Economics'!$B$7:$B$1000,Settings!$B$16))),""))</f>
        <v/>
      </c>
      <c r="S59" s="37" t="str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Economics'!$B$7:$B$1000,Settings!$B$16))),""))</f>
        <v/>
      </c>
      <c r="T59" s="37" t="str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Economics'!$B$7:$B$1000,Settings!$B$16))),""))</f>
        <v/>
      </c>
      <c r="U59" s="37" t="str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Economics'!$B$7:$B$1000,Settings!$B$16))),""))</f>
        <v/>
      </c>
      <c r="V59" s="37" t="str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Economics'!$B$7:$B$1000,Settings!$B$16))),""))</f>
        <v/>
      </c>
      <c r="W59" s="37" t="str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Economics'!$B$7:$B$1000,Settings!$B$16))),""))</f>
        <v/>
      </c>
      <c r="X59" s="37" t="str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Economics'!$B$7:$B$1000,Settings!$B$16))),""))</f>
        <v/>
      </c>
      <c r="Y59" s="37" t="str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Economics'!$B$7:$B$1000,Settings!$B$16))),""))</f>
        <v/>
      </c>
      <c r="Z59" s="37" t="str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Economics'!$B$7:$B$1000,Settings!$B$16))),""))</f>
        <v/>
      </c>
      <c r="AA59" s="37" t="str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Economics'!$B$7:$B$1000,Settings!$B$16))),""))</f>
        <v/>
      </c>
      <c r="AB59" s="37" t="str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Economics'!$B$7:$B$1000,Settings!$B$15))),""))</f>
        <v/>
      </c>
      <c r="AC59" s="37" t="str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Economics'!$B$7:$B$1000,Settings!$B$15))),""))</f>
        <v/>
      </c>
      <c r="AD59" s="37" t="str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Economics'!$B$7:$B$1000,Settings!$B$15))),""))</f>
        <v/>
      </c>
      <c r="AE59" s="37" t="str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Economics'!$B$7:$B$1000,Settings!$B$15))),""))</f>
        <v/>
      </c>
      <c r="AF59" s="37" t="str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Economics'!$B$7:$B$1000,Settings!$B$15))),""))</f>
        <v/>
      </c>
      <c r="AG59" s="37" t="str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Economics'!$B$7:$B$1000,Settings!$B$15))),""))</f>
        <v/>
      </c>
      <c r="AH59" s="37" t="str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Economics'!$B$7:$B$1000,Settings!$B$15))),""))</f>
        <v/>
      </c>
      <c r="AI59" s="37" t="str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Economics'!$B$7:$B$1000,Settings!$B$15))),""))</f>
        <v/>
      </c>
      <c r="AJ59" s="37" t="str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Economics'!$B$7:$B$1000,Settings!$B$15))),""))</f>
        <v/>
      </c>
      <c r="AK59" s="37" t="str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Economics'!$B$7:$B$1000,Settings!$B$15))),""))</f>
        <v/>
      </c>
      <c r="AL59" s="37" t="str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Economics'!$B$7:$B$1000,Settings!$B$15))),""))</f>
        <v/>
      </c>
      <c r="AM59" s="37" t="str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Economics'!$B$7:$B$1000,Settings!$B$15))),""))</f>
        <v/>
      </c>
    </row>
    <row r="60" customFormat="false" ht="15" hidden="false" customHeight="false" outlineLevel="0" collapsed="false">
      <c r="A60" s="36" t="str">
        <f aca="false">IF('Raw data'!$A60="","",'Raw data'!$A60)</f>
        <v/>
      </c>
      <c r="B60" s="36" t="str">
        <f aca="false">IF($A60="","",'Raw data'!$C60)</f>
        <v/>
      </c>
      <c r="C60" s="36" t="str">
        <f aca="false">IF($A60="","",IF('Raw data'!$D60="",$A60,'Raw data'!$D60))</f>
        <v/>
      </c>
      <c r="D60" s="37" t="str">
        <f aca="false">IF($A60="","",IF(AND(ISNUMBER(P60),ISNUMBER(AB60)),P60+AB60,""))</f>
        <v/>
      </c>
      <c r="E60" s="37" t="str">
        <f aca="false">IF($A60="","",IF(AND(ISNUMBER(Q60),ISNUMBER(AC60)),Q60+AC60,""))</f>
        <v/>
      </c>
      <c r="F60" s="37" t="str">
        <f aca="false">IF($A60="","",IF(AND(ISNUMBER(R60),ISNUMBER(AD60)),R60+AD60,""))</f>
        <v/>
      </c>
      <c r="G60" s="37" t="str">
        <f aca="false">IF($A60="","",IF(AND(ISNUMBER(S60),ISNUMBER(AE60)),S60+AE60,""))</f>
        <v/>
      </c>
      <c r="H60" s="37" t="str">
        <f aca="false">IF($A60="","",IF(AND(ISNUMBER(T60),ISNUMBER(AF60)),T60+AF60,""))</f>
        <v/>
      </c>
      <c r="I60" s="37" t="str">
        <f aca="false">IF($A60="","",IF(AND(ISNUMBER(U60),ISNUMBER(AG60)),U60+AG60,""))</f>
        <v/>
      </c>
      <c r="J60" s="37" t="str">
        <f aca="false">IF($A60="","",IF(AND(ISNUMBER(V60),ISNUMBER(AH60)),V60+AH60,""))</f>
        <v/>
      </c>
      <c r="K60" s="37" t="str">
        <f aca="false">IF($A60="","",IF(AND(ISNUMBER(W60),ISNUMBER(AI60)),W60+AI60,""))</f>
        <v/>
      </c>
      <c r="L60" s="37" t="str">
        <f aca="false">IF($A60="","",IF(AND(ISNUMBER(X60),ISNUMBER(AJ60)),X60+AJ60,""))</f>
        <v/>
      </c>
      <c r="M60" s="37" t="str">
        <f aca="false">IF($A60="","",IF(AND(ISNUMBER(Y60),ISNUMBER(AK60)),Y60+AK60,""))</f>
        <v/>
      </c>
      <c r="N60" s="37" t="str">
        <f aca="false">IF($A60="","",IF(AND(ISNUMBER(Z60),ISNUMBER(AL60)),Z60+AL60,""))</f>
        <v/>
      </c>
      <c r="O60" s="37" t="str">
        <f aca="false">IF($A60="","",IF(AND(ISNUMBER(AA60),ISNUMBER(AM60)),AA60+AM60,""))</f>
        <v/>
      </c>
      <c r="P60" s="37" t="str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Economics'!$B$7:$B$1000,Settings!$B$16))),""))</f>
        <v/>
      </c>
      <c r="Q60" s="37" t="str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Economics'!$B$7:$B$1000,Settings!$B$16))),""))</f>
        <v/>
      </c>
      <c r="R60" s="37" t="str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Economics'!$B$7:$B$1000,Settings!$B$16))),""))</f>
        <v/>
      </c>
      <c r="S60" s="37" t="str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Economics'!$B$7:$B$1000,Settings!$B$16))),""))</f>
        <v/>
      </c>
      <c r="T60" s="37" t="str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Economics'!$B$7:$B$1000,Settings!$B$16))),""))</f>
        <v/>
      </c>
      <c r="U60" s="37" t="str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Economics'!$B$7:$B$1000,Settings!$B$16))),""))</f>
        <v/>
      </c>
      <c r="V60" s="37" t="str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Economics'!$B$7:$B$1000,Settings!$B$16))),""))</f>
        <v/>
      </c>
      <c r="W60" s="37" t="str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Economics'!$B$7:$B$1000,Settings!$B$16))),""))</f>
        <v/>
      </c>
      <c r="X60" s="37" t="str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Economics'!$B$7:$B$1000,Settings!$B$16))),""))</f>
        <v/>
      </c>
      <c r="Y60" s="37" t="str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Economics'!$B$7:$B$1000,Settings!$B$16))),""))</f>
        <v/>
      </c>
      <c r="Z60" s="37" t="str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Economics'!$B$7:$B$1000,Settings!$B$16))),""))</f>
        <v/>
      </c>
      <c r="AA60" s="37" t="str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Economics'!$B$7:$B$1000,Settings!$B$16))),""))</f>
        <v/>
      </c>
      <c r="AB60" s="37" t="str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Economics'!$B$7:$B$1000,Settings!$B$15))),""))</f>
        <v/>
      </c>
      <c r="AC60" s="37" t="str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Economics'!$B$7:$B$1000,Settings!$B$15))),""))</f>
        <v/>
      </c>
      <c r="AD60" s="37" t="str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Economics'!$B$7:$B$1000,Settings!$B$15))),""))</f>
        <v/>
      </c>
      <c r="AE60" s="37" t="str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Economics'!$B$7:$B$1000,Settings!$B$15))),""))</f>
        <v/>
      </c>
      <c r="AF60" s="37" t="str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Economics'!$B$7:$B$1000,Settings!$B$15))),""))</f>
        <v/>
      </c>
      <c r="AG60" s="37" t="str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Economics'!$B$7:$B$1000,Settings!$B$15))),""))</f>
        <v/>
      </c>
      <c r="AH60" s="37" t="str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Economics'!$B$7:$B$1000,Settings!$B$15))),""))</f>
        <v/>
      </c>
      <c r="AI60" s="37" t="str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Economics'!$B$7:$B$1000,Settings!$B$15))),""))</f>
        <v/>
      </c>
      <c r="AJ60" s="37" t="str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Economics'!$B$7:$B$1000,Settings!$B$15))),""))</f>
        <v/>
      </c>
      <c r="AK60" s="37" t="str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Economics'!$B$7:$B$1000,Settings!$B$15))),""))</f>
        <v/>
      </c>
      <c r="AL60" s="37" t="str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Economics'!$B$7:$B$1000,Settings!$B$15))),""))</f>
        <v/>
      </c>
      <c r="AM60" s="37" t="str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Economics'!$B$7:$B$1000,Settings!$B$15))),""))</f>
        <v/>
      </c>
    </row>
    <row r="61" customFormat="false" ht="15" hidden="false" customHeight="false" outlineLevel="0" collapsed="false">
      <c r="A61" s="36" t="str">
        <f aca="false">IF('Raw data'!$A61="","",'Raw data'!$A61)</f>
        <v/>
      </c>
      <c r="B61" s="36" t="str">
        <f aca="false">IF($A61="","",'Raw data'!$C61)</f>
        <v/>
      </c>
      <c r="C61" s="36" t="str">
        <f aca="false">IF($A61="","",IF('Raw data'!$D61="",$A61,'Raw data'!$D61))</f>
        <v/>
      </c>
      <c r="D61" s="37" t="str">
        <f aca="false">IF($A61="","",IF(AND(ISNUMBER(P61),ISNUMBER(AB61)),P61+AB61,""))</f>
        <v/>
      </c>
      <c r="E61" s="37" t="str">
        <f aca="false">IF($A61="","",IF(AND(ISNUMBER(Q61),ISNUMBER(AC61)),Q61+AC61,""))</f>
        <v/>
      </c>
      <c r="F61" s="37" t="str">
        <f aca="false">IF($A61="","",IF(AND(ISNUMBER(R61),ISNUMBER(AD61)),R61+AD61,""))</f>
        <v/>
      </c>
      <c r="G61" s="37" t="str">
        <f aca="false">IF($A61="","",IF(AND(ISNUMBER(S61),ISNUMBER(AE61)),S61+AE61,""))</f>
        <v/>
      </c>
      <c r="H61" s="37" t="str">
        <f aca="false">IF($A61="","",IF(AND(ISNUMBER(T61),ISNUMBER(AF61)),T61+AF61,""))</f>
        <v/>
      </c>
      <c r="I61" s="37" t="str">
        <f aca="false">IF($A61="","",IF(AND(ISNUMBER(U61),ISNUMBER(AG61)),U61+AG61,""))</f>
        <v/>
      </c>
      <c r="J61" s="37" t="str">
        <f aca="false">IF($A61="","",IF(AND(ISNUMBER(V61),ISNUMBER(AH61)),V61+AH61,""))</f>
        <v/>
      </c>
      <c r="K61" s="37" t="str">
        <f aca="false">IF($A61="","",IF(AND(ISNUMBER(W61),ISNUMBER(AI61)),W61+AI61,""))</f>
        <v/>
      </c>
      <c r="L61" s="37" t="str">
        <f aca="false">IF($A61="","",IF(AND(ISNUMBER(X61),ISNUMBER(AJ61)),X61+AJ61,""))</f>
        <v/>
      </c>
      <c r="M61" s="37" t="str">
        <f aca="false">IF($A61="","",IF(AND(ISNUMBER(Y61),ISNUMBER(AK61)),Y61+AK61,""))</f>
        <v/>
      </c>
      <c r="N61" s="37" t="str">
        <f aca="false">IF($A61="","",IF(AND(ISNUMBER(Z61),ISNUMBER(AL61)),Z61+AL61,""))</f>
        <v/>
      </c>
      <c r="O61" s="37" t="str">
        <f aca="false">IF($A61="","",IF(AND(ISNUMBER(AA61),ISNUMBER(AM61)),AA61+AM61,""))</f>
        <v/>
      </c>
      <c r="P61" s="37" t="str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Economics'!$B$7:$B$1000,Settings!$B$16))),""))</f>
        <v/>
      </c>
      <c r="Q61" s="37" t="str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Economics'!$B$7:$B$1000,Settings!$B$16))),""))</f>
        <v/>
      </c>
      <c r="R61" s="37" t="str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Economics'!$B$7:$B$1000,Settings!$B$16))),""))</f>
        <v/>
      </c>
      <c r="S61" s="37" t="str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Economics'!$B$7:$B$1000,Settings!$B$16))),""))</f>
        <v/>
      </c>
      <c r="T61" s="37" t="str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Economics'!$B$7:$B$1000,Settings!$B$16))),""))</f>
        <v/>
      </c>
      <c r="U61" s="37" t="str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Economics'!$B$7:$B$1000,Settings!$B$16))),""))</f>
        <v/>
      </c>
      <c r="V61" s="37" t="str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Economics'!$B$7:$B$1000,Settings!$B$16))),""))</f>
        <v/>
      </c>
      <c r="W61" s="37" t="str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Economics'!$B$7:$B$1000,Settings!$B$16))),""))</f>
        <v/>
      </c>
      <c r="X61" s="37" t="str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Economics'!$B$7:$B$1000,Settings!$B$16))),""))</f>
        <v/>
      </c>
      <c r="Y61" s="37" t="str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Economics'!$B$7:$B$1000,Settings!$B$16))),""))</f>
        <v/>
      </c>
      <c r="Z61" s="37" t="str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Economics'!$B$7:$B$1000,Settings!$B$16))),""))</f>
        <v/>
      </c>
      <c r="AA61" s="37" t="str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Economics'!$B$7:$B$1000,Settings!$B$16))),""))</f>
        <v/>
      </c>
      <c r="AB61" s="37" t="str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Economics'!$B$7:$B$1000,Settings!$B$15))),""))</f>
        <v/>
      </c>
      <c r="AC61" s="37" t="str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Economics'!$B$7:$B$1000,Settings!$B$15))),""))</f>
        <v/>
      </c>
      <c r="AD61" s="37" t="str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Economics'!$B$7:$B$1000,Settings!$B$15))),""))</f>
        <v/>
      </c>
      <c r="AE61" s="37" t="str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Economics'!$B$7:$B$1000,Settings!$B$15))),""))</f>
        <v/>
      </c>
      <c r="AF61" s="37" t="str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Economics'!$B$7:$B$1000,Settings!$B$15))),""))</f>
        <v/>
      </c>
      <c r="AG61" s="37" t="str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Economics'!$B$7:$B$1000,Settings!$B$15))),""))</f>
        <v/>
      </c>
      <c r="AH61" s="37" t="str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Economics'!$B$7:$B$1000,Settings!$B$15))),""))</f>
        <v/>
      </c>
      <c r="AI61" s="37" t="str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Economics'!$B$7:$B$1000,Settings!$B$15))),""))</f>
        <v/>
      </c>
      <c r="AJ61" s="37" t="str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Economics'!$B$7:$B$1000,Settings!$B$15))),""))</f>
        <v/>
      </c>
      <c r="AK61" s="37" t="str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Economics'!$B$7:$B$1000,Settings!$B$15))),""))</f>
        <v/>
      </c>
      <c r="AL61" s="37" t="str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Economics'!$B$7:$B$1000,Settings!$B$15))),""))</f>
        <v/>
      </c>
      <c r="AM61" s="37" t="str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Economics'!$B$7:$B$1000,Settings!$B$15))),""))</f>
        <v/>
      </c>
    </row>
    <row r="62" customFormat="false" ht="15" hidden="false" customHeight="false" outlineLevel="0" collapsed="false">
      <c r="A62" s="36" t="str">
        <f aca="false">IF('Raw data'!$A62="","",'Raw data'!$A62)</f>
        <v/>
      </c>
      <c r="B62" s="36" t="str">
        <f aca="false">IF($A62="","",'Raw data'!$C62)</f>
        <v/>
      </c>
      <c r="C62" s="36" t="str">
        <f aca="false">IF($A62="","",IF('Raw data'!$D62="",$A62,'Raw data'!$D62))</f>
        <v/>
      </c>
      <c r="D62" s="37" t="str">
        <f aca="false">IF($A62="","",IF(AND(ISNUMBER(P62),ISNUMBER(AB62)),P62+AB62,""))</f>
        <v/>
      </c>
      <c r="E62" s="37" t="str">
        <f aca="false">IF($A62="","",IF(AND(ISNUMBER(Q62),ISNUMBER(AC62)),Q62+AC62,""))</f>
        <v/>
      </c>
      <c r="F62" s="37" t="str">
        <f aca="false">IF($A62="","",IF(AND(ISNUMBER(R62),ISNUMBER(AD62)),R62+AD62,""))</f>
        <v/>
      </c>
      <c r="G62" s="37" t="str">
        <f aca="false">IF($A62="","",IF(AND(ISNUMBER(S62),ISNUMBER(AE62)),S62+AE62,""))</f>
        <v/>
      </c>
      <c r="H62" s="37" t="str">
        <f aca="false">IF($A62="","",IF(AND(ISNUMBER(T62),ISNUMBER(AF62)),T62+AF62,""))</f>
        <v/>
      </c>
      <c r="I62" s="37" t="str">
        <f aca="false">IF($A62="","",IF(AND(ISNUMBER(U62),ISNUMBER(AG62)),U62+AG62,""))</f>
        <v/>
      </c>
      <c r="J62" s="37" t="str">
        <f aca="false">IF($A62="","",IF(AND(ISNUMBER(V62),ISNUMBER(AH62)),V62+AH62,""))</f>
        <v/>
      </c>
      <c r="K62" s="37" t="str">
        <f aca="false">IF($A62="","",IF(AND(ISNUMBER(W62),ISNUMBER(AI62)),W62+AI62,""))</f>
        <v/>
      </c>
      <c r="L62" s="37" t="str">
        <f aca="false">IF($A62="","",IF(AND(ISNUMBER(X62),ISNUMBER(AJ62)),X62+AJ62,""))</f>
        <v/>
      </c>
      <c r="M62" s="37" t="str">
        <f aca="false">IF($A62="","",IF(AND(ISNUMBER(Y62),ISNUMBER(AK62)),Y62+AK62,""))</f>
        <v/>
      </c>
      <c r="N62" s="37" t="str">
        <f aca="false">IF($A62="","",IF(AND(ISNUMBER(Z62),ISNUMBER(AL62)),Z62+AL62,""))</f>
        <v/>
      </c>
      <c r="O62" s="37" t="str">
        <f aca="false">IF($A62="","",IF(AND(ISNUMBER(AA62),ISNUMBER(AM62)),AA62+AM62,""))</f>
        <v/>
      </c>
      <c r="P62" s="37" t="str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Economics'!$B$7:$B$1000,Settings!$B$16))),""))</f>
        <v/>
      </c>
      <c r="Q62" s="37" t="str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Economics'!$B$7:$B$1000,Settings!$B$16))),""))</f>
        <v/>
      </c>
      <c r="R62" s="37" t="str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Economics'!$B$7:$B$1000,Settings!$B$16))),""))</f>
        <v/>
      </c>
      <c r="S62" s="37" t="str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Economics'!$B$7:$B$1000,Settings!$B$16))),""))</f>
        <v/>
      </c>
      <c r="T62" s="37" t="str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Economics'!$B$7:$B$1000,Settings!$B$16))),""))</f>
        <v/>
      </c>
      <c r="U62" s="37" t="str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Economics'!$B$7:$B$1000,Settings!$B$16))),""))</f>
        <v/>
      </c>
      <c r="V62" s="37" t="str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Economics'!$B$7:$B$1000,Settings!$B$16))),""))</f>
        <v/>
      </c>
      <c r="W62" s="37" t="str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Economics'!$B$7:$B$1000,Settings!$B$16))),""))</f>
        <v/>
      </c>
      <c r="X62" s="37" t="str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Economics'!$B$7:$B$1000,Settings!$B$16))),""))</f>
        <v/>
      </c>
      <c r="Y62" s="37" t="str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Economics'!$B$7:$B$1000,Settings!$B$16))),""))</f>
        <v/>
      </c>
      <c r="Z62" s="37" t="str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Economics'!$B$7:$B$1000,Settings!$B$16))),""))</f>
        <v/>
      </c>
      <c r="AA62" s="37" t="str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Economics'!$B$7:$B$1000,Settings!$B$16))),""))</f>
        <v/>
      </c>
      <c r="AB62" s="37" t="str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Economics'!$B$7:$B$1000,Settings!$B$15))),""))</f>
        <v/>
      </c>
      <c r="AC62" s="37" t="str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Economics'!$B$7:$B$1000,Settings!$B$15))),""))</f>
        <v/>
      </c>
      <c r="AD62" s="37" t="str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Economics'!$B$7:$B$1000,Settings!$B$15))),""))</f>
        <v/>
      </c>
      <c r="AE62" s="37" t="str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Economics'!$B$7:$B$1000,Settings!$B$15))),""))</f>
        <v/>
      </c>
      <c r="AF62" s="37" t="str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Economics'!$B$7:$B$1000,Settings!$B$15))),""))</f>
        <v/>
      </c>
      <c r="AG62" s="37" t="str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Economics'!$B$7:$B$1000,Settings!$B$15))),""))</f>
        <v/>
      </c>
      <c r="AH62" s="37" t="str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Economics'!$B$7:$B$1000,Settings!$B$15))),""))</f>
        <v/>
      </c>
      <c r="AI62" s="37" t="str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Economics'!$B$7:$B$1000,Settings!$B$15))),""))</f>
        <v/>
      </c>
      <c r="AJ62" s="37" t="str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Economics'!$B$7:$B$1000,Settings!$B$15))),""))</f>
        <v/>
      </c>
      <c r="AK62" s="37" t="str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Economics'!$B$7:$B$1000,Settings!$B$15))),""))</f>
        <v/>
      </c>
      <c r="AL62" s="37" t="str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Economics'!$B$7:$B$1000,Settings!$B$15))),""))</f>
        <v/>
      </c>
      <c r="AM62" s="37" t="str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Economics'!$B$7:$B$1000,Settings!$B$15))),""))</f>
        <v/>
      </c>
    </row>
    <row r="63" customFormat="false" ht="15" hidden="false" customHeight="false" outlineLevel="0" collapsed="false">
      <c r="A63" s="36" t="str">
        <f aca="false">IF('Raw data'!$A63="","",'Raw data'!$A63)</f>
        <v/>
      </c>
      <c r="B63" s="36" t="str">
        <f aca="false">IF($A63="","",'Raw data'!$C63)</f>
        <v/>
      </c>
      <c r="C63" s="36" t="str">
        <f aca="false">IF($A63="","",IF('Raw data'!$D63="",$A63,'Raw data'!$D63))</f>
        <v/>
      </c>
      <c r="D63" s="37" t="str">
        <f aca="false">IF($A63="","",IF(AND(ISNUMBER(P63),ISNUMBER(AB63)),P63+AB63,""))</f>
        <v/>
      </c>
      <c r="E63" s="37" t="str">
        <f aca="false">IF($A63="","",IF(AND(ISNUMBER(Q63),ISNUMBER(AC63)),Q63+AC63,""))</f>
        <v/>
      </c>
      <c r="F63" s="37" t="str">
        <f aca="false">IF($A63="","",IF(AND(ISNUMBER(R63),ISNUMBER(AD63)),R63+AD63,""))</f>
        <v/>
      </c>
      <c r="G63" s="37" t="str">
        <f aca="false">IF($A63="","",IF(AND(ISNUMBER(S63),ISNUMBER(AE63)),S63+AE63,""))</f>
        <v/>
      </c>
      <c r="H63" s="37" t="str">
        <f aca="false">IF($A63="","",IF(AND(ISNUMBER(T63),ISNUMBER(AF63)),T63+AF63,""))</f>
        <v/>
      </c>
      <c r="I63" s="37" t="str">
        <f aca="false">IF($A63="","",IF(AND(ISNUMBER(U63),ISNUMBER(AG63)),U63+AG63,""))</f>
        <v/>
      </c>
      <c r="J63" s="37" t="str">
        <f aca="false">IF($A63="","",IF(AND(ISNUMBER(V63),ISNUMBER(AH63)),V63+AH63,""))</f>
        <v/>
      </c>
      <c r="K63" s="37" t="str">
        <f aca="false">IF($A63="","",IF(AND(ISNUMBER(W63),ISNUMBER(AI63)),W63+AI63,""))</f>
        <v/>
      </c>
      <c r="L63" s="37" t="str">
        <f aca="false">IF($A63="","",IF(AND(ISNUMBER(X63),ISNUMBER(AJ63)),X63+AJ63,""))</f>
        <v/>
      </c>
      <c r="M63" s="37" t="str">
        <f aca="false">IF($A63="","",IF(AND(ISNUMBER(Y63),ISNUMBER(AK63)),Y63+AK63,""))</f>
        <v/>
      </c>
      <c r="N63" s="37" t="str">
        <f aca="false">IF($A63="","",IF(AND(ISNUMBER(Z63),ISNUMBER(AL63)),Z63+AL63,""))</f>
        <v/>
      </c>
      <c r="O63" s="37" t="str">
        <f aca="false">IF($A63="","",IF(AND(ISNUMBER(AA63),ISNUMBER(AM63)),AA63+AM63,""))</f>
        <v/>
      </c>
      <c r="P63" s="37" t="str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Economics'!$B$7:$B$1000,Settings!$B$16))),""))</f>
        <v/>
      </c>
      <c r="Q63" s="37" t="str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Economics'!$B$7:$B$1000,Settings!$B$16))),""))</f>
        <v/>
      </c>
      <c r="R63" s="37" t="str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Economics'!$B$7:$B$1000,Settings!$B$16))),""))</f>
        <v/>
      </c>
      <c r="S63" s="37" t="str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Economics'!$B$7:$B$1000,Settings!$B$16))),""))</f>
        <v/>
      </c>
      <c r="T63" s="37" t="str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Economics'!$B$7:$B$1000,Settings!$B$16))),""))</f>
        <v/>
      </c>
      <c r="U63" s="37" t="str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Economics'!$B$7:$B$1000,Settings!$B$16))),""))</f>
        <v/>
      </c>
      <c r="V63" s="37" t="str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Economics'!$B$7:$B$1000,Settings!$B$16))),""))</f>
        <v/>
      </c>
      <c r="W63" s="37" t="str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Economics'!$B$7:$B$1000,Settings!$B$16))),""))</f>
        <v/>
      </c>
      <c r="X63" s="37" t="str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Economics'!$B$7:$B$1000,Settings!$B$16))),""))</f>
        <v/>
      </c>
      <c r="Y63" s="37" t="str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Economics'!$B$7:$B$1000,Settings!$B$16))),""))</f>
        <v/>
      </c>
      <c r="Z63" s="37" t="str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Economics'!$B$7:$B$1000,Settings!$B$16))),""))</f>
        <v/>
      </c>
      <c r="AA63" s="37" t="str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Economics'!$B$7:$B$1000,Settings!$B$16))),""))</f>
        <v/>
      </c>
      <c r="AB63" s="37" t="str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Economics'!$B$7:$B$1000,Settings!$B$15))),""))</f>
        <v/>
      </c>
      <c r="AC63" s="37" t="str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Economics'!$B$7:$B$1000,Settings!$B$15))),""))</f>
        <v/>
      </c>
      <c r="AD63" s="37" t="str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Economics'!$B$7:$B$1000,Settings!$B$15))),""))</f>
        <v/>
      </c>
      <c r="AE63" s="37" t="str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Economics'!$B$7:$B$1000,Settings!$B$15))),""))</f>
        <v/>
      </c>
      <c r="AF63" s="37" t="str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Economics'!$B$7:$B$1000,Settings!$B$15))),""))</f>
        <v/>
      </c>
      <c r="AG63" s="37" t="str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Economics'!$B$7:$B$1000,Settings!$B$15))),""))</f>
        <v/>
      </c>
      <c r="AH63" s="37" t="str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Economics'!$B$7:$B$1000,Settings!$B$15))),""))</f>
        <v/>
      </c>
      <c r="AI63" s="37" t="str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Economics'!$B$7:$B$1000,Settings!$B$15))),""))</f>
        <v/>
      </c>
      <c r="AJ63" s="37" t="str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Economics'!$B$7:$B$1000,Settings!$B$15))),""))</f>
        <v/>
      </c>
      <c r="AK63" s="37" t="str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Economics'!$B$7:$B$1000,Settings!$B$15))),""))</f>
        <v/>
      </c>
      <c r="AL63" s="37" t="str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Economics'!$B$7:$B$1000,Settings!$B$15))),""))</f>
        <v/>
      </c>
      <c r="AM63" s="37" t="str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Economics'!$B$7:$B$1000,Settings!$B$15))),""))</f>
        <v/>
      </c>
    </row>
    <row r="64" customFormat="false" ht="15" hidden="false" customHeight="false" outlineLevel="0" collapsed="false">
      <c r="A64" s="36" t="str">
        <f aca="false">IF('Raw data'!$A64="","",'Raw data'!$A64)</f>
        <v/>
      </c>
      <c r="B64" s="36" t="str">
        <f aca="false">IF($A64="","",'Raw data'!$C64)</f>
        <v/>
      </c>
      <c r="C64" s="36" t="str">
        <f aca="false">IF($A64="","",IF('Raw data'!$D64="",$A64,'Raw data'!$D64))</f>
        <v/>
      </c>
      <c r="D64" s="37" t="str">
        <f aca="false">IF($A64="","",IF(AND(ISNUMBER(P64),ISNUMBER(AB64)),P64+AB64,""))</f>
        <v/>
      </c>
      <c r="E64" s="37" t="str">
        <f aca="false">IF($A64="","",IF(AND(ISNUMBER(Q64),ISNUMBER(AC64)),Q64+AC64,""))</f>
        <v/>
      </c>
      <c r="F64" s="37" t="str">
        <f aca="false">IF($A64="","",IF(AND(ISNUMBER(R64),ISNUMBER(AD64)),R64+AD64,""))</f>
        <v/>
      </c>
      <c r="G64" s="37" t="str">
        <f aca="false">IF($A64="","",IF(AND(ISNUMBER(S64),ISNUMBER(AE64)),S64+AE64,""))</f>
        <v/>
      </c>
      <c r="H64" s="37" t="str">
        <f aca="false">IF($A64="","",IF(AND(ISNUMBER(T64),ISNUMBER(AF64)),T64+AF64,""))</f>
        <v/>
      </c>
      <c r="I64" s="37" t="str">
        <f aca="false">IF($A64="","",IF(AND(ISNUMBER(U64),ISNUMBER(AG64)),U64+AG64,""))</f>
        <v/>
      </c>
      <c r="J64" s="37" t="str">
        <f aca="false">IF($A64="","",IF(AND(ISNUMBER(V64),ISNUMBER(AH64)),V64+AH64,""))</f>
        <v/>
      </c>
      <c r="K64" s="37" t="str">
        <f aca="false">IF($A64="","",IF(AND(ISNUMBER(W64),ISNUMBER(AI64)),W64+AI64,""))</f>
        <v/>
      </c>
      <c r="L64" s="37" t="str">
        <f aca="false">IF($A64="","",IF(AND(ISNUMBER(X64),ISNUMBER(AJ64)),X64+AJ64,""))</f>
        <v/>
      </c>
      <c r="M64" s="37" t="str">
        <f aca="false">IF($A64="","",IF(AND(ISNUMBER(Y64),ISNUMBER(AK64)),Y64+AK64,""))</f>
        <v/>
      </c>
      <c r="N64" s="37" t="str">
        <f aca="false">IF($A64="","",IF(AND(ISNUMBER(Z64),ISNUMBER(AL64)),Z64+AL64,""))</f>
        <v/>
      </c>
      <c r="O64" s="37" t="str">
        <f aca="false">IF($A64="","",IF(AND(ISNUMBER(AA64),ISNUMBER(AM64)),AA64+AM64,""))</f>
        <v/>
      </c>
      <c r="P64" s="37" t="str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Economics'!$B$7:$B$1000,Settings!$B$16))),""))</f>
        <v/>
      </c>
      <c r="Q64" s="37" t="str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Economics'!$B$7:$B$1000,Settings!$B$16))),""))</f>
        <v/>
      </c>
      <c r="R64" s="37" t="str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Economics'!$B$7:$B$1000,Settings!$B$16))),""))</f>
        <v/>
      </c>
      <c r="S64" s="37" t="str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Economics'!$B$7:$B$1000,Settings!$B$16))),""))</f>
        <v/>
      </c>
      <c r="T64" s="37" t="str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Economics'!$B$7:$B$1000,Settings!$B$16))),""))</f>
        <v/>
      </c>
      <c r="U64" s="37" t="str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Economics'!$B$7:$B$1000,Settings!$B$16))),""))</f>
        <v/>
      </c>
      <c r="V64" s="37" t="str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Economics'!$B$7:$B$1000,Settings!$B$16))),""))</f>
        <v/>
      </c>
      <c r="W64" s="37" t="str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Economics'!$B$7:$B$1000,Settings!$B$16))),""))</f>
        <v/>
      </c>
      <c r="X64" s="37" t="str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Economics'!$B$7:$B$1000,Settings!$B$16))),""))</f>
        <v/>
      </c>
      <c r="Y64" s="37" t="str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Economics'!$B$7:$B$1000,Settings!$B$16))),""))</f>
        <v/>
      </c>
      <c r="Z64" s="37" t="str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Economics'!$B$7:$B$1000,Settings!$B$16))),""))</f>
        <v/>
      </c>
      <c r="AA64" s="37" t="str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Economics'!$B$7:$B$1000,Settings!$B$16))),""))</f>
        <v/>
      </c>
      <c r="AB64" s="37" t="str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Economics'!$B$7:$B$1000,Settings!$B$15))),""))</f>
        <v/>
      </c>
      <c r="AC64" s="37" t="str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Economics'!$B$7:$B$1000,Settings!$B$15))),""))</f>
        <v/>
      </c>
      <c r="AD64" s="37" t="str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Economics'!$B$7:$B$1000,Settings!$B$15))),""))</f>
        <v/>
      </c>
      <c r="AE64" s="37" t="str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Economics'!$B$7:$B$1000,Settings!$B$15))),""))</f>
        <v/>
      </c>
      <c r="AF64" s="37" t="str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Economics'!$B$7:$B$1000,Settings!$B$15))),""))</f>
        <v/>
      </c>
      <c r="AG64" s="37" t="str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Economics'!$B$7:$B$1000,Settings!$B$15))),""))</f>
        <v/>
      </c>
      <c r="AH64" s="37" t="str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Economics'!$B$7:$B$1000,Settings!$B$15))),""))</f>
        <v/>
      </c>
      <c r="AI64" s="37" t="str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Economics'!$B$7:$B$1000,Settings!$B$15))),""))</f>
        <v/>
      </c>
      <c r="AJ64" s="37" t="str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Economics'!$B$7:$B$1000,Settings!$B$15))),""))</f>
        <v/>
      </c>
      <c r="AK64" s="37" t="str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Economics'!$B$7:$B$1000,Settings!$B$15))),""))</f>
        <v/>
      </c>
      <c r="AL64" s="37" t="str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Economics'!$B$7:$B$1000,Settings!$B$15))),""))</f>
        <v/>
      </c>
      <c r="AM64" s="37" t="str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Economics'!$B$7:$B$1000,Settings!$B$15))),""))</f>
        <v/>
      </c>
    </row>
    <row r="65" customFormat="false" ht="15" hidden="false" customHeight="false" outlineLevel="0" collapsed="false">
      <c r="A65" s="36" t="str">
        <f aca="false">IF('Raw data'!$A65="","",'Raw data'!$A65)</f>
        <v/>
      </c>
      <c r="B65" s="36" t="str">
        <f aca="false">IF($A65="","",'Raw data'!$C65)</f>
        <v/>
      </c>
      <c r="C65" s="36" t="str">
        <f aca="false">IF($A65="","",IF('Raw data'!$D65="",$A65,'Raw data'!$D65))</f>
        <v/>
      </c>
      <c r="D65" s="37" t="str">
        <f aca="false">IF($A65="","",IF(AND(ISNUMBER(P65),ISNUMBER(AB65)),P65+AB65,""))</f>
        <v/>
      </c>
      <c r="E65" s="37" t="str">
        <f aca="false">IF($A65="","",IF(AND(ISNUMBER(Q65),ISNUMBER(AC65)),Q65+AC65,""))</f>
        <v/>
      </c>
      <c r="F65" s="37" t="str">
        <f aca="false">IF($A65="","",IF(AND(ISNUMBER(R65),ISNUMBER(AD65)),R65+AD65,""))</f>
        <v/>
      </c>
      <c r="G65" s="37" t="str">
        <f aca="false">IF($A65="","",IF(AND(ISNUMBER(S65),ISNUMBER(AE65)),S65+AE65,""))</f>
        <v/>
      </c>
      <c r="H65" s="37" t="str">
        <f aca="false">IF($A65="","",IF(AND(ISNUMBER(T65),ISNUMBER(AF65)),T65+AF65,""))</f>
        <v/>
      </c>
      <c r="I65" s="37" t="str">
        <f aca="false">IF($A65="","",IF(AND(ISNUMBER(U65),ISNUMBER(AG65)),U65+AG65,""))</f>
        <v/>
      </c>
      <c r="J65" s="37" t="str">
        <f aca="false">IF($A65="","",IF(AND(ISNUMBER(V65),ISNUMBER(AH65)),V65+AH65,""))</f>
        <v/>
      </c>
      <c r="K65" s="37" t="str">
        <f aca="false">IF($A65="","",IF(AND(ISNUMBER(W65),ISNUMBER(AI65)),W65+AI65,""))</f>
        <v/>
      </c>
      <c r="L65" s="37" t="str">
        <f aca="false">IF($A65="","",IF(AND(ISNUMBER(X65),ISNUMBER(AJ65)),X65+AJ65,""))</f>
        <v/>
      </c>
      <c r="M65" s="37" t="str">
        <f aca="false">IF($A65="","",IF(AND(ISNUMBER(Y65),ISNUMBER(AK65)),Y65+AK65,""))</f>
        <v/>
      </c>
      <c r="N65" s="37" t="str">
        <f aca="false">IF($A65="","",IF(AND(ISNUMBER(Z65),ISNUMBER(AL65)),Z65+AL65,""))</f>
        <v/>
      </c>
      <c r="O65" s="37" t="str">
        <f aca="false">IF($A65="","",IF(AND(ISNUMBER(AA65),ISNUMBER(AM65)),AA65+AM65,""))</f>
        <v/>
      </c>
      <c r="P65" s="37" t="str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Economics'!$B$7:$B$1000,Settings!$B$16))),""))</f>
        <v/>
      </c>
      <c r="Q65" s="37" t="str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Economics'!$B$7:$B$1000,Settings!$B$16))),""))</f>
        <v/>
      </c>
      <c r="R65" s="37" t="str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Economics'!$B$7:$B$1000,Settings!$B$16))),""))</f>
        <v/>
      </c>
      <c r="S65" s="37" t="str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Economics'!$B$7:$B$1000,Settings!$B$16))),""))</f>
        <v/>
      </c>
      <c r="T65" s="37" t="str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Economics'!$B$7:$B$1000,Settings!$B$16))),""))</f>
        <v/>
      </c>
      <c r="U65" s="37" t="str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Economics'!$B$7:$B$1000,Settings!$B$16))),""))</f>
        <v/>
      </c>
      <c r="V65" s="37" t="str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Economics'!$B$7:$B$1000,Settings!$B$16))),""))</f>
        <v/>
      </c>
      <c r="W65" s="37" t="str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Economics'!$B$7:$B$1000,Settings!$B$16))),""))</f>
        <v/>
      </c>
      <c r="X65" s="37" t="str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Economics'!$B$7:$B$1000,Settings!$B$16))),""))</f>
        <v/>
      </c>
      <c r="Y65" s="37" t="str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Economics'!$B$7:$B$1000,Settings!$B$16))),""))</f>
        <v/>
      </c>
      <c r="Z65" s="37" t="str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Economics'!$B$7:$B$1000,Settings!$B$16))),""))</f>
        <v/>
      </c>
      <c r="AA65" s="37" t="str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Economics'!$B$7:$B$1000,Settings!$B$16))),""))</f>
        <v/>
      </c>
      <c r="AB65" s="37" t="str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Economics'!$B$7:$B$1000,Settings!$B$15))),""))</f>
        <v/>
      </c>
      <c r="AC65" s="37" t="str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Economics'!$B$7:$B$1000,Settings!$B$15))),""))</f>
        <v/>
      </c>
      <c r="AD65" s="37" t="str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Economics'!$B$7:$B$1000,Settings!$B$15))),""))</f>
        <v/>
      </c>
      <c r="AE65" s="37" t="str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Economics'!$B$7:$B$1000,Settings!$B$15))),""))</f>
        <v/>
      </c>
      <c r="AF65" s="37" t="str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Economics'!$B$7:$B$1000,Settings!$B$15))),""))</f>
        <v/>
      </c>
      <c r="AG65" s="37" t="str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Economics'!$B$7:$B$1000,Settings!$B$15))),""))</f>
        <v/>
      </c>
      <c r="AH65" s="37" t="str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Economics'!$B$7:$B$1000,Settings!$B$15))),""))</f>
        <v/>
      </c>
      <c r="AI65" s="37" t="str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Economics'!$B$7:$B$1000,Settings!$B$15))),""))</f>
        <v/>
      </c>
      <c r="AJ65" s="37" t="str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Economics'!$B$7:$B$1000,Settings!$B$15))),""))</f>
        <v/>
      </c>
      <c r="AK65" s="37" t="str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Economics'!$B$7:$B$1000,Settings!$B$15))),""))</f>
        <v/>
      </c>
      <c r="AL65" s="37" t="str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Economics'!$B$7:$B$1000,Settings!$B$15))),""))</f>
        <v/>
      </c>
      <c r="AM65" s="37" t="str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Y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4" min="4" style="0" width="13"/>
    <col collapsed="false" customWidth="true" hidden="false" outlineLevel="0" max="25" min="25" style="0" width="34"/>
  </cols>
  <sheetData>
    <row r="1" customFormat="false" ht="27.75" hidden="false" customHeight="true" outlineLevel="0" collapsed="false">
      <c r="A1" s="1" t="s">
        <v>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8" hidden="false" customHeight="true" outlineLevel="0" collapsed="false">
      <c r="A2" s="3" t="s">
        <v>221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18" t="s">
        <v>222</v>
      </c>
    </row>
    <row r="4" customFormat="false" ht="36" hidden="false" customHeight="true" outlineLevel="0" collapsed="false">
      <c r="A4" s="19" t="s">
        <v>186</v>
      </c>
      <c r="B4" s="19" t="s">
        <v>187</v>
      </c>
      <c r="C4" s="19" t="s">
        <v>188</v>
      </c>
      <c r="D4" s="19" t="str">
        <f aca="false">"Market size "&amp;(Settings!$B$7-1)</f>
        <v>Market size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223</v>
      </c>
      <c r="O4" s="19" t="s">
        <v>224</v>
      </c>
      <c r="P4" s="19" t="s">
        <v>225</v>
      </c>
      <c r="Q4" s="19" t="s">
        <v>226</v>
      </c>
      <c r="R4" s="19" t="s">
        <v>227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39" t="s">
        <v>228</v>
      </c>
    </row>
    <row r="5" customFormat="false" ht="15" hidden="false" customHeight="false" outlineLevel="0" collapsed="false">
      <c r="A5" s="40" t="s">
        <v>229</v>
      </c>
      <c r="B5" s="40" t="s">
        <v>230</v>
      </c>
      <c r="C5" s="40" t="s">
        <v>231</v>
      </c>
      <c r="D5" s="40" t="s">
        <v>232</v>
      </c>
      <c r="E5" s="40" t="s">
        <v>233</v>
      </c>
      <c r="F5" s="40" t="s">
        <v>234</v>
      </c>
      <c r="G5" s="40" t="s">
        <v>235</v>
      </c>
      <c r="H5" s="40" t="s">
        <v>236</v>
      </c>
      <c r="I5" s="40" t="s">
        <v>237</v>
      </c>
      <c r="J5" s="40" t="s">
        <v>238</v>
      </c>
      <c r="K5" s="40" t="s">
        <v>239</v>
      </c>
      <c r="L5" s="40" t="s">
        <v>240</v>
      </c>
      <c r="M5" s="40" t="s">
        <v>241</v>
      </c>
      <c r="N5" s="40" t="s">
        <v>242</v>
      </c>
      <c r="O5" s="40" t="s">
        <v>243</v>
      </c>
      <c r="P5" s="40" t="s">
        <v>244</v>
      </c>
      <c r="Q5" s="40" t="s">
        <v>245</v>
      </c>
      <c r="R5" s="40" t="s">
        <v>246</v>
      </c>
      <c r="S5" s="40" t="s">
        <v>247</v>
      </c>
      <c r="T5" s="40" t="s">
        <v>248</v>
      </c>
      <c r="U5" s="40" t="s">
        <v>249</v>
      </c>
      <c r="V5" s="40" t="s">
        <v>250</v>
      </c>
      <c r="W5" s="40" t="s">
        <v>251</v>
      </c>
      <c r="X5" s="40" t="s">
        <v>252</v>
      </c>
      <c r="Y5" s="15" t="s">
        <v>253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data'!E6=""),"",'Raw data'!E6)</f>
        <v>115</v>
      </c>
      <c r="E6" s="37" t="n">
        <f aca="false">IF(OR($A6="",'Raw data'!Q6=""),"",'Raw data'!Q6)</f>
        <v>5.8</v>
      </c>
      <c r="F6" s="41" t="n">
        <f aca="false">IF($A6="","",IF(ISNUMBER('Raw data'!G6),'Raw data'!G6*100,""))</f>
        <v>-1.95992504134664</v>
      </c>
      <c r="G6" s="41" t="n">
        <f aca="false">IF($A6="","",IF(ISNUMBER('Raw data'!H6),'Raw data'!H6*100,""))</f>
        <v>6.54305043526753</v>
      </c>
      <c r="H6" s="41" t="n">
        <f aca="false">IF($A6="","",IF(ISNUMBER('Raw data'!I6),'Raw data'!I6*100,""))</f>
        <v>2.25015243342797</v>
      </c>
      <c r="I6" s="41" t="n">
        <f aca="false">IF($A6="","",IF(ISNUMBER('Raw data'!R6),'Raw data'!R6*100,""))</f>
        <v>9</v>
      </c>
      <c r="J6" s="41" t="n">
        <f aca="false">IF($A6="","",IF(ISNUMBER('Raw data'!S6),'Raw data'!S6*100,""))</f>
        <v>8.5</v>
      </c>
      <c r="K6" s="41" t="n">
        <f aca="false">IF($A6="","",IF(ISNUMBER('Raw data'!T6),'Raw data'!T6*100,""))</f>
        <v>10</v>
      </c>
      <c r="L6" s="41" t="n">
        <f aca="false">IF($A6="","",IF('Raw data'!V6&lt;&gt;"",'Raw data'!V6*100,IF(AND(N('Raw data'!E6)&gt;0,'Raw data'!Q6&lt;&gt;""),'Raw data'!Q6*(1+N('Raw data'!S6))/('Raw data'!E6*(1+N('Raw data'!H6)))*100,"")))</f>
        <v>5.13611529863997</v>
      </c>
      <c r="M6" s="41" t="n">
        <f aca="false">IF($A6="","",IF('Raw data'!U6&lt;&gt;"",'Raw data'!U6*100,IF(AND(N('Raw data'!E6)&gt;0,'Raw data'!Q6&lt;&gt;""),'Raw data'!Q6/'Raw data'!E6*100,"")))</f>
        <v>5.04347826086957</v>
      </c>
      <c r="N6" s="42" t="n">
        <f aca="false">IF($A6="","",IF(ISNUMBER('Raw data'!W6),'Raw data'!W6,""))</f>
        <v>3</v>
      </c>
      <c r="O6" s="42" t="n">
        <f aca="false">IF($A6="","",IF(ISNUMBER('Raw data'!X6),'Raw data'!X6,""))</f>
        <v>3</v>
      </c>
      <c r="P6" s="42" t="n">
        <f aca="false">IF($A6="","",IF(ISNUMBER('Raw data'!Y6),'Raw data'!Y6,""))</f>
        <v>2</v>
      </c>
      <c r="Q6" s="42" t="n">
        <f aca="false">IF($A6="","",IF(ISNUMBER('Raw data'!Z6),'Raw data'!Z6,""))</f>
        <v>4</v>
      </c>
      <c r="R6" s="42" t="n">
        <f aca="false">IF($A6="","",IF(ISNUMBER('Raw data'!J6),'Raw data'!J6*100,""))</f>
        <v>53.2586976052542</v>
      </c>
      <c r="S6" s="41" t="n">
        <f aca="false">IF($A6="","",IF(ISNUMBER('Raw data'!K6),'Raw data'!K6*100,""))</f>
        <v>2.11153330698004</v>
      </c>
      <c r="T6" s="41" t="n">
        <f aca="false">IF($A6="","",IF(ISNUMBER('Raw data'!L6),'Raw data'!L6*100,""))</f>
        <v>18.5850826359149</v>
      </c>
      <c r="U6" s="41" t="n">
        <f aca="false">IF($A6="","",IF(ISNUMBER('Raw data'!M6),'Raw data'!M6*100,""))</f>
        <v>1.41805398769062</v>
      </c>
      <c r="V6" s="41" t="n">
        <f aca="false">IF($A6="","",IF(ISNUMBER('Raw data'!N6),'Raw data'!N6*100,""))</f>
        <v>-5.62343157624903</v>
      </c>
      <c r="W6" s="41" t="n">
        <f aca="false">IF($A6="","",IF(ISNUMBER('Raw data'!O6),'Raw data'!O6*100,""))</f>
        <v>-7.17806811873972</v>
      </c>
      <c r="X6" s="41" t="n">
        <f aca="false">IF($A6="","",IF(ISNUMBER('Raw data'!P6),'Raw data'!P6*100,""))</f>
        <v>3.41503028428385</v>
      </c>
      <c r="Y6" s="43" t="n">
        <f aca="false">IF($A6="","",IF(AND(ISNUMBER('Raw data'!J6),ISNUMBER('Raw data'!H6),ISNUMBER('Raw data'!L6),ISNUMBER('Raw data'!O6)),ROUND(('Raw data'!J6*'Raw data'!L6+(1-'Raw data'!J6)*'Raw data'!O6-'Raw data'!H6)*100,1),""))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Commercial</v>
      </c>
      <c r="D7" s="37" t="n">
        <f aca="false">IF(OR($A7="",'Raw data'!E7=""),"",'Raw data'!E7)</f>
        <v>260</v>
      </c>
      <c r="E7" s="37" t="n">
        <f aca="false">IF(OR($A7="",'Raw data'!Q7=""),"",'Raw data'!Q7)</f>
        <v>9.9</v>
      </c>
      <c r="F7" s="41" t="n">
        <f aca="false">IF($A7="","",IF(ISNUMBER('Raw data'!G7),'Raw data'!G7*100,""))</f>
        <v>0.341472045997371</v>
      </c>
      <c r="G7" s="41" t="n">
        <f aca="false">IF($A7="","",IF(ISNUMBER('Raw data'!H7),'Raw data'!H7*100,""))</f>
        <v>5.96590775647863</v>
      </c>
      <c r="H7" s="41" t="n">
        <f aca="false">IF($A7="","",IF(ISNUMBER('Raw data'!I7),'Raw data'!I7*100,""))</f>
        <v>2.34508339237622</v>
      </c>
      <c r="I7" s="41" t="n">
        <f aca="false">IF($A7="","",IF(ISNUMBER('Raw data'!R7),'Raw data'!R7*100,""))</f>
        <v>9.5</v>
      </c>
      <c r="J7" s="41" t="n">
        <f aca="false">IF($A7="","",IF(ISNUMBER('Raw data'!S7),'Raw data'!S7*100,""))</f>
        <v>9</v>
      </c>
      <c r="K7" s="41" t="n">
        <f aca="false">IF($A7="","",IF(ISNUMBER('Raw data'!T7),'Raw data'!T7*100,""))</f>
        <v>10.5</v>
      </c>
      <c r="L7" s="41" t="n">
        <f aca="false">IF($A7="","",IF('Raw data'!V7&lt;&gt;"",'Raw data'!V7*100,IF(AND(N('Raw data'!E7)&gt;0,'Raw data'!Q7&lt;&gt;""),'Raw data'!Q7*(1+N('Raw data'!S7))/('Raw data'!E7*(1+N('Raw data'!H7)))*100,"")))</f>
        <v>3.91671689815809</v>
      </c>
      <c r="M7" s="41" t="n">
        <f aca="false">IF($A7="","",IF('Raw data'!U7&lt;&gt;"",'Raw data'!U7*100,IF(AND(N('Raw data'!E7)&gt;0,'Raw data'!Q7&lt;&gt;""),'Raw data'!Q7/'Raw data'!E7*100,"")))</f>
        <v>3.80769230769231</v>
      </c>
      <c r="N7" s="42" t="n">
        <f aca="false">IF($A7="","",IF(ISNUMBER('Raw data'!W7),'Raw data'!W7,""))</f>
        <v>3</v>
      </c>
      <c r="O7" s="42" t="n">
        <f aca="false">IF($A7="","",IF(ISNUMBER('Raw data'!X7),'Raw data'!X7,""))</f>
        <v>3</v>
      </c>
      <c r="P7" s="42" t="n">
        <f aca="false">IF($A7="","",IF(ISNUMBER('Raw data'!Y7),'Raw data'!Y7,""))</f>
        <v>2</v>
      </c>
      <c r="Q7" s="42" t="n">
        <f aca="false">IF($A7="","",IF(ISNUMBER('Raw data'!Z7),'Raw data'!Z7,""))</f>
        <v>4</v>
      </c>
      <c r="R7" s="42" t="n">
        <f aca="false">IF($A7="","",IF(ISNUMBER('Raw data'!J7),'Raw data'!J7*100,""))</f>
        <v>32.7015747987786</v>
      </c>
      <c r="S7" s="41" t="n">
        <f aca="false">IF($A7="","",IF(ISNUMBER('Raw data'!K7),'Raw data'!K7*100,""))</f>
        <v>0.993674664251398</v>
      </c>
      <c r="T7" s="41" t="n">
        <f aca="false">IF($A7="","",IF(ISNUMBER('Raw data'!L7),'Raw data'!L7*100,""))</f>
        <v>16.5138225650388</v>
      </c>
      <c r="U7" s="41" t="n">
        <f aca="false">IF($A7="","",IF(ISNUMBER('Raw data'!M7),'Raw data'!M7*100,""))</f>
        <v>2.04915356177162</v>
      </c>
      <c r="V7" s="41" t="n">
        <f aca="false">IF($A7="","",IF(ISNUMBER('Raw data'!N7),'Raw data'!N7*100,""))</f>
        <v>0.0334978916365802</v>
      </c>
      <c r="W7" s="41" t="n">
        <f aca="false">IF($A7="","",IF(ISNUMBER('Raw data'!O7),'Raw data'!O7*100,""))</f>
        <v>0.840476900527287</v>
      </c>
      <c r="X7" s="41" t="n">
        <f aca="false">IF($A7="","",IF(ISNUMBER('Raw data'!P7),'Raw data'!P7*100,""))</f>
        <v>2.50974263653638</v>
      </c>
      <c r="Y7" s="43" t="n">
        <f aca="false">IF($A7="","",IF(AND(ISNUMBER('Raw data'!J7),ISNUMBER('Raw data'!H7),ISNUMBER('Raw data'!L7),ISNUMBER('Raw data'!O7)),ROUND(('Raw data'!J7*'Raw data'!L7+(1-'Raw data'!J7)*'Raw data'!O7-'Raw data'!H7)*100,1),""))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Czech Republic</v>
      </c>
      <c r="B8" s="36" t="str">
        <f aca="false">IF($A8="","",IF('Raw data'!B8="",UPPER(LEFT($A8,3)),'Raw data'!B8))</f>
        <v>CZ</v>
      </c>
      <c r="C8" s="36" t="str">
        <f aca="false">IF($A8="","",'Raw data'!C8)</f>
        <v>Residential</v>
      </c>
      <c r="D8" s="37" t="n">
        <f aca="false">IF(OR($A8="",'Raw data'!E8=""),"",'Raw data'!E8)</f>
        <v>65</v>
      </c>
      <c r="E8" s="37" t="n">
        <f aca="false">IF(OR($A8="",'Raw data'!Q8=""),"",'Raw data'!Q8)</f>
        <v>3.9</v>
      </c>
      <c r="F8" s="41" t="n">
        <f aca="false">IF($A8="","",IF(ISNUMBER('Raw data'!G8),'Raw data'!G8*100,""))</f>
        <v>-2.40851177496964</v>
      </c>
      <c r="G8" s="41" t="n">
        <f aca="false">IF($A8="","",IF(ISNUMBER('Raw data'!H8),'Raw data'!H8*100,""))</f>
        <v>-1.68148143071558</v>
      </c>
      <c r="H8" s="41" t="n">
        <f aca="false">IF($A8="","",IF(ISNUMBER('Raw data'!I8),'Raw data'!I8*100,""))</f>
        <v>2.19043525508911</v>
      </c>
      <c r="I8" s="41" t="n">
        <f aca="false">IF($A8="","",IF(ISNUMBER('Raw data'!R8),'Raw data'!R8*100,""))</f>
        <v>6</v>
      </c>
      <c r="J8" s="41" t="n">
        <f aca="false">IF($A8="","",IF(ISNUMBER('Raw data'!S8),'Raw data'!S8*100,""))</f>
        <v>5</v>
      </c>
      <c r="K8" s="41" t="n">
        <f aca="false">IF($A8="","",IF(ISNUMBER('Raw data'!T8),'Raw data'!T8*100,""))</f>
        <v>7</v>
      </c>
      <c r="L8" s="41" t="n">
        <f aca="false">IF($A8="","",IF('Raw data'!V8&lt;&gt;"",'Raw data'!V8*100,IF(AND(N('Raw data'!E8)&gt;0,'Raw data'!Q8&lt;&gt;""),'Raw data'!Q8*(1+N('Raw data'!S8))/('Raw data'!E8*(1+N('Raw data'!H8)))*100,"")))</f>
        <v>6.40774504302608</v>
      </c>
      <c r="M8" s="41" t="n">
        <f aca="false">IF($A8="","",IF('Raw data'!U8&lt;&gt;"",'Raw data'!U8*100,IF(AND(N('Raw data'!E8)&gt;0,'Raw data'!Q8&lt;&gt;""),'Raw data'!Q8/'Raw data'!E8*100,"")))</f>
        <v>6</v>
      </c>
      <c r="N8" s="42" t="n">
        <f aca="false">IF($A8="","",IF(ISNUMBER('Raw data'!W8),'Raw data'!W8,""))</f>
        <v>3</v>
      </c>
      <c r="O8" s="42" t="n">
        <f aca="false">IF($A8="","",IF(ISNUMBER('Raw data'!X8),'Raw data'!X8,""))</f>
        <v>3</v>
      </c>
      <c r="P8" s="42" t="n">
        <f aca="false">IF($A8="","",IF(ISNUMBER('Raw data'!Y8),'Raw data'!Y8,""))</f>
        <v>3</v>
      </c>
      <c r="Q8" s="42" t="n">
        <f aca="false">IF($A8="","",IF(ISNUMBER('Raw data'!Z8),'Raw data'!Z8,""))</f>
        <v>3</v>
      </c>
      <c r="R8" s="42" t="n">
        <f aca="false">IF($A8="","",IF(ISNUMBER('Raw data'!J8),'Raw data'!J8*100,""))</f>
        <v>32.3363922337283</v>
      </c>
      <c r="S8" s="41" t="n">
        <f aca="false">IF($A8="","",IF(ISNUMBER('Raw data'!K8),'Raw data'!K8*100,""))</f>
        <v>3.19288971282656</v>
      </c>
      <c r="T8" s="41" t="n">
        <f aca="false">IF($A8="","",IF(ISNUMBER('Raw data'!L8),'Raw data'!L8*100,""))</f>
        <v>-9.42818387978723</v>
      </c>
      <c r="U8" s="41" t="n">
        <f aca="false">IF($A8="","",IF(ISNUMBER('Raw data'!M8),'Raw data'!M8*100,""))</f>
        <v>3.10685186979185</v>
      </c>
      <c r="V8" s="41" t="n">
        <f aca="false">IF($A8="","",IF(ISNUMBER('Raw data'!N8),'Raw data'!N8*100,""))</f>
        <v>-4.53359898789375</v>
      </c>
      <c r="W8" s="41" t="n">
        <f aca="false">IF($A8="","",IF(ISNUMBER('Raw data'!O8),'Raw data'!O8*100,""))</f>
        <v>2.02066241264052</v>
      </c>
      <c r="X8" s="41" t="n">
        <f aca="false">IF($A8="","",IF(ISNUMBER('Raw data'!P8),'Raw data'!P8*100,""))</f>
        <v>1.79148899833346</v>
      </c>
      <c r="Y8" s="43" t="n">
        <f aca="false">IF($A8="","",IF(AND(ISNUMBER('Raw data'!J8),ISNUMBER('Raw data'!H8),ISNUMBER('Raw data'!L8),ISNUMBER('Raw data'!O8)),ROUND(('Raw data'!J8*'Raw data'!L8+(1-'Raw data'!J8)*'Raw data'!O8-'Raw data'!H8)*100,1),""))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Czech Republic</v>
      </c>
      <c r="B9" s="36" t="str">
        <f aca="false">IF($A9="","",IF('Raw data'!B9="",UPPER(LEFT($A9,3)),'Raw data'!B9))</f>
        <v>CZ</v>
      </c>
      <c r="C9" s="36" t="str">
        <f aca="false">IF($A9="","",'Raw data'!C9)</f>
        <v>Commercial</v>
      </c>
      <c r="D9" s="37" t="n">
        <f aca="false">IF(OR($A9="",'Raw data'!E9=""),"",'Raw data'!E9)</f>
        <v>85</v>
      </c>
      <c r="E9" s="37" t="n">
        <f aca="false">IF(OR($A9="",'Raw data'!Q9=""),"",'Raw data'!Q9)</f>
        <v>3.4</v>
      </c>
      <c r="F9" s="41" t="n">
        <f aca="false">IF($A9="","",IF(ISNUMBER('Raw data'!G9),'Raw data'!G9*100,""))</f>
        <v>-0.337034520083179</v>
      </c>
      <c r="G9" s="41" t="n">
        <f aca="false">IF($A9="","",IF(ISNUMBER('Raw data'!H9),'Raw data'!H9*100,""))</f>
        <v>5.11502462007294</v>
      </c>
      <c r="H9" s="41" t="n">
        <f aca="false">IF($A9="","",IF(ISNUMBER('Raw data'!I9),'Raw data'!I9*100,""))</f>
        <v>4.00035541568586</v>
      </c>
      <c r="I9" s="41" t="n">
        <f aca="false">IF($A9="","",IF(ISNUMBER('Raw data'!R9),'Raw data'!R9*100,""))</f>
        <v>6.5</v>
      </c>
      <c r="J9" s="41" t="n">
        <f aca="false">IF($A9="","",IF(ISNUMBER('Raw data'!S9),'Raw data'!S9*100,""))</f>
        <v>5.5</v>
      </c>
      <c r="K9" s="41" t="n">
        <f aca="false">IF($A9="","",IF(ISNUMBER('Raw data'!T9),'Raw data'!T9*100,""))</f>
        <v>7.5</v>
      </c>
      <c r="L9" s="41" t="n">
        <f aca="false">IF($A9="","",IF('Raw data'!V9&lt;&gt;"",'Raw data'!V9*100,IF(AND(N('Raw data'!E9)&gt;0,'Raw data'!Q9&lt;&gt;""),'Raw data'!Q9*(1+N('Raw data'!S9))/('Raw data'!E9*(1+N('Raw data'!H9)))*100,"")))</f>
        <v>4.01464968043602</v>
      </c>
      <c r="M9" s="41" t="n">
        <f aca="false">IF($A9="","",IF('Raw data'!U9&lt;&gt;"",'Raw data'!U9*100,IF(AND(N('Raw data'!E9)&gt;0,'Raw data'!Q9&lt;&gt;""),'Raw data'!Q9/'Raw data'!E9*100,"")))</f>
        <v>4</v>
      </c>
      <c r="N9" s="42" t="n">
        <f aca="false">IF($A9="","",IF(ISNUMBER('Raw data'!W9),'Raw data'!W9,""))</f>
        <v>3</v>
      </c>
      <c r="O9" s="42" t="n">
        <f aca="false">IF($A9="","",IF(ISNUMBER('Raw data'!X9),'Raw data'!X9,""))</f>
        <v>3</v>
      </c>
      <c r="P9" s="42" t="n">
        <f aca="false">IF($A9="","",IF(ISNUMBER('Raw data'!Y9),'Raw data'!Y9,""))</f>
        <v>3</v>
      </c>
      <c r="Q9" s="42" t="n">
        <f aca="false">IF($A9="","",IF(ISNUMBER('Raw data'!Z9),'Raw data'!Z9,""))</f>
        <v>3</v>
      </c>
      <c r="R9" s="42" t="n">
        <f aca="false">IF($A9="","",IF(ISNUMBER('Raw data'!J9),'Raw data'!J9*100,""))</f>
        <v>31.8157287683266</v>
      </c>
      <c r="S9" s="41" t="n">
        <f aca="false">IF($A9="","",IF(ISNUMBER('Raw data'!K9),'Raw data'!K9*100,""))</f>
        <v>-0.0172368597403549</v>
      </c>
      <c r="T9" s="41" t="n">
        <f aca="false">IF($A9="","",IF(ISNUMBER('Raw data'!L9),'Raw data'!L9*100,""))</f>
        <v>3.57060445232513</v>
      </c>
      <c r="U9" s="41" t="n">
        <f aca="false">IF($A9="","",IF(ISNUMBER('Raw data'!M9),'Raw data'!M9*100,""))</f>
        <v>5.41595511445643</v>
      </c>
      <c r="V9" s="41" t="n">
        <f aca="false">IF($A9="","",IF(ISNUMBER('Raw data'!N9),'Raw data'!N9*100,""))</f>
        <v>-0.48417679935393</v>
      </c>
      <c r="W9" s="41" t="n">
        <f aca="false">IF($A9="","",IF(ISNUMBER('Raw data'!O9),'Raw data'!O9*100,""))</f>
        <v>5.83567253892274</v>
      </c>
      <c r="X9" s="41" t="n">
        <f aca="false">IF($A9="","",IF(ISNUMBER('Raw data'!P9),'Raw data'!P9*100,""))</f>
        <v>3.32746428625212</v>
      </c>
      <c r="Y9" s="43" t="n">
        <f aca="false">IF($A9="","",IF(AND(ISNUMBER('Raw data'!J9),ISNUMBER('Raw data'!H9),ISNUMBER('Raw data'!L9),ISNUMBER('Raw data'!O9)),ROUND(('Raw data'!J9*'Raw data'!L9+(1-'Raw data'!J9)*'Raw data'!O9-'Raw data'!H9)*100,1),""))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Hungary</v>
      </c>
      <c r="B10" s="36" t="str">
        <f aca="false">IF($A10="","",IF('Raw data'!B10="",UPPER(LEFT($A10,3)),'Raw data'!B10))</f>
        <v>HU</v>
      </c>
      <c r="C10" s="36" t="str">
        <f aca="false">IF($A10="","",'Raw data'!C10)</f>
        <v>Residential</v>
      </c>
      <c r="D10" s="37" t="n">
        <f aca="false">IF(OR($A10="",'Raw data'!E10=""),"",'Raw data'!E10)</f>
        <v>20</v>
      </c>
      <c r="E10" s="37" t="n">
        <f aca="false">IF(OR($A10="",'Raw data'!Q10=""),"",'Raw data'!Q10)</f>
        <v>0.8</v>
      </c>
      <c r="F10" s="41" t="n">
        <f aca="false">IF($A10="","",IF(ISNUMBER('Raw data'!G10),'Raw data'!G10*100,""))</f>
        <v>-0.33333537733401</v>
      </c>
      <c r="G10" s="41" t="n">
        <f aca="false">IF($A10="","",IF(ISNUMBER('Raw data'!H10),'Raw data'!H10*100,""))</f>
        <v>8.69175672855187</v>
      </c>
      <c r="H10" s="41" t="n">
        <f aca="false">IF($A10="","",IF(ISNUMBER('Raw data'!I10),'Raw data'!I10*100,""))</f>
        <v>0.646351483566021</v>
      </c>
      <c r="I10" s="41" t="n">
        <f aca="false">IF($A10="","",IF(ISNUMBER('Raw data'!R10),'Raw data'!R10*100,""))</f>
        <v>5</v>
      </c>
      <c r="J10" s="41" t="n">
        <f aca="false">IF($A10="","",IF(ISNUMBER('Raw data'!S10),'Raw data'!S10*100,""))</f>
        <v>3</v>
      </c>
      <c r="K10" s="41" t="n">
        <f aca="false">IF($A10="","",IF(ISNUMBER('Raw data'!T10),'Raw data'!T10*100,""))</f>
        <v>6</v>
      </c>
      <c r="L10" s="41" t="n">
        <f aca="false">IF($A10="","",IF('Raw data'!V10&lt;&gt;"",'Raw data'!V10*100,IF(AND(N('Raw data'!E10)&gt;0,'Raw data'!Q10&lt;&gt;""),'Raw data'!Q10*(1+N('Raw data'!S10))/('Raw data'!E10*(1+N('Raw data'!H10)))*100,"")))</f>
        <v>3.79053584559254</v>
      </c>
      <c r="M10" s="41" t="n">
        <f aca="false">IF($A10="","",IF('Raw data'!U10&lt;&gt;"",'Raw data'!U10*100,IF(AND(N('Raw data'!E10)&gt;0,'Raw data'!Q10&lt;&gt;""),'Raw data'!Q10/'Raw data'!E10*100,"")))</f>
        <v>4</v>
      </c>
      <c r="N10" s="42" t="n">
        <f aca="false">IF($A10="","",IF(ISNUMBER('Raw data'!W10),'Raw data'!W10,""))</f>
        <v>2</v>
      </c>
      <c r="O10" s="42" t="n">
        <f aca="false">IF($A10="","",IF(ISNUMBER('Raw data'!X10),'Raw data'!X10,""))</f>
        <v>3</v>
      </c>
      <c r="P10" s="42" t="n">
        <f aca="false">IF($A10="","",IF(ISNUMBER('Raw data'!Y10),'Raw data'!Y10,""))</f>
        <v>2</v>
      </c>
      <c r="Q10" s="42" t="n">
        <f aca="false">IF($A10="","",IF(ISNUMBER('Raw data'!Z10),'Raw data'!Z10,""))</f>
        <v>3</v>
      </c>
      <c r="R10" s="42" t="n">
        <f aca="false">IF($A10="","",IF(ISNUMBER('Raw data'!J10),'Raw data'!J10*100,""))</f>
        <v>53.0159489714364</v>
      </c>
      <c r="S10" s="41" t="n">
        <f aca="false">IF($A10="","",IF(ISNUMBER('Raw data'!K10),'Raw data'!K10*100,""))</f>
        <v>2.6370963125081</v>
      </c>
      <c r="T10" s="41" t="n">
        <f aca="false">IF($A10="","",IF(ISNUMBER('Raw data'!L10),'Raw data'!L10*100,""))</f>
        <v>-1.69188815486249</v>
      </c>
      <c r="U10" s="41" t="n">
        <f aca="false">IF($A10="","",IF(ISNUMBER('Raw data'!M10),'Raw data'!M10*100,""))</f>
        <v>5.28241378587315</v>
      </c>
      <c r="V10" s="41" t="n">
        <f aca="false">IF($A10="","",IF(ISNUMBER('Raw data'!N10),'Raw data'!N10*100,""))</f>
        <v>-3.14966623547504</v>
      </c>
      <c r="W10" s="41" t="n">
        <f aca="false">IF($A10="","",IF(ISNUMBER('Raw data'!O10),'Raw data'!O10*100,""))</f>
        <v>20.408472831681</v>
      </c>
      <c r="X10" s="41" t="n">
        <f aca="false">IF($A10="","",IF(ISNUMBER('Raw data'!P10),'Raw data'!P10*100,""))</f>
        <v>-4.54546149649131</v>
      </c>
      <c r="Y10" s="43" t="n">
        <f aca="false">IF($A10="","",IF(AND(ISNUMBER('Raw data'!J10),ISNUMBER('Raw data'!H10),ISNUMBER('Raw data'!L10),ISNUMBER('Raw data'!O10)),ROUND(('Raw data'!J10*'Raw data'!L10+(1-'Raw data'!J10)*'Raw data'!O10-'Raw data'!H10)*100,1),""))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Hungary</v>
      </c>
      <c r="B11" s="36" t="str">
        <f aca="false">IF($A11="","",IF('Raw data'!B11="",UPPER(LEFT($A11,3)),'Raw data'!B11))</f>
        <v>HU</v>
      </c>
      <c r="C11" s="36" t="str">
        <f aca="false">IF($A11="","",'Raw data'!C11)</f>
        <v>Commercial</v>
      </c>
      <c r="D11" s="37" t="n">
        <f aca="false">IF(OR($A11="",'Raw data'!E11=""),"",'Raw data'!E11)</f>
        <v>40</v>
      </c>
      <c r="E11" s="37" t="n">
        <f aca="false">IF(OR($A11="",'Raw data'!Q11=""),"",'Raw data'!Q11)</f>
        <v>1.2</v>
      </c>
      <c r="F11" s="41" t="n">
        <f aca="false">IF($A11="","",IF(ISNUMBER('Raw data'!G11),'Raw data'!G11*100,""))</f>
        <v>0.844826606355431</v>
      </c>
      <c r="G11" s="41" t="n">
        <f aca="false">IF($A11="","",IF(ISNUMBER('Raw data'!H11),'Raw data'!H11*100,""))</f>
        <v>11.6684490030625</v>
      </c>
      <c r="H11" s="41" t="n">
        <f aca="false">IF($A11="","",IF(ISNUMBER('Raw data'!I11),'Raw data'!I11*100,""))</f>
        <v>2.68761815236398</v>
      </c>
      <c r="I11" s="41" t="n">
        <f aca="false">IF($A11="","",IF(ISNUMBER('Raw data'!R11),'Raw data'!R11*100,""))</f>
        <v>5.5</v>
      </c>
      <c r="J11" s="41" t="n">
        <f aca="false">IF($A11="","",IF(ISNUMBER('Raw data'!S11),'Raw data'!S11*100,""))</f>
        <v>3.5</v>
      </c>
      <c r="K11" s="41" t="n">
        <f aca="false">IF($A11="","",IF(ISNUMBER('Raw data'!T11),'Raw data'!T11*100,""))</f>
        <v>6.5</v>
      </c>
      <c r="L11" s="41" t="n">
        <f aca="false">IF($A11="","",IF('Raw data'!V11&lt;&gt;"",'Raw data'!V11*100,IF(AND(N('Raw data'!E11)&gt;0,'Raw data'!Q11&lt;&gt;""),'Raw data'!Q11*(1+N('Raw data'!S11))/('Raw data'!E11*(1+N('Raw data'!H11)))*100,"")))</f>
        <v>2.78055263390902</v>
      </c>
      <c r="M11" s="41" t="n">
        <f aca="false">IF($A11="","",IF('Raw data'!U11&lt;&gt;"",'Raw data'!U11*100,IF(AND(N('Raw data'!E11)&gt;0,'Raw data'!Q11&lt;&gt;""),'Raw data'!Q11/'Raw data'!E11*100,"")))</f>
        <v>3</v>
      </c>
      <c r="N11" s="42" t="n">
        <f aca="false">IF($A11="","",IF(ISNUMBER('Raw data'!W11),'Raw data'!W11,""))</f>
        <v>2</v>
      </c>
      <c r="O11" s="42" t="n">
        <f aca="false">IF($A11="","",IF(ISNUMBER('Raw data'!X11),'Raw data'!X11,""))</f>
        <v>3</v>
      </c>
      <c r="P11" s="42" t="n">
        <f aca="false">IF($A11="","",IF(ISNUMBER('Raw data'!Y11),'Raw data'!Y11,""))</f>
        <v>2</v>
      </c>
      <c r="Q11" s="42" t="n">
        <f aca="false">IF($A11="","",IF(ISNUMBER('Raw data'!Z11),'Raw data'!Z11,""))</f>
        <v>3</v>
      </c>
      <c r="R11" s="42" t="n">
        <f aca="false">IF($A11="","",IF(ISNUMBER('Raw data'!J11),'Raw data'!J11*100,""))</f>
        <v>49.522411904446</v>
      </c>
      <c r="S11" s="41" t="n">
        <f aca="false">IF($A11="","",IF(ISNUMBER('Raw data'!K11),'Raw data'!K11*100,""))</f>
        <v>4.31067043011753</v>
      </c>
      <c r="T11" s="41" t="n">
        <f aca="false">IF($A11="","",IF(ISNUMBER('Raw data'!L11),'Raw data'!L11*100,""))</f>
        <v>13.7299819259384</v>
      </c>
      <c r="U11" s="41" t="n">
        <f aca="false">IF($A11="","",IF(ISNUMBER('Raw data'!M11),'Raw data'!M11*100,""))</f>
        <v>0.749737665613659</v>
      </c>
      <c r="V11" s="41" t="n">
        <f aca="false">IF($A11="","",IF(ISNUMBER('Raw data'!N11),'Raw data'!N11*100,""))</f>
        <v>-1.97775033065249</v>
      </c>
      <c r="W11" s="41" t="n">
        <f aca="false">IF($A11="","",IF(ISNUMBER('Raw data'!O11),'Raw data'!O11*100,""))</f>
        <v>9.64592600992789</v>
      </c>
      <c r="X11" s="41" t="n">
        <f aca="false">IF($A11="","",IF(ISNUMBER('Raw data'!P11),'Raw data'!P11*100,""))</f>
        <v>4.52003053264212</v>
      </c>
      <c r="Y11" s="43" t="n">
        <f aca="false">IF($A11="","",IF(AND(ISNUMBER('Raw data'!J11),ISNUMBER('Raw data'!H11),ISNUMBER('Raw data'!L11),ISNUMBER('Raw data'!O11)),ROUND(('Raw data'!J11*'Raw data'!L11+(1-'Raw data'!J11)*'Raw data'!O11-'Raw data'!H11)*100,1),""))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Netherlands</v>
      </c>
      <c r="B12" s="36" t="str">
        <f aca="false">IF($A12="","",IF('Raw data'!B12="",UPPER(LEFT($A12,3)),'Raw data'!B12))</f>
        <v>NL</v>
      </c>
      <c r="C12" s="36" t="str">
        <f aca="false">IF($A12="","",'Raw data'!C12)</f>
        <v>Residential</v>
      </c>
      <c r="D12" s="37" t="n">
        <f aca="false">IF(OR($A12="",'Raw data'!E12=""),"",'Raw data'!E12)</f>
        <v>320</v>
      </c>
      <c r="E12" s="37" t="n">
        <f aca="false">IF(OR($A12="",'Raw data'!Q12=""),"",'Raw data'!Q12)</f>
        <v>51.2</v>
      </c>
      <c r="F12" s="41" t="n">
        <f aca="false">IF($A12="","",IF(ISNUMBER('Raw data'!G12),'Raw data'!G12*100,""))</f>
        <v>1.63457022077107</v>
      </c>
      <c r="G12" s="41" t="n">
        <f aca="false">IF($A12="","",IF(ISNUMBER('Raw data'!H12),'Raw data'!H12*100,""))</f>
        <v>1.31534409044378</v>
      </c>
      <c r="H12" s="41" t="n">
        <f aca="false">IF($A12="","",IF(ISNUMBER('Raw data'!I12),'Raw data'!I12*100,""))</f>
        <v>2.89869339370692</v>
      </c>
      <c r="I12" s="41" t="n">
        <f aca="false">IF($A12="","",IF(ISNUMBER('Raw data'!R12),'Raw data'!R12*100,""))</f>
        <v>3.5</v>
      </c>
      <c r="J12" s="41" t="n">
        <f aca="false">IF($A12="","",IF(ISNUMBER('Raw data'!S12),'Raw data'!S12*100,""))</f>
        <v>2</v>
      </c>
      <c r="K12" s="41" t="n">
        <f aca="false">IF($A12="","",IF(ISNUMBER('Raw data'!T12),'Raw data'!T12*100,""))</f>
        <v>3</v>
      </c>
      <c r="L12" s="41" t="n">
        <f aca="false">IF($A12="","",IF('Raw data'!V12&lt;&gt;"",'Raw data'!V12*100,IF(AND(N('Raw data'!E12)&gt;0,'Raw data'!Q12&lt;&gt;""),'Raw data'!Q12*(1+N('Raw data'!S12))/('Raw data'!E12*(1+N('Raw data'!H12)))*100,"")))</f>
        <v>16.1081227592054</v>
      </c>
      <c r="M12" s="41" t="n">
        <f aca="false">IF($A12="","",IF('Raw data'!U12&lt;&gt;"",'Raw data'!U12*100,IF(AND(N('Raw data'!E12)&gt;0,'Raw data'!Q12&lt;&gt;""),'Raw data'!Q12/'Raw data'!E12*100,"")))</f>
        <v>16</v>
      </c>
      <c r="N12" s="42" t="n">
        <f aca="false">IF($A12="","",IF(ISNUMBER('Raw data'!W12),'Raw data'!W12,""))</f>
        <v>4</v>
      </c>
      <c r="O12" s="42" t="n">
        <f aca="false">IF($A12="","",IF(ISNUMBER('Raw data'!X12),'Raw data'!X12,""))</f>
        <v>3</v>
      </c>
      <c r="P12" s="42" t="n">
        <f aca="false">IF($A12="","",IF(ISNUMBER('Raw data'!Y12),'Raw data'!Y12,""))</f>
        <v>5</v>
      </c>
      <c r="Q12" s="42" t="n">
        <f aca="false">IF($A12="","",IF(ISNUMBER('Raw data'!Z12),'Raw data'!Z12,""))</f>
        <v>4</v>
      </c>
      <c r="R12" s="42" t="n">
        <f aca="false">IF($A12="","",IF(ISNUMBER('Raw data'!J12),'Raw data'!J12*100,""))</f>
        <v>61.3365049438262</v>
      </c>
      <c r="S12" s="41" t="n">
        <f aca="false">IF($A12="","",IF(ISNUMBER('Raw data'!K12),'Raw data'!K12*100,""))</f>
        <v>3.87654221228175</v>
      </c>
      <c r="T12" s="41" t="n">
        <f aca="false">IF($A12="","",IF(ISNUMBER('Raw data'!L12),'Raw data'!L12*100,""))</f>
        <v>0.339175244460854</v>
      </c>
      <c r="U12" s="41" t="n">
        <f aca="false">IF($A12="","",IF(ISNUMBER('Raw data'!M12),'Raw data'!M12*100,""))</f>
        <v>3.49653818762163</v>
      </c>
      <c r="V12" s="41" t="n">
        <f aca="false">IF($A12="","",IF(ISNUMBER('Raw data'!N12),'Raw data'!N12*100,""))</f>
        <v>-1.40534901957474</v>
      </c>
      <c r="W12" s="41" t="n">
        <f aca="false">IF($A12="","",IF(ISNUMBER('Raw data'!O12),'Raw data'!O12*100,""))</f>
        <v>2.86395693986801</v>
      </c>
      <c r="X12" s="41" t="n">
        <f aca="false">IF($A12="","",IF(ISNUMBER('Raw data'!P12),'Raw data'!P12*100,""))</f>
        <v>1.94522013587353</v>
      </c>
      <c r="Y12" s="43" t="n">
        <f aca="false">IF($A12="","",IF(AND(ISNUMBER('Raw data'!J12),ISNUMBER('Raw data'!H12),ISNUMBER('Raw data'!L12),ISNUMBER('Raw data'!O12)),ROUND(('Raw data'!J12*'Raw data'!L12+(1-'Raw data'!J12)*'Raw data'!O12-'Raw data'!H12)*100,1),""))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Netherlands</v>
      </c>
      <c r="B13" s="36" t="str">
        <f aca="false">IF($A13="","",IF('Raw data'!B13="",UPPER(LEFT($A13,3)),'Raw data'!B13))</f>
        <v>NL</v>
      </c>
      <c r="C13" s="36" t="str">
        <f aca="false">IF($A13="","",'Raw data'!C13)</f>
        <v>Commercial</v>
      </c>
      <c r="D13" s="37" t="n">
        <f aca="false">IF(OR($A13="",'Raw data'!E13=""),"",'Raw data'!E13)</f>
        <v>270</v>
      </c>
      <c r="E13" s="37" t="n">
        <f aca="false">IF(OR($A13="",'Raw data'!Q13=""),"",'Raw data'!Q13)</f>
        <v>36.5</v>
      </c>
      <c r="F13" s="41" t="n">
        <f aca="false">IF($A13="","",IF(ISNUMBER('Raw data'!G13),'Raw data'!G13*100,""))</f>
        <v>2.41636167909041</v>
      </c>
      <c r="G13" s="41" t="n">
        <f aca="false">IF($A13="","",IF(ISNUMBER('Raw data'!H13),'Raw data'!H13*100,""))</f>
        <v>2.67648673793428</v>
      </c>
      <c r="H13" s="41" t="n">
        <f aca="false">IF($A13="","",IF(ISNUMBER('Raw data'!I13),'Raw data'!I13*100,""))</f>
        <v>2.89147714067022</v>
      </c>
      <c r="I13" s="41" t="n">
        <f aca="false">IF($A13="","",IF(ISNUMBER('Raw data'!R13),'Raw data'!R13*100,""))</f>
        <v>4</v>
      </c>
      <c r="J13" s="41" t="n">
        <f aca="false">IF($A13="","",IF(ISNUMBER('Raw data'!S13),'Raw data'!S13*100,""))</f>
        <v>2.5</v>
      </c>
      <c r="K13" s="41" t="n">
        <f aca="false">IF($A13="","",IF(ISNUMBER('Raw data'!T13),'Raw data'!T13*100,""))</f>
        <v>3.5</v>
      </c>
      <c r="L13" s="41" t="n">
        <f aca="false">IF($A13="","",IF('Raw data'!V13&lt;&gt;"",'Raw data'!V13*100,IF(AND(N('Raw data'!E13)&gt;0,'Raw data'!Q13&lt;&gt;""),'Raw data'!Q13*(1+N('Raw data'!S13))/('Raw data'!E13*(1+N('Raw data'!H13)))*100,"")))</f>
        <v>13.4952820472403</v>
      </c>
      <c r="M13" s="41" t="n">
        <f aca="false">IF($A13="","",IF('Raw data'!U13&lt;&gt;"",'Raw data'!U13*100,IF(AND(N('Raw data'!E13)&gt;0,'Raw data'!Q13&lt;&gt;""),'Raw data'!Q13/'Raw data'!E13*100,"")))</f>
        <v>13.5185185185185</v>
      </c>
      <c r="N13" s="42" t="n">
        <f aca="false">IF($A13="","",IF(ISNUMBER('Raw data'!W13),'Raw data'!W13,""))</f>
        <v>4</v>
      </c>
      <c r="O13" s="42" t="n">
        <f aca="false">IF($A13="","",IF(ISNUMBER('Raw data'!X13),'Raw data'!X13,""))</f>
        <v>3</v>
      </c>
      <c r="P13" s="42" t="n">
        <f aca="false">IF($A13="","",IF(ISNUMBER('Raw data'!Y13),'Raw data'!Y13,""))</f>
        <v>5</v>
      </c>
      <c r="Q13" s="42" t="n">
        <f aca="false">IF($A13="","",IF(ISNUMBER('Raw data'!Z13),'Raw data'!Z13,""))</f>
        <v>4</v>
      </c>
      <c r="R13" s="42" t="n">
        <f aca="false">IF($A13="","",IF(ISNUMBER('Raw data'!J13),'Raw data'!J13*100,""))</f>
        <v>42.9948284542553</v>
      </c>
      <c r="S13" s="41" t="n">
        <f aca="false">IF($A13="","",IF(ISNUMBER('Raw data'!K13),'Raw data'!K13*100,""))</f>
        <v>0.692442654922432</v>
      </c>
      <c r="T13" s="41" t="n">
        <f aca="false">IF($A13="","",IF(ISNUMBER('Raw data'!L13),'Raw data'!L13*100,""))</f>
        <v>2.52759090146857</v>
      </c>
      <c r="U13" s="41" t="n">
        <f aca="false">IF($A13="","",IF(ISNUMBER('Raw data'!M13),'Raw data'!M13*100,""))</f>
        <v>3.79030127118749</v>
      </c>
      <c r="V13" s="41" t="n">
        <f aca="false">IF($A13="","",IF(ISNUMBER('Raw data'!N13),'Raw data'!N13*100,""))</f>
        <v>3.84261657086995</v>
      </c>
      <c r="W13" s="41" t="n">
        <f aca="false">IF($A13="","",IF(ISNUMBER('Raw data'!O13),'Raw data'!O13*100,""))</f>
        <v>2.78878796908235</v>
      </c>
      <c r="X13" s="41" t="n">
        <f aca="false">IF($A13="","",IF(ISNUMBER('Raw data'!P13),'Raw data'!P13*100,""))</f>
        <v>2.19397195404747</v>
      </c>
      <c r="Y13" s="43" t="n">
        <f aca="false">IF($A13="","",IF(AND(ISNUMBER('Raw data'!J13),ISNUMBER('Raw data'!H13),ISNUMBER('Raw data'!L13),ISNUMBER('Raw data'!O13)),ROUND(('Raw data'!J13*'Raw data'!L13+(1-'Raw data'!J13)*'Raw data'!O13-'Raw data'!H13)*100,1),""))</f>
        <v>-0</v>
      </c>
    </row>
    <row r="14" customFormat="false" ht="15" hidden="false" customHeight="false" outlineLevel="0" collapsed="false">
      <c r="A14" s="36" t="str">
        <f aca="false">IF(TRIM('Raw data'!A14)="","",TRIM('Raw data'!A14))</f>
        <v>Sweden</v>
      </c>
      <c r="B14" s="36" t="str">
        <f aca="false">IF($A14="","",IF('Raw data'!B14="",UPPER(LEFT($A14,3)),'Raw data'!B14))</f>
        <v>SE</v>
      </c>
      <c r="C14" s="36" t="str">
        <f aca="false">IF($A14="","",'Raw data'!C14)</f>
        <v>Residential</v>
      </c>
      <c r="D14" s="37" t="n">
        <f aca="false">IF(OR($A14="",'Raw data'!E14=""),"",'Raw data'!E14)</f>
        <v>90</v>
      </c>
      <c r="E14" s="37" t="n">
        <f aca="false">IF(OR($A14="",'Raw data'!Q14=""),"",'Raw data'!Q14)</f>
        <v>6.3</v>
      </c>
      <c r="F14" s="41" t="n">
        <f aca="false">IF($A14="","",IF(ISNUMBER('Raw data'!G14),'Raw data'!G14*100,""))</f>
        <v>-0.0390270398990311</v>
      </c>
      <c r="G14" s="41" t="n">
        <f aca="false">IF($A14="","",IF(ISNUMBER('Raw data'!H14),'Raw data'!H14*100,""))</f>
        <v>2.05347279014041</v>
      </c>
      <c r="H14" s="41" t="n">
        <f aca="false">IF($A14="","",IF(ISNUMBER('Raw data'!I14),'Raw data'!I14*100,""))</f>
        <v>2.57026876814164</v>
      </c>
      <c r="I14" s="41" t="n">
        <f aca="false">IF($A14="","",IF(ISNUMBER('Raw data'!R14),'Raw data'!R14*100,""))</f>
        <v>1</v>
      </c>
      <c r="J14" s="41" t="n">
        <f aca="false">IF($A14="","",IF(ISNUMBER('Raw data'!S14),'Raw data'!S14*100,""))</f>
        <v>0</v>
      </c>
      <c r="K14" s="41" t="n">
        <f aca="false">IF($A14="","",IF(ISNUMBER('Raw data'!T14),'Raw data'!T14*100,""))</f>
        <v>3.5</v>
      </c>
      <c r="L14" s="41" t="n">
        <f aca="false">IF($A14="","",IF('Raw data'!V14&lt;&gt;"",'Raw data'!V14*100,IF(AND(N('Raw data'!E14)&gt;0,'Raw data'!Q14&lt;&gt;""),'Raw data'!Q14*(1+N('Raw data'!S14))/('Raw data'!E14*(1+N('Raw data'!H14)))*100,"")))</f>
        <v>6.85914923678745</v>
      </c>
      <c r="M14" s="41" t="n">
        <f aca="false">IF($A14="","",IF('Raw data'!U14&lt;&gt;"",'Raw data'!U14*100,IF(AND(N('Raw data'!E14)&gt;0,'Raw data'!Q14&lt;&gt;""),'Raw data'!Q14/'Raw data'!E14*100,"")))</f>
        <v>7</v>
      </c>
      <c r="N14" s="42" t="n">
        <f aca="false">IF($A14="","",IF(ISNUMBER('Raw data'!W14),'Raw data'!W14,""))</f>
        <v>4</v>
      </c>
      <c r="O14" s="42" t="n">
        <f aca="false">IF($A14="","",IF(ISNUMBER('Raw data'!X14),'Raw data'!X14,""))</f>
        <v>3</v>
      </c>
      <c r="P14" s="42" t="n">
        <f aca="false">IF($A14="","",IF(ISNUMBER('Raw data'!Y14),'Raw data'!Y14,""))</f>
        <v>3</v>
      </c>
      <c r="Q14" s="42" t="n">
        <f aca="false">IF($A14="","",IF(ISNUMBER('Raw data'!Z14),'Raw data'!Z14,""))</f>
        <v>3</v>
      </c>
      <c r="R14" s="42" t="n">
        <f aca="false">IF($A14="","",IF(ISNUMBER('Raw data'!J14),'Raw data'!J14*100,""))</f>
        <v>60.6806888668895</v>
      </c>
      <c r="S14" s="41" t="n">
        <f aca="false">IF($A14="","",IF(ISNUMBER('Raw data'!K14),'Raw data'!K14*100,""))</f>
        <v>4.59838541730646</v>
      </c>
      <c r="T14" s="41" t="n">
        <f aca="false">IF($A14="","",IF(ISNUMBER('Raw data'!L14),'Raw data'!L14*100,""))</f>
        <v>-0.483916094939019</v>
      </c>
      <c r="U14" s="41" t="n">
        <f aca="false">IF($A14="","",IF(ISNUMBER('Raw data'!M14),'Raw data'!M14*100,""))</f>
        <v>2.66223472909226</v>
      </c>
      <c r="V14" s="41" t="n">
        <f aca="false">IF($A14="","",IF(ISNUMBER('Raw data'!N14),'Raw data'!N14*100,""))</f>
        <v>-5.33889216975546</v>
      </c>
      <c r="W14" s="41" t="n">
        <f aca="false">IF($A14="","",IF(ISNUMBER('Raw data'!O14),'Raw data'!O14*100,""))</f>
        <v>5.9693731717255</v>
      </c>
      <c r="X14" s="41" t="n">
        <f aca="false">IF($A14="","",IF(ISNUMBER('Raw data'!P14),'Raw data'!P14*100,""))</f>
        <v>2.43639450466462</v>
      </c>
      <c r="Y14" s="43" t="n">
        <f aca="false">IF($A14="","",IF(AND(ISNUMBER('Raw data'!J14),ISNUMBER('Raw data'!H14),ISNUMBER('Raw data'!L14),ISNUMBER('Raw data'!O14)),ROUND(('Raw data'!J14*'Raw data'!L14+(1-'Raw data'!J14)*'Raw data'!O14-'Raw data'!H14)*100,1),""))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Sweden</v>
      </c>
      <c r="B15" s="36" t="str">
        <f aca="false">IF($A15="","",IF('Raw data'!B15="",UPPER(LEFT($A15,3)),'Raw data'!B15))</f>
        <v>SE</v>
      </c>
      <c r="C15" s="36" t="str">
        <f aca="false">IF($A15="","",'Raw data'!C15)</f>
        <v>Commercial</v>
      </c>
      <c r="D15" s="37" t="n">
        <f aca="false">IF(OR($A15="",'Raw data'!E15=""),"",'Raw data'!E15)</f>
        <v>185</v>
      </c>
      <c r="E15" s="37" t="n">
        <f aca="false">IF(OR($A15="",'Raw data'!Q15=""),"",'Raw data'!Q15)</f>
        <v>10.2</v>
      </c>
      <c r="F15" s="41" t="n">
        <f aca="false">IF($A15="","",IF(ISNUMBER('Raw data'!G15),'Raw data'!G15*100,""))</f>
        <v>-0.402900622497826</v>
      </c>
      <c r="G15" s="41" t="n">
        <f aca="false">IF($A15="","",IF(ISNUMBER('Raw data'!H15),'Raw data'!H15*100,""))</f>
        <v>-0.652981438720612</v>
      </c>
      <c r="H15" s="41" t="n">
        <f aca="false">IF($A15="","",IF(ISNUMBER('Raw data'!I15),'Raw data'!I15*100,""))</f>
        <v>2.26991071956315</v>
      </c>
      <c r="I15" s="41" t="n">
        <f aca="false">IF($A15="","",IF(ISNUMBER('Raw data'!R15),'Raw data'!R15*100,""))</f>
        <v>1.5</v>
      </c>
      <c r="J15" s="41" t="n">
        <f aca="false">IF($A15="","",IF(ISNUMBER('Raw data'!S15),'Raw data'!S15*100,""))</f>
        <v>0.5</v>
      </c>
      <c r="K15" s="41" t="n">
        <f aca="false">IF($A15="","",IF(ISNUMBER('Raw data'!T15),'Raw data'!T15*100,""))</f>
        <v>4</v>
      </c>
      <c r="L15" s="41" t="n">
        <f aca="false">IF($A15="","",IF('Raw data'!V15&lt;&gt;"",'Raw data'!V15*100,IF(AND(N('Raw data'!E15)&gt;0,'Raw data'!Q15&lt;&gt;""),'Raw data'!Q15*(1+N('Raw data'!S15))/('Raw data'!E15*(1+N('Raw data'!H15)))*100,"")))</f>
        <v>5.57750112819261</v>
      </c>
      <c r="M15" s="41" t="n">
        <f aca="false">IF($A15="","",IF('Raw data'!U15&lt;&gt;"",'Raw data'!U15*100,IF(AND(N('Raw data'!E15)&gt;0,'Raw data'!Q15&lt;&gt;""),'Raw data'!Q15/'Raw data'!E15*100,"")))</f>
        <v>5.51351351351351</v>
      </c>
      <c r="N15" s="42" t="n">
        <f aca="false">IF($A15="","",IF(ISNUMBER('Raw data'!W15),'Raw data'!W15,""))</f>
        <v>4</v>
      </c>
      <c r="O15" s="42" t="n">
        <f aca="false">IF($A15="","",IF(ISNUMBER('Raw data'!X15),'Raw data'!X15,""))</f>
        <v>3</v>
      </c>
      <c r="P15" s="42" t="n">
        <f aca="false">IF($A15="","",IF(ISNUMBER('Raw data'!Y15),'Raw data'!Y15,""))</f>
        <v>3</v>
      </c>
      <c r="Q15" s="42" t="n">
        <f aca="false">IF($A15="","",IF(ISNUMBER('Raw data'!Z15),'Raw data'!Z15,""))</f>
        <v>3</v>
      </c>
      <c r="R15" s="42" t="n">
        <f aca="false">IF($A15="","",IF(ISNUMBER('Raw data'!J15),'Raw data'!J15*100,""))</f>
        <v>54.1020840838358</v>
      </c>
      <c r="S15" s="41" t="n">
        <f aca="false">IF($A15="","",IF(ISNUMBER('Raw data'!K15),'Raw data'!K15*100,""))</f>
        <v>5.01975479380685</v>
      </c>
      <c r="T15" s="41" t="n">
        <f aca="false">IF($A15="","",IF(ISNUMBER('Raw data'!L15),'Raw data'!L15*100,""))</f>
        <v>-2.39303756292871</v>
      </c>
      <c r="U15" s="41" t="n">
        <f aca="false">IF($A15="","",IF(ISNUMBER('Raw data'!M15),'Raw data'!M15*100,""))</f>
        <v>2.66289617092792</v>
      </c>
      <c r="V15" s="41" t="n">
        <f aca="false">IF($A15="","",IF(ISNUMBER('Raw data'!N15),'Raw data'!N15*100,""))</f>
        <v>-5.1187487299301</v>
      </c>
      <c r="W15" s="41" t="n">
        <f aca="false">IF($A15="","",IF(ISNUMBER('Raw data'!O15),'Raw data'!O15*100,""))</f>
        <v>1.39810652166641</v>
      </c>
      <c r="X15" s="41" t="n">
        <f aca="false">IF($A15="","",IF(ISNUMBER('Raw data'!P15),'Raw data'!P15*100,""))</f>
        <v>1.81655774098575</v>
      </c>
      <c r="Y15" s="43" t="n">
        <f aca="false">IF($A15="","",IF(AND(ISNUMBER('Raw data'!J15),ISNUMBER('Raw data'!H15),ISNUMBER('Raw data'!L15),ISNUMBER('Raw data'!O15)),ROUND(('Raw data'!J15*'Raw data'!L15+(1-'Raw data'!J15)*'Raw data'!O15-'Raw data'!H15)*100,1),""))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Norway</v>
      </c>
      <c r="B16" s="36" t="str">
        <f aca="false">IF($A16="","",IF('Raw data'!B16="",UPPER(LEFT($A16,3)),'Raw data'!B16))</f>
        <v>NO</v>
      </c>
      <c r="C16" s="36" t="str">
        <f aca="false">IF($A16="","",'Raw data'!C16)</f>
        <v>Residential</v>
      </c>
      <c r="D16" s="37" t="n">
        <f aca="false">IF(OR($A16="",'Raw data'!E16=""),"",'Raw data'!E16)</f>
        <v>50</v>
      </c>
      <c r="E16" s="37" t="n">
        <f aca="false">IF(OR($A16="",'Raw data'!Q16=""),"",'Raw data'!Q16)</f>
        <v>3.8</v>
      </c>
      <c r="F16" s="41" t="n">
        <f aca="false">IF($A16="","",IF(ISNUMBER('Raw data'!G16),'Raw data'!G16*100,""))</f>
        <v>-2.44620040690535</v>
      </c>
      <c r="G16" s="41" t="n">
        <f aca="false">IF($A16="","",IF(ISNUMBER('Raw data'!H16),'Raw data'!H16*100,""))</f>
        <v>-5.56125893658148</v>
      </c>
      <c r="H16" s="41" t="n">
        <f aca="false">IF($A16="","",IF(ISNUMBER('Raw data'!I16),'Raw data'!I16*100,""))</f>
        <v>2.86285547308702</v>
      </c>
      <c r="I16" s="41" t="n">
        <f aca="false">IF($A16="","",IF(ISNUMBER('Raw data'!R16),'Raw data'!R16*100,""))</f>
        <v>1.5</v>
      </c>
      <c r="J16" s="41" t="n">
        <f aca="false">IF($A16="","",IF(ISNUMBER('Raw data'!S16),'Raw data'!S16*100,""))</f>
        <v>0.5</v>
      </c>
      <c r="K16" s="41" t="n">
        <f aca="false">IF($A16="","",IF(ISNUMBER('Raw data'!T16),'Raw data'!T16*100,""))</f>
        <v>3</v>
      </c>
      <c r="L16" s="41" t="n">
        <f aca="false">IF($A16="","",IF('Raw data'!V16&lt;&gt;"",'Raw data'!V16*100,IF(AND(N('Raw data'!E16)&gt;0,'Raw data'!Q16&lt;&gt;""),'Raw data'!Q16*(1+N('Raw data'!S16))/('Raw data'!E16*(1+N('Raw data'!H16)))*100,"")))</f>
        <v>8.08778252864558</v>
      </c>
      <c r="M16" s="41" t="n">
        <f aca="false">IF($A16="","",IF('Raw data'!U16&lt;&gt;"",'Raw data'!U16*100,IF(AND(N('Raw data'!E16)&gt;0,'Raw data'!Q16&lt;&gt;""),'Raw data'!Q16/'Raw data'!E16*100,"")))</f>
        <v>7.6</v>
      </c>
      <c r="N16" s="42" t="n">
        <f aca="false">IF($A16="","",IF(ISNUMBER('Raw data'!W16),'Raw data'!W16,""))</f>
        <v>4</v>
      </c>
      <c r="O16" s="42" t="n">
        <f aca="false">IF($A16="","",IF(ISNUMBER('Raw data'!X16),'Raw data'!X16,""))</f>
        <v>3</v>
      </c>
      <c r="P16" s="42" t="n">
        <f aca="false">IF($A16="","",IF(ISNUMBER('Raw data'!Y16),'Raw data'!Y16,""))</f>
        <v>3</v>
      </c>
      <c r="Q16" s="42" t="n">
        <f aca="false">IF($A16="","",IF(ISNUMBER('Raw data'!Z16),'Raw data'!Z16,""))</f>
        <v>3</v>
      </c>
      <c r="R16" s="42" t="n">
        <f aca="false">IF($A16="","",IF(ISNUMBER('Raw data'!J16),'Raw data'!J16*100,""))</f>
        <v>75.231911804149</v>
      </c>
      <c r="S16" s="41" t="n">
        <f aca="false">IF($A16="","",IF(ISNUMBER('Raw data'!K16),'Raw data'!K16*100,""))</f>
        <v>0.918783915111576</v>
      </c>
      <c r="T16" s="41" t="n">
        <f aca="false">IF($A16="","",IF(ISNUMBER('Raw data'!L16),'Raw data'!L16*100,""))</f>
        <v>-5.98883739227715</v>
      </c>
      <c r="U16" s="41" t="n">
        <f aca="false">IF($A16="","",IF(ISNUMBER('Raw data'!M16),'Raw data'!M16*100,""))</f>
        <v>2.1261829806934</v>
      </c>
      <c r="V16" s="41" t="n">
        <f aca="false">IF($A16="","",IF(ISNUMBER('Raw data'!N16),'Raw data'!N16*100,""))</f>
        <v>-9.72647889181081</v>
      </c>
      <c r="W16" s="41" t="n">
        <f aca="false">IF($A16="","",IF(ISNUMBER('Raw data'!O16),'Raw data'!O16*100,""))</f>
        <v>-4.26250933532482</v>
      </c>
      <c r="X16" s="41" t="n">
        <f aca="false">IF($A16="","",IF(ISNUMBER('Raw data'!P16),'Raw data'!P16*100,""))</f>
        <v>4.94301639433219</v>
      </c>
      <c r="Y16" s="43" t="n">
        <f aca="false">IF($A16="","",IF(AND(ISNUMBER('Raw data'!J16),ISNUMBER('Raw data'!H16),ISNUMBER('Raw data'!L16),ISNUMBER('Raw data'!O16)),ROUND(('Raw data'!J16*'Raw data'!L16+(1-'Raw data'!J16)*'Raw data'!O16-'Raw data'!H16)*100,1),""))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Norway</v>
      </c>
      <c r="B17" s="36" t="str">
        <f aca="false">IF($A17="","",IF('Raw data'!B17="",UPPER(LEFT($A17,3)),'Raw data'!B17))</f>
        <v>NO</v>
      </c>
      <c r="C17" s="36" t="str">
        <f aca="false">IF($A17="","",'Raw data'!C17)</f>
        <v>Commercial</v>
      </c>
      <c r="D17" s="37" t="n">
        <f aca="false">IF(OR($A17="",'Raw data'!E17=""),"",'Raw data'!E17)</f>
        <v>130</v>
      </c>
      <c r="E17" s="37" t="n">
        <f aca="false">IF(OR($A17="",'Raw data'!Q17=""),"",'Raw data'!Q17)</f>
        <v>7.2</v>
      </c>
      <c r="F17" s="41" t="n">
        <f aca="false">IF($A17="","",IF(ISNUMBER('Raw data'!G17),'Raw data'!G17*100,""))</f>
        <v>-1.37269352433753</v>
      </c>
      <c r="G17" s="41" t="n">
        <f aca="false">IF($A17="","",IF(ISNUMBER('Raw data'!H17),'Raw data'!H17*100,""))</f>
        <v>2.43441397356168</v>
      </c>
      <c r="H17" s="41" t="n">
        <f aca="false">IF($A17="","",IF(ISNUMBER('Raw data'!I17),'Raw data'!I17*100,""))</f>
        <v>2.23445448537853</v>
      </c>
      <c r="I17" s="41" t="n">
        <f aca="false">IF($A17="","",IF(ISNUMBER('Raw data'!R17),'Raw data'!R17*100,""))</f>
        <v>2</v>
      </c>
      <c r="J17" s="41" t="n">
        <f aca="false">IF($A17="","",IF(ISNUMBER('Raw data'!S17),'Raw data'!S17*100,""))</f>
        <v>1</v>
      </c>
      <c r="K17" s="41" t="n">
        <f aca="false">IF($A17="","",IF(ISNUMBER('Raw data'!T17),'Raw data'!T17*100,""))</f>
        <v>3.5</v>
      </c>
      <c r="L17" s="41" t="n">
        <f aca="false">IF($A17="","",IF('Raw data'!V17&lt;&gt;"",'Raw data'!V17*100,IF(AND(N('Raw data'!E17)&gt;0,'Raw data'!Q17&lt;&gt;""),'Raw data'!Q17*(1+N('Raw data'!S17))/('Raw data'!E17*(1+N('Raw data'!H17)))*100,"")))</f>
        <v>5.46090511660459</v>
      </c>
      <c r="M17" s="41" t="n">
        <f aca="false">IF($A17="","",IF('Raw data'!U17&lt;&gt;"",'Raw data'!U17*100,IF(AND(N('Raw data'!E17)&gt;0,'Raw data'!Q17&lt;&gt;""),'Raw data'!Q17/'Raw data'!E17*100,"")))</f>
        <v>5.53846153846154</v>
      </c>
      <c r="N17" s="42" t="n">
        <f aca="false">IF($A17="","",IF(ISNUMBER('Raw data'!W17),'Raw data'!W17,""))</f>
        <v>4</v>
      </c>
      <c r="O17" s="42" t="n">
        <f aca="false">IF($A17="","",IF(ISNUMBER('Raw data'!X17),'Raw data'!X17,""))</f>
        <v>3</v>
      </c>
      <c r="P17" s="42" t="n">
        <f aca="false">IF($A17="","",IF(ISNUMBER('Raw data'!Y17),'Raw data'!Y17,""))</f>
        <v>3</v>
      </c>
      <c r="Q17" s="42" t="n">
        <f aca="false">IF($A17="","",IF(ISNUMBER('Raw data'!Z17),'Raw data'!Z17,""))</f>
        <v>3</v>
      </c>
      <c r="R17" s="42" t="n">
        <f aca="false">IF($A17="","",IF(ISNUMBER('Raw data'!J17),'Raw data'!J17*100,""))</f>
        <v>59.1599551432358</v>
      </c>
      <c r="S17" s="41" t="n">
        <f aca="false">IF($A17="","",IF(ISNUMBER('Raw data'!K17),'Raw data'!K17*100,""))</f>
        <v>1.53103604232856</v>
      </c>
      <c r="T17" s="41" t="n">
        <f aca="false">IF($A17="","",IF(ISNUMBER('Raw data'!L17),'Raw data'!L17*100,""))</f>
        <v>-0.598253776782132</v>
      </c>
      <c r="U17" s="41" t="n">
        <f aca="false">IF($A17="","",IF(ISNUMBER('Raw data'!M17),'Raw data'!M17*100,""))</f>
        <v>3.13870044129079</v>
      </c>
      <c r="V17" s="41" t="n">
        <f aca="false">IF($A17="","",IF(ISNUMBER('Raw data'!N17),'Raw data'!N17*100,""))</f>
        <v>-4.83484732141297</v>
      </c>
      <c r="W17" s="41" t="n">
        <f aca="false">IF($A17="","",IF(ISNUMBER('Raw data'!O17),'Raw data'!O17*100,""))</f>
        <v>6.82746713263438</v>
      </c>
      <c r="X17" s="41" t="n">
        <f aca="false">IF($A17="","",IF(ISNUMBER('Raw data'!P17),'Raw data'!P17*100,""))</f>
        <v>0.962630833084033</v>
      </c>
      <c r="Y17" s="43" t="n">
        <f aca="false">IF($A17="","",IF(AND(ISNUMBER('Raw data'!J17),ISNUMBER('Raw data'!H17),ISNUMBER('Raw data'!L17),ISNUMBER('Raw data'!O17)),ROUND(('Raw data'!J17*'Raw data'!L17+(1-'Raw data'!J17)*'Raw data'!O17-'Raw data'!H17)*100,1),""))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Finland</v>
      </c>
      <c r="B18" s="36" t="str">
        <f aca="false">IF($A18="","",IF('Raw data'!B18="",UPPER(LEFT($A18,3)),'Raw data'!B18))</f>
        <v>FI</v>
      </c>
      <c r="C18" s="36" t="str">
        <f aca="false">IF($A18="","",'Raw data'!C18)</f>
        <v>Residential</v>
      </c>
      <c r="D18" s="37" t="n">
        <f aca="false">IF(OR($A18="",'Raw data'!E18=""),"",'Raw data'!E18)</f>
        <v>20</v>
      </c>
      <c r="E18" s="37" t="n">
        <f aca="false">IF(OR($A18="",'Raw data'!Q18=""),"",'Raw data'!Q18)</f>
        <v>1.3</v>
      </c>
      <c r="F18" s="41" t="n">
        <f aca="false">IF($A18="","",IF(ISNUMBER('Raw data'!G18),'Raw data'!G18*100,""))</f>
        <v>-6.24297451878662</v>
      </c>
      <c r="G18" s="41" t="n">
        <f aca="false">IF($A18="","",IF(ISNUMBER('Raw data'!H18),'Raw data'!H18*100,""))</f>
        <v>-2.97078842881453</v>
      </c>
      <c r="H18" s="41" t="n">
        <f aca="false">IF($A18="","",IF(ISNUMBER('Raw data'!I18),'Raw data'!I18*100,""))</f>
        <v>4.10537557782591</v>
      </c>
      <c r="I18" s="41" t="n">
        <f aca="false">IF($A18="","",IF(ISNUMBER('Raw data'!R18),'Raw data'!R18*100,""))</f>
        <v>0.5</v>
      </c>
      <c r="J18" s="41" t="n">
        <f aca="false">IF($A18="","",IF(ISNUMBER('Raw data'!S18),'Raw data'!S18*100,""))</f>
        <v>-0.5</v>
      </c>
      <c r="K18" s="41" t="n">
        <f aca="false">IF($A18="","",IF(ISNUMBER('Raw data'!T18),'Raw data'!T18*100,""))</f>
        <v>3</v>
      </c>
      <c r="L18" s="41" t="n">
        <f aca="false">IF($A18="","",IF('Raw data'!V18&lt;&gt;"",'Raw data'!V18*100,IF(AND(N('Raw data'!E18)&gt;0,'Raw data'!Q18&lt;&gt;""),'Raw data'!Q18*(1+N('Raw data'!S18))/('Raw data'!E18*(1+N('Raw data'!H18)))*100,"")))</f>
        <v>6.66551845085861</v>
      </c>
      <c r="M18" s="41" t="n">
        <f aca="false">IF($A18="","",IF('Raw data'!U18&lt;&gt;"",'Raw data'!U18*100,IF(AND(N('Raw data'!E18)&gt;0,'Raw data'!Q18&lt;&gt;""),'Raw data'!Q18/'Raw data'!E18*100,"")))</f>
        <v>6.5</v>
      </c>
      <c r="N18" s="42" t="n">
        <f aca="false">IF($A18="","",IF(ISNUMBER('Raw data'!W18),'Raw data'!W18,""))</f>
        <v>4</v>
      </c>
      <c r="O18" s="42" t="n">
        <f aca="false">IF($A18="","",IF(ISNUMBER('Raw data'!X18),'Raw data'!X18,""))</f>
        <v>3</v>
      </c>
      <c r="P18" s="42" t="n">
        <f aca="false">IF($A18="","",IF(ISNUMBER('Raw data'!Y18),'Raw data'!Y18,""))</f>
        <v>3</v>
      </c>
      <c r="Q18" s="42" t="n">
        <f aca="false">IF($A18="","",IF(ISNUMBER('Raw data'!Z18),'Raw data'!Z18,""))</f>
        <v>3</v>
      </c>
      <c r="R18" s="42" t="n">
        <f aca="false">IF($A18="","",IF(ISNUMBER('Raw data'!J18),'Raw data'!J18*100,""))</f>
        <v>80.0228067687654</v>
      </c>
      <c r="S18" s="41" t="n">
        <f aca="false">IF($A18="","",IF(ISNUMBER('Raw data'!K18),'Raw data'!K18*100,""))</f>
        <v>-4.01624266565354</v>
      </c>
      <c r="T18" s="41" t="n">
        <f aca="false">IF($A18="","",IF(ISNUMBER('Raw data'!L18),'Raw data'!L18*100,""))</f>
        <v>-1.63397003772973</v>
      </c>
      <c r="U18" s="41" t="n">
        <f aca="false">IF($A18="","",IF(ISNUMBER('Raw data'!M18),'Raw data'!M18*100,""))</f>
        <v>3.79303960728621</v>
      </c>
      <c r="V18" s="41" t="n">
        <f aca="false">IF($A18="","",IF(ISNUMBER('Raw data'!N18),'Raw data'!N18*100,""))</f>
        <v>-12.8804316121209</v>
      </c>
      <c r="W18" s="41" t="n">
        <f aca="false">IF($A18="","",IF(ISNUMBER('Raw data'!O18),'Raw data'!O18*100,""))</f>
        <v>-8.32569282186273</v>
      </c>
      <c r="X18" s="41" t="n">
        <f aca="false">IF($A18="","",IF(ISNUMBER('Raw data'!P18),'Raw data'!P18*100,""))</f>
        <v>5.40684666979081</v>
      </c>
      <c r="Y18" s="43" t="n">
        <f aca="false">IF($A18="","",IF(AND(ISNUMBER('Raw data'!J18),ISNUMBER('Raw data'!H18),ISNUMBER('Raw data'!L18),ISNUMBER('Raw data'!O18)),ROUND(('Raw data'!J18*'Raw data'!L18+(1-'Raw data'!J18)*'Raw data'!O18-'Raw data'!H18)*100,1),""))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Finland</v>
      </c>
      <c r="B19" s="36" t="str">
        <f aca="false">IF($A19="","",IF('Raw data'!B19="",UPPER(LEFT($A19,3)),'Raw data'!B19))</f>
        <v>FI</v>
      </c>
      <c r="C19" s="36" t="str">
        <f aca="false">IF($A19="","",'Raw data'!C19)</f>
        <v>Commercial</v>
      </c>
      <c r="D19" s="37" t="n">
        <f aca="false">IF(OR($A19="",'Raw data'!E19=""),"",'Raw data'!E19)</f>
        <v>50</v>
      </c>
      <c r="E19" s="37" t="n">
        <f aca="false">IF(OR($A19="",'Raw data'!Q19=""),"",'Raw data'!Q19)</f>
        <v>2.5</v>
      </c>
      <c r="F19" s="41" t="n">
        <f aca="false">IF($A19="","",IF(ISNUMBER('Raw data'!G19),'Raw data'!G19*100,""))</f>
        <v>-6.2718340864463</v>
      </c>
      <c r="G19" s="41" t="n">
        <f aca="false">IF($A19="","",IF(ISNUMBER('Raw data'!H19),'Raw data'!H19*100,""))</f>
        <v>-0.852818518344989</v>
      </c>
      <c r="H19" s="41" t="n">
        <f aca="false">IF($A19="","",IF(ISNUMBER('Raw data'!I19),'Raw data'!I19*100,""))</f>
        <v>3.30537597407516</v>
      </c>
      <c r="I19" s="41" t="n">
        <f aca="false">IF($A19="","",IF(ISNUMBER('Raw data'!R19),'Raw data'!R19*100,""))</f>
        <v>1</v>
      </c>
      <c r="J19" s="41" t="n">
        <f aca="false">IF($A19="","",IF(ISNUMBER('Raw data'!S19),'Raw data'!S19*100,""))</f>
        <v>0</v>
      </c>
      <c r="K19" s="41" t="n">
        <f aca="false">IF($A19="","",IF(ISNUMBER('Raw data'!T19),'Raw data'!T19*100,""))</f>
        <v>3.5</v>
      </c>
      <c r="L19" s="41" t="n">
        <f aca="false">IF($A19="","",IF('Raw data'!V19&lt;&gt;"",'Raw data'!V19*100,IF(AND(N('Raw data'!E19)&gt;0,'Raw data'!Q19&lt;&gt;""),'Raw data'!Q19*(1+N('Raw data'!S19))/('Raw data'!E19*(1+N('Raw data'!H19)))*100,"")))</f>
        <v>5.04300770357768</v>
      </c>
      <c r="M19" s="41" t="n">
        <f aca="false">IF($A19="","",IF('Raw data'!U19&lt;&gt;"",'Raw data'!U19*100,IF(AND(N('Raw data'!E19)&gt;0,'Raw data'!Q19&lt;&gt;""),'Raw data'!Q19/'Raw data'!E19*100,"")))</f>
        <v>5</v>
      </c>
      <c r="N19" s="42" t="n">
        <f aca="false">IF($A19="","",IF(ISNUMBER('Raw data'!W19),'Raw data'!W19,""))</f>
        <v>4</v>
      </c>
      <c r="O19" s="42" t="n">
        <f aca="false">IF($A19="","",IF(ISNUMBER('Raw data'!X19),'Raw data'!X19,""))</f>
        <v>3</v>
      </c>
      <c r="P19" s="42" t="n">
        <f aca="false">IF($A19="","",IF(ISNUMBER('Raw data'!Y19),'Raw data'!Y19,""))</f>
        <v>3</v>
      </c>
      <c r="Q19" s="42" t="n">
        <f aca="false">IF($A19="","",IF(ISNUMBER('Raw data'!Z19),'Raw data'!Z19,""))</f>
        <v>3</v>
      </c>
      <c r="R19" s="42" t="n">
        <f aca="false">IF($A19="","",IF(ISNUMBER('Raw data'!J19),'Raw data'!J19*100,""))</f>
        <v>62.5839719532611</v>
      </c>
      <c r="S19" s="41" t="n">
        <f aca="false">IF($A19="","",IF(ISNUMBER('Raw data'!K19),'Raw data'!K19*100,""))</f>
        <v>-1.93795965026594</v>
      </c>
      <c r="T19" s="41" t="n">
        <f aca="false">IF($A19="","",IF(ISNUMBER('Raw data'!L19),'Raw data'!L19*100,""))</f>
        <v>2.96631079558796</v>
      </c>
      <c r="U19" s="41" t="n">
        <f aca="false">IF($A19="","",IF(ISNUMBER('Raw data'!M19),'Raw data'!M19*100,""))</f>
        <v>2.9650174076602</v>
      </c>
      <c r="V19" s="41" t="n">
        <f aca="false">IF($A19="","",IF(ISNUMBER('Raw data'!N19),'Raw data'!N19*100,""))</f>
        <v>-11.5789490686626</v>
      </c>
      <c r="W19" s="41" t="n">
        <f aca="false">IF($A19="","",IF(ISNUMBER('Raw data'!O19),'Raw data'!O19*100,""))</f>
        <v>-7.24089053845585</v>
      </c>
      <c r="X19" s="41" t="n">
        <f aca="false">IF($A19="","",IF(ISNUMBER('Raw data'!P19),'Raw data'!P19*100,""))</f>
        <v>3.92567847289851</v>
      </c>
      <c r="Y19" s="43" t="n">
        <f aca="false">IF($A19="","",IF(AND(ISNUMBER('Raw data'!J19),ISNUMBER('Raw data'!H19),ISNUMBER('Raw data'!L19),ISNUMBER('Raw data'!O19)),ROUND(('Raw data'!J19*'Raw data'!L19+(1-'Raw data'!J19)*'Raw data'!O19-'Raw data'!H19)*100,1),""))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Denmark</v>
      </c>
      <c r="B20" s="36" t="str">
        <f aca="false">IF($A20="","",IF('Raw data'!B20="",UPPER(LEFT($A20,3)),'Raw data'!B20))</f>
        <v>DK</v>
      </c>
      <c r="C20" s="36" t="str">
        <f aca="false">IF($A20="","",'Raw data'!C20)</f>
        <v>Residential</v>
      </c>
      <c r="D20" s="37" t="n">
        <f aca="false">IF(OR($A20="",'Raw data'!E20=""),"",'Raw data'!E20)</f>
        <v>135</v>
      </c>
      <c r="E20" s="37" t="n">
        <f aca="false">IF(OR($A20="",'Raw data'!Q20=""),"",'Raw data'!Q20)</f>
        <v>10.8</v>
      </c>
      <c r="F20" s="41" t="n">
        <f aca="false">IF($A20="","",IF(ISNUMBER('Raw data'!G20),'Raw data'!G20*100,""))</f>
        <v>3.26397767255737</v>
      </c>
      <c r="G20" s="41" t="n">
        <f aca="false">IF($A20="","",IF(ISNUMBER('Raw data'!H20),'Raw data'!H20*100,""))</f>
        <v>-5.30170574453849</v>
      </c>
      <c r="H20" s="41" t="n">
        <f aca="false">IF($A20="","",IF(ISNUMBER('Raw data'!I20),'Raw data'!I20*100,""))</f>
        <v>1.81504700923969</v>
      </c>
      <c r="I20" s="41" t="n">
        <f aca="false">IF($A20="","",IF(ISNUMBER('Raw data'!R20),'Raw data'!R20*100,""))</f>
        <v>2</v>
      </c>
      <c r="J20" s="41" t="n">
        <f aca="false">IF($A20="","",IF(ISNUMBER('Raw data'!S20),'Raw data'!S20*100,""))</f>
        <v>1</v>
      </c>
      <c r="K20" s="41" t="n">
        <f aca="false">IF($A20="","",IF(ISNUMBER('Raw data'!T20),'Raw data'!T20*100,""))</f>
        <v>3</v>
      </c>
      <c r="L20" s="41" t="n">
        <f aca="false">IF($A20="","",IF('Raw data'!V20&lt;&gt;"",'Raw data'!V20*100,IF(AND(N('Raw data'!E20)&gt;0,'Raw data'!Q20&lt;&gt;""),'Raw data'!Q20*(1+N('Raw data'!S20))/('Raw data'!E20*(1+N('Raw data'!H20)))*100,"")))</f>
        <v>8.53236065499037</v>
      </c>
      <c r="M20" s="41" t="n">
        <f aca="false">IF($A20="","",IF('Raw data'!U20&lt;&gt;"",'Raw data'!U20*100,IF(AND(N('Raw data'!E20)&gt;0,'Raw data'!Q20&lt;&gt;""),'Raw data'!Q20/'Raw data'!E20*100,"")))</f>
        <v>8</v>
      </c>
      <c r="N20" s="42" t="n">
        <f aca="false">IF($A20="","",IF(ISNUMBER('Raw data'!W20),'Raw data'!W20,""))</f>
        <v>4</v>
      </c>
      <c r="O20" s="42" t="n">
        <f aca="false">IF($A20="","",IF(ISNUMBER('Raw data'!X20),'Raw data'!X20,""))</f>
        <v>3</v>
      </c>
      <c r="P20" s="42" t="n">
        <f aca="false">IF($A20="","",IF(ISNUMBER('Raw data'!Y20),'Raw data'!Y20,""))</f>
        <v>3</v>
      </c>
      <c r="Q20" s="42" t="n">
        <f aca="false">IF($A20="","",IF(ISNUMBER('Raw data'!Z20),'Raw data'!Z20,""))</f>
        <v>3</v>
      </c>
      <c r="R20" s="42" t="n">
        <f aca="false">IF($A20="","",IF(ISNUMBER('Raw data'!J20),'Raw data'!J20*100,""))</f>
        <v>81.6850391608926</v>
      </c>
      <c r="S20" s="41" t="n">
        <f aca="false">IF($A20="","",IF(ISNUMBER('Raw data'!K20),'Raw data'!K20*100,""))</f>
        <v>5.82416845072404</v>
      </c>
      <c r="T20" s="41" t="n">
        <f aca="false">IF($A20="","",IF(ISNUMBER('Raw data'!L20),'Raw data'!L20*100,""))</f>
        <v>-5.06153503721374</v>
      </c>
      <c r="U20" s="41" t="n">
        <f aca="false">IF($A20="","",IF(ISNUMBER('Raw data'!M20),'Raw data'!M20*100,""))</f>
        <v>2.81623776166671</v>
      </c>
      <c r="V20" s="41" t="n">
        <f aca="false">IF($A20="","",IF(ISNUMBER('Raw data'!N20),'Raw data'!N20*100,""))</f>
        <v>-4.95651228964285</v>
      </c>
      <c r="W20" s="41" t="n">
        <f aca="false">IF($A20="","",IF(ISNUMBER('Raw data'!O20),'Raw data'!O20*100,""))</f>
        <v>-6.37287121442204</v>
      </c>
      <c r="X20" s="41" t="n">
        <f aca="false">IF($A20="","",IF(ISNUMBER('Raw data'!P20),'Raw data'!P20*100,""))</f>
        <v>-3.28957912463279</v>
      </c>
      <c r="Y20" s="43" t="n">
        <f aca="false">IF($A20="","",IF(AND(ISNUMBER('Raw data'!J20),ISNUMBER('Raw data'!H20),ISNUMBER('Raw data'!L20),ISNUMBER('Raw data'!O20)),ROUND(('Raw data'!J20*'Raw data'!L20+(1-'Raw data'!J20)*'Raw data'!O20-'Raw data'!H20)*100,1),""))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Denmark</v>
      </c>
      <c r="B21" s="36" t="str">
        <f aca="false">IF($A21="","",IF('Raw data'!B21="",UPPER(LEFT($A21,3)),'Raw data'!B21))</f>
        <v>DK</v>
      </c>
      <c r="C21" s="36" t="str">
        <f aca="false">IF($A21="","",'Raw data'!C21)</f>
        <v>Commercial</v>
      </c>
      <c r="D21" s="37" t="n">
        <f aca="false">IF(OR($A21="",'Raw data'!E21=""),"",'Raw data'!E21)</f>
        <v>90</v>
      </c>
      <c r="E21" s="37" t="n">
        <f aca="false">IF(OR($A21="",'Raw data'!Q21=""),"",'Raw data'!Q21)</f>
        <v>5.4</v>
      </c>
      <c r="F21" s="41" t="n">
        <f aca="false">IF($A21="","",IF(ISNUMBER('Raw data'!G21),'Raw data'!G21*100,""))</f>
        <v>3.54377644926591</v>
      </c>
      <c r="G21" s="41" t="n">
        <f aca="false">IF($A21="","",IF(ISNUMBER('Raw data'!H21),'Raw data'!H21*100,""))</f>
        <v>-4.07821965363917</v>
      </c>
      <c r="H21" s="41" t="n">
        <f aca="false">IF($A21="","",IF(ISNUMBER('Raw data'!I21),'Raw data'!I21*100,""))</f>
        <v>2.15696868689033</v>
      </c>
      <c r="I21" s="41" t="n">
        <f aca="false">IF($A21="","",IF(ISNUMBER('Raw data'!R21),'Raw data'!R21*100,""))</f>
        <v>2.5</v>
      </c>
      <c r="J21" s="41" t="n">
        <f aca="false">IF($A21="","",IF(ISNUMBER('Raw data'!S21),'Raw data'!S21*100,""))</f>
        <v>1.5</v>
      </c>
      <c r="K21" s="41" t="n">
        <f aca="false">IF($A21="","",IF(ISNUMBER('Raw data'!T21),'Raw data'!T21*100,""))</f>
        <v>3.5</v>
      </c>
      <c r="L21" s="41" t="n">
        <f aca="false">IF($A21="","",IF('Raw data'!V21&lt;&gt;"",'Raw data'!V21*100,IF(AND(N('Raw data'!E21)&gt;0,'Raw data'!Q21&lt;&gt;""),'Raw data'!Q21*(1+N('Raw data'!S21))/('Raw data'!E21*(1+N('Raw data'!H21)))*100,"")))</f>
        <v>6.348923026668</v>
      </c>
      <c r="M21" s="41" t="n">
        <f aca="false">IF($A21="","",IF('Raw data'!U21&lt;&gt;"",'Raw data'!U21*100,IF(AND(N('Raw data'!E21)&gt;0,'Raw data'!Q21&lt;&gt;""),'Raw data'!Q21/'Raw data'!E21*100,"")))</f>
        <v>6</v>
      </c>
      <c r="N21" s="42" t="n">
        <f aca="false">IF($A21="","",IF(ISNUMBER('Raw data'!W21),'Raw data'!W21,""))</f>
        <v>4</v>
      </c>
      <c r="O21" s="42" t="n">
        <f aca="false">IF($A21="","",IF(ISNUMBER('Raw data'!X21),'Raw data'!X21,""))</f>
        <v>3</v>
      </c>
      <c r="P21" s="42" t="n">
        <f aca="false">IF($A21="","",IF(ISNUMBER('Raw data'!Y21),'Raw data'!Y21,""))</f>
        <v>3</v>
      </c>
      <c r="Q21" s="42" t="n">
        <f aca="false">IF($A21="","",IF(ISNUMBER('Raw data'!Z21),'Raw data'!Z21,""))</f>
        <v>3</v>
      </c>
      <c r="R21" s="42" t="n">
        <f aca="false">IF($A21="","",IF(ISNUMBER('Raw data'!J21),'Raw data'!J21*100,""))</f>
        <v>45.0710477365191</v>
      </c>
      <c r="S21" s="41" t="n">
        <f aca="false">IF($A21="","",IF(ISNUMBER('Raw data'!K21),'Raw data'!K21*100,""))</f>
        <v>6.82346136542571</v>
      </c>
      <c r="T21" s="41" t="n">
        <f aca="false">IF($A21="","",IF(ISNUMBER('Raw data'!L21),'Raw data'!L21*100,""))</f>
        <v>-3.50664720828288</v>
      </c>
      <c r="U21" s="41" t="n">
        <f aca="false">IF($A21="","",IF(ISNUMBER('Raw data'!M21),'Raw data'!M21*100,""))</f>
        <v>2.87223647508359</v>
      </c>
      <c r="V21" s="41" t="n">
        <f aca="false">IF($A21="","",IF(ISNUMBER('Raw data'!N21),'Raw data'!N21*100,""))</f>
        <v>1.2511518316763</v>
      </c>
      <c r="W21" s="41" t="n">
        <f aca="false">IF($A21="","",IF(ISNUMBER('Raw data'!O21),'Raw data'!O21*100,""))</f>
        <v>-4.54721401650197</v>
      </c>
      <c r="X21" s="41" t="n">
        <f aca="false">IF($A21="","",IF(ISNUMBER('Raw data'!P21),'Raw data'!P21*100,""))</f>
        <v>1.5480878882054</v>
      </c>
      <c r="Y21" s="43" t="n">
        <f aca="false">IF($A21="","",IF(AND(ISNUMBER('Raw data'!J21),ISNUMBER('Raw data'!H21),ISNUMBER('Raw data'!L21),ISNUMBER('Raw data'!O21)),ROUND(('Raw data'!J21*'Raw data'!L21+(1-'Raw data'!J21)*'Raw data'!O21-'Raw data'!H21)*100,1),""))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Germany</v>
      </c>
      <c r="B22" s="36" t="str">
        <f aca="false">IF($A22="","",IF('Raw data'!B22="",UPPER(LEFT($A22,3)),'Raw data'!B22))</f>
        <v>DE</v>
      </c>
      <c r="C22" s="36" t="str">
        <f aca="false">IF($A22="","",'Raw data'!C22)</f>
        <v>Residential</v>
      </c>
      <c r="D22" s="37" t="n">
        <f aca="false">IF(OR($A22="",'Raw data'!E22=""),"",'Raw data'!E22)</f>
        <v>1060</v>
      </c>
      <c r="E22" s="37" t="n">
        <f aca="false">IF(OR($A22="",'Raw data'!Q22=""),"",'Raw data'!Q22)</f>
        <v>63.6</v>
      </c>
      <c r="F22" s="41" t="n">
        <f aca="false">IF($A22="","",IF(ISNUMBER('Raw data'!G22),'Raw data'!G22*100,""))</f>
        <v>-5.34251096435302</v>
      </c>
      <c r="G22" s="41" t="n">
        <f aca="false">IF($A22="","",IF(ISNUMBER('Raw data'!H22),'Raw data'!H22*100,""))</f>
        <v>-0.566275043265374</v>
      </c>
      <c r="H22" s="41" t="n">
        <f aca="false">IF($A22="","",IF(ISNUMBER('Raw data'!I22),'Raw data'!I22*100,""))</f>
        <v>2.87276954117597</v>
      </c>
      <c r="I22" s="41" t="n">
        <f aca="false">IF($A22="","",IF(ISNUMBER('Raw data'!R22),'Raw data'!R22*100,""))</f>
        <v>2</v>
      </c>
      <c r="J22" s="41" t="n">
        <f aca="false">IF($A22="","",IF(ISNUMBER('Raw data'!S22),'Raw data'!S22*100,""))</f>
        <v>-2</v>
      </c>
      <c r="K22" s="41" t="n">
        <f aca="false">IF($A22="","",IF(ISNUMBER('Raw data'!T22),'Raw data'!T22*100,""))</f>
        <v>3</v>
      </c>
      <c r="L22" s="41" t="n">
        <f aca="false">IF($A22="","",IF('Raw data'!V22&lt;&gt;"",'Raw data'!V22*100,IF(AND(N('Raw data'!E22)&gt;0,'Raw data'!Q22&lt;&gt;""),'Raw data'!Q22*(1+N('Raw data'!S22))/('Raw data'!E22*(1+N('Raw data'!H22)))*100,"")))</f>
        <v>5.91348659879582</v>
      </c>
      <c r="M22" s="41" t="n">
        <f aca="false">IF($A22="","",IF('Raw data'!U22&lt;&gt;"",'Raw data'!U22*100,IF(AND(N('Raw data'!E22)&gt;0,'Raw data'!Q22&lt;&gt;""),'Raw data'!Q22/'Raw data'!E22*100,"")))</f>
        <v>6</v>
      </c>
      <c r="N22" s="42" t="n">
        <f aca="false">IF($A22="","",IF(ISNUMBER('Raw data'!W22),'Raw data'!W22,""))</f>
        <v>3</v>
      </c>
      <c r="O22" s="42" t="n">
        <f aca="false">IF($A22="","",IF(ISNUMBER('Raw data'!X22),'Raw data'!X22,""))</f>
        <v>2</v>
      </c>
      <c r="P22" s="42" t="n">
        <f aca="false">IF($A22="","",IF(ISNUMBER('Raw data'!Y22),'Raw data'!Y22,""))</f>
        <v>3</v>
      </c>
      <c r="Q22" s="42" t="n">
        <f aca="false">IF($A22="","",IF(ISNUMBER('Raw data'!Z22),'Raw data'!Z22,""))</f>
        <v>3</v>
      </c>
      <c r="R22" s="42" t="n">
        <f aca="false">IF($A22="","",IF(ISNUMBER('Raw data'!J22),'Raw data'!J22*100,""))</f>
        <v>82.4697116388656</v>
      </c>
      <c r="S22" s="41" t="n">
        <f aca="false">IF($A22="","",IF(ISNUMBER('Raw data'!K22),'Raw data'!K22*100,""))</f>
        <v>-3.0846031919548</v>
      </c>
      <c r="T22" s="41" t="n">
        <f aca="false">IF($A22="","",IF(ISNUMBER('Raw data'!L22),'Raw data'!L22*100,""))</f>
        <v>-2.29630989934343</v>
      </c>
      <c r="U22" s="41" t="n">
        <f aca="false">IF($A22="","",IF(ISNUMBER('Raw data'!M22),'Raw data'!M22*100,""))</f>
        <v>2.97289891885875</v>
      </c>
      <c r="V22" s="41" t="n">
        <f aca="false">IF($A22="","",IF(ISNUMBER('Raw data'!N22),'Raw data'!N22*100,""))</f>
        <v>-12.9815449999589</v>
      </c>
      <c r="W22" s="41" t="n">
        <f aca="false">IF($A22="","",IF(ISNUMBER('Raw data'!O22),'Raw data'!O22*100,""))</f>
        <v>7.57252294834458</v>
      </c>
      <c r="X22" s="41" t="n">
        <f aca="false">IF($A22="","",IF(ISNUMBER('Raw data'!P22),'Raw data'!P22*100,""))</f>
        <v>2.4404828150171</v>
      </c>
      <c r="Y22" s="43" t="n">
        <f aca="false">IF($A22="","",IF(AND(ISNUMBER('Raw data'!J22),ISNUMBER('Raw data'!H22),ISNUMBER('Raw data'!L22),ISNUMBER('Raw data'!O22)),ROUND(('Raw data'!J22*'Raw data'!L22+(1-'Raw data'!J22)*'Raw data'!O22-'Raw data'!H22)*100,1),""))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Germany</v>
      </c>
      <c r="B23" s="36" t="str">
        <f aca="false">IF($A23="","",IF('Raw data'!B23="",UPPER(LEFT($A23,3)),'Raw data'!B23))</f>
        <v>DE</v>
      </c>
      <c r="C23" s="36" t="str">
        <f aca="false">IF($A23="","",'Raw data'!C23)</f>
        <v>Commercial</v>
      </c>
      <c r="D23" s="37" t="n">
        <f aca="false">IF(OR($A23="",'Raw data'!E23=""),"",'Raw data'!E23)</f>
        <v>1195</v>
      </c>
      <c r="E23" s="37" t="n">
        <f aca="false">IF(OR($A23="",'Raw data'!Q23=""),"",'Raw data'!Q23)</f>
        <v>53.8</v>
      </c>
      <c r="F23" s="41" t="n">
        <f aca="false">IF($A23="","",IF(ISNUMBER('Raw data'!G23),'Raw data'!G23*100,""))</f>
        <v>-5.19121631727134</v>
      </c>
      <c r="G23" s="41" t="n">
        <f aca="false">IF($A23="","",IF(ISNUMBER('Raw data'!H23),'Raw data'!H23*100,""))</f>
        <v>2.36626255536028</v>
      </c>
      <c r="H23" s="41" t="n">
        <f aca="false">IF($A23="","",IF(ISNUMBER('Raw data'!I23),'Raw data'!I23*100,""))</f>
        <v>3.72633789674854</v>
      </c>
      <c r="I23" s="41" t="n">
        <f aca="false">IF($A23="","",IF(ISNUMBER('Raw data'!R23),'Raw data'!R23*100,""))</f>
        <v>2.5</v>
      </c>
      <c r="J23" s="41" t="n">
        <f aca="false">IF($A23="","",IF(ISNUMBER('Raw data'!S23),'Raw data'!S23*100,""))</f>
        <v>-1.5</v>
      </c>
      <c r="K23" s="41" t="n">
        <f aca="false">IF($A23="","",IF(ISNUMBER('Raw data'!T23),'Raw data'!T23*100,""))</f>
        <v>3.5</v>
      </c>
      <c r="L23" s="41" t="n">
        <f aca="false">IF($A23="","",IF('Raw data'!V23&lt;&gt;"",'Raw data'!V23*100,IF(AND(N('Raw data'!E23)&gt;0,'Raw data'!Q23&lt;&gt;""),'Raw data'!Q23*(1+N('Raw data'!S23))/('Raw data'!E23*(1+N('Raw data'!H23)))*100,"")))</f>
        <v>4.3320529232547</v>
      </c>
      <c r="M23" s="41" t="n">
        <f aca="false">IF($A23="","",IF('Raw data'!U23&lt;&gt;"",'Raw data'!U23*100,IF(AND(N('Raw data'!E23)&gt;0,'Raw data'!Q23&lt;&gt;""),'Raw data'!Q23/'Raw data'!E23*100,"")))</f>
        <v>4.50209205020921</v>
      </c>
      <c r="N23" s="42" t="n">
        <f aca="false">IF($A23="","",IF(ISNUMBER('Raw data'!W23),'Raw data'!W23,""))</f>
        <v>3</v>
      </c>
      <c r="O23" s="42" t="n">
        <f aca="false">IF($A23="","",IF(ISNUMBER('Raw data'!X23),'Raw data'!X23,""))</f>
        <v>2</v>
      </c>
      <c r="P23" s="42" t="n">
        <f aca="false">IF($A23="","",IF(ISNUMBER('Raw data'!Y23),'Raw data'!Y23,""))</f>
        <v>3</v>
      </c>
      <c r="Q23" s="42" t="n">
        <f aca="false">IF($A23="","",IF(ISNUMBER('Raw data'!Z23),'Raw data'!Z23,""))</f>
        <v>3</v>
      </c>
      <c r="R23" s="42" t="n">
        <f aca="false">IF($A23="","",IF(ISNUMBER('Raw data'!J23),'Raw data'!J23*100,""))</f>
        <v>63.452931032972</v>
      </c>
      <c r="S23" s="41" t="n">
        <f aca="false">IF($A23="","",IF(ISNUMBER('Raw data'!K23),'Raw data'!K23*100,""))</f>
        <v>-4.40679867822753</v>
      </c>
      <c r="T23" s="41" t="n">
        <f aca="false">IF($A23="","",IF(ISNUMBER('Raw data'!L23),'Raw data'!L23*100,""))</f>
        <v>1.99575825236509</v>
      </c>
      <c r="U23" s="41" t="n">
        <f aca="false">IF($A23="","",IF(ISNUMBER('Raw data'!M23),'Raw data'!M23*100,""))</f>
        <v>4.1331877077611</v>
      </c>
      <c r="V23" s="41" t="n">
        <f aca="false">IF($A23="","",IF(ISNUMBER('Raw data'!N23),'Raw data'!N23*100,""))</f>
        <v>-6.46681041890747</v>
      </c>
      <c r="W23" s="41" t="n">
        <f aca="false">IF($A23="","",IF(ISNUMBER('Raw data'!O23),'Raw data'!O23*100,""))</f>
        <v>3.0095312127342</v>
      </c>
      <c r="X23" s="41" t="n">
        <f aca="false">IF($A23="","",IF(ISNUMBER('Raw data'!P23),'Raw data'!P23*100,""))</f>
        <v>3.01162820635343</v>
      </c>
      <c r="Y23" s="43" t="n">
        <f aca="false">IF($A23="","",IF(AND(ISNUMBER('Raw data'!J23),ISNUMBER('Raw data'!H23),ISNUMBER('Raw data'!L23),ISNUMBER('Raw data'!O23)),ROUND(('Raw data'!J23*'Raw data'!L23+(1-'Raw data'!J23)*'Raw data'!O23-'Raw data'!H23)*100,1),""))</f>
        <v>-0</v>
      </c>
    </row>
    <row r="24" customFormat="false" ht="15" hidden="false" customHeight="false" outlineLevel="0" collapsed="false">
      <c r="A24" s="36" t="str">
        <f aca="false">IF(TRIM('Raw data'!A24)="","",TRIM('Raw data'!A24))</f>
        <v>Austria</v>
      </c>
      <c r="B24" s="36" t="str">
        <f aca="false">IF($A24="","",IF('Raw data'!B24="",UPPER(LEFT($A24,3)),'Raw data'!B24))</f>
        <v>AT</v>
      </c>
      <c r="C24" s="36" t="str">
        <f aca="false">IF($A24="","",'Raw data'!C24)</f>
        <v>Residential</v>
      </c>
      <c r="D24" s="37" t="n">
        <f aca="false">IF(OR($A24="",'Raw data'!E24=""),"",'Raw data'!E24)</f>
        <v>85</v>
      </c>
      <c r="E24" s="37" t="n">
        <f aca="false">IF(OR($A24="",'Raw data'!Q24=""),"",'Raw data'!Q24)</f>
        <v>6</v>
      </c>
      <c r="F24" s="41" t="n">
        <f aca="false">IF($A24="","",IF(ISNUMBER('Raw data'!G24),'Raw data'!G24*100,""))</f>
        <v>-4.0347959574352</v>
      </c>
      <c r="G24" s="41" t="n">
        <f aca="false">IF($A24="","",IF(ISNUMBER('Raw data'!H24),'Raw data'!H24*100,""))</f>
        <v>2.49825557084584</v>
      </c>
      <c r="H24" s="41" t="n">
        <f aca="false">IF($A24="","",IF(ISNUMBER('Raw data'!I24),'Raw data'!I24*100,""))</f>
        <v>3.73754977616738</v>
      </c>
      <c r="I24" s="41" t="n">
        <f aca="false">IF($A24="","",IF(ISNUMBER('Raw data'!R24),'Raw data'!R24*100,""))</f>
        <v>2</v>
      </c>
      <c r="J24" s="41" t="n">
        <f aca="false">IF($A24="","",IF(ISNUMBER('Raw data'!S24),'Raw data'!S24*100,""))</f>
        <v>-1</v>
      </c>
      <c r="K24" s="41" t="n">
        <f aca="false">IF($A24="","",IF(ISNUMBER('Raw data'!T24),'Raw data'!T24*100,""))</f>
        <v>2.5</v>
      </c>
      <c r="L24" s="41" t="n">
        <f aca="false">IF($A24="","",IF('Raw data'!V24&lt;&gt;"",'Raw data'!V24*100,IF(AND(N('Raw data'!E24)&gt;0,'Raw data'!Q24&lt;&gt;""),'Raw data'!Q24*(1+N('Raw data'!S24))/('Raw data'!E24*(1+N('Raw data'!H24)))*100,"")))</f>
        <v>6.81790656357799</v>
      </c>
      <c r="M24" s="41" t="n">
        <f aca="false">IF($A24="","",IF('Raw data'!U24&lt;&gt;"",'Raw data'!U24*100,IF(AND(N('Raw data'!E24)&gt;0,'Raw data'!Q24&lt;&gt;""),'Raw data'!Q24/'Raw data'!E24*100,"")))</f>
        <v>7.05882352941176</v>
      </c>
      <c r="N24" s="42" t="n">
        <f aca="false">IF($A24="","",IF(ISNUMBER('Raw data'!W24),'Raw data'!W24,""))</f>
        <v>4</v>
      </c>
      <c r="O24" s="42" t="n">
        <f aca="false">IF($A24="","",IF(ISNUMBER('Raw data'!X24),'Raw data'!X24,""))</f>
        <v>3</v>
      </c>
      <c r="P24" s="42" t="n">
        <f aca="false">IF($A24="","",IF(ISNUMBER('Raw data'!Y24),'Raw data'!Y24,""))</f>
        <v>3</v>
      </c>
      <c r="Q24" s="42" t="n">
        <f aca="false">IF($A24="","",IF(ISNUMBER('Raw data'!Z24),'Raw data'!Z24,""))</f>
        <v>4</v>
      </c>
      <c r="R24" s="42" t="n">
        <f aca="false">IF($A24="","",IF(ISNUMBER('Raw data'!J24),'Raw data'!J24*100,""))</f>
        <v>42.2373226281265</v>
      </c>
      <c r="S24" s="41" t="n">
        <f aca="false">IF($A24="","",IF(ISNUMBER('Raw data'!K24),'Raw data'!K24*100,""))</f>
        <v>-1.20433774159285</v>
      </c>
      <c r="T24" s="41" t="n">
        <f aca="false">IF($A24="","",IF(ISNUMBER('Raw data'!L24),'Raw data'!L24*100,""))</f>
        <v>0.751227526006448</v>
      </c>
      <c r="U24" s="41" t="n">
        <f aca="false">IF($A24="","",IF(ISNUMBER('Raw data'!M24),'Raw data'!M24*100,""))</f>
        <v>3.63238899541662</v>
      </c>
      <c r="V24" s="41" t="n">
        <f aca="false">IF($A24="","",IF(ISNUMBER('Raw data'!N24),'Raw data'!N24*100,""))</f>
        <v>-5.82815705090648</v>
      </c>
      <c r="W24" s="41" t="n">
        <f aca="false">IF($A24="","",IF(ISNUMBER('Raw data'!O24),'Raw data'!O24*100,""))</f>
        <v>3.77572037212595</v>
      </c>
      <c r="X24" s="41" t="n">
        <f aca="false">IF($A24="","",IF(ISNUMBER('Raw data'!P24),'Raw data'!P24*100,""))</f>
        <v>3.81194653775636</v>
      </c>
      <c r="Y24" s="43" t="n">
        <f aca="false">IF($A24="","",IF(AND(ISNUMBER('Raw data'!J24),ISNUMBER('Raw data'!H24),ISNUMBER('Raw data'!L24),ISNUMBER('Raw data'!O24)),ROUND(('Raw data'!J24*'Raw data'!L24+(1-'Raw data'!J24)*'Raw data'!O24-'Raw data'!H24)*100,1),""))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Austria</v>
      </c>
      <c r="B25" s="36" t="str">
        <f aca="false">IF($A25="","",IF('Raw data'!B25="",UPPER(LEFT($A25,3)),'Raw data'!B25))</f>
        <v>AT</v>
      </c>
      <c r="C25" s="36" t="str">
        <f aca="false">IF($A25="","",'Raw data'!C25)</f>
        <v>Commercial</v>
      </c>
      <c r="D25" s="37" t="n">
        <f aca="false">IF(OR($A25="",'Raw data'!E25=""),"",'Raw data'!E25)</f>
        <v>240</v>
      </c>
      <c r="E25" s="37" t="n">
        <f aca="false">IF(OR($A25="",'Raw data'!Q25=""),"",'Raw data'!Q25)</f>
        <v>12</v>
      </c>
      <c r="F25" s="41" t="n">
        <f aca="false">IF($A25="","",IF(ISNUMBER('Raw data'!G25),'Raw data'!G25*100,""))</f>
        <v>-4.99056314974363</v>
      </c>
      <c r="G25" s="41" t="n">
        <f aca="false">IF($A25="","",IF(ISNUMBER('Raw data'!H25),'Raw data'!H25*100,""))</f>
        <v>3.19045114339906</v>
      </c>
      <c r="H25" s="41" t="n">
        <f aca="false">IF($A25="","",IF(ISNUMBER('Raw data'!I25),'Raw data'!I25*100,""))</f>
        <v>2.57312661499052</v>
      </c>
      <c r="I25" s="41" t="n">
        <f aca="false">IF($A25="","",IF(ISNUMBER('Raw data'!R25),'Raw data'!R25*100,""))</f>
        <v>2.5</v>
      </c>
      <c r="J25" s="41" t="n">
        <f aca="false">IF($A25="","",IF(ISNUMBER('Raw data'!S25),'Raw data'!S25*100,""))</f>
        <v>-0.5</v>
      </c>
      <c r="K25" s="41" t="n">
        <f aca="false">IF($A25="","",IF(ISNUMBER('Raw data'!T25),'Raw data'!T25*100,""))</f>
        <v>3</v>
      </c>
      <c r="L25" s="41" t="n">
        <f aca="false">IF($A25="","",IF('Raw data'!V25&lt;&gt;"",'Raw data'!V25*100,IF(AND(N('Raw data'!E25)&gt;0,'Raw data'!Q25&lt;&gt;""),'Raw data'!Q25*(1+N('Raw data'!S25))/('Raw data'!E25*(1+N('Raw data'!H25)))*100,"")))</f>
        <v>4.82118252694377</v>
      </c>
      <c r="M25" s="41" t="n">
        <f aca="false">IF($A25="","",IF('Raw data'!U25&lt;&gt;"",'Raw data'!U25*100,IF(AND(N('Raw data'!E25)&gt;0,'Raw data'!Q25&lt;&gt;""),'Raw data'!Q25/'Raw data'!E25*100,"")))</f>
        <v>5</v>
      </c>
      <c r="N25" s="42" t="n">
        <f aca="false">IF($A25="","",IF(ISNUMBER('Raw data'!W25),'Raw data'!W25,""))</f>
        <v>4</v>
      </c>
      <c r="O25" s="42" t="n">
        <f aca="false">IF($A25="","",IF(ISNUMBER('Raw data'!X25),'Raw data'!X25,""))</f>
        <v>3</v>
      </c>
      <c r="P25" s="42" t="n">
        <f aca="false">IF($A25="","",IF(ISNUMBER('Raw data'!Y25),'Raw data'!Y25,""))</f>
        <v>3</v>
      </c>
      <c r="Q25" s="42" t="n">
        <f aca="false">IF($A25="","",IF(ISNUMBER('Raw data'!Z25),'Raw data'!Z25,""))</f>
        <v>4</v>
      </c>
      <c r="R25" s="42" t="n">
        <f aca="false">IF($A25="","",IF(ISNUMBER('Raw data'!J25),'Raw data'!J25*100,""))</f>
        <v>36.5886791765432</v>
      </c>
      <c r="S25" s="41" t="n">
        <f aca="false">IF($A25="","",IF(ISNUMBER('Raw data'!K25),'Raw data'!K25*100,""))</f>
        <v>-0.562353815248129</v>
      </c>
      <c r="T25" s="41" t="n">
        <f aca="false">IF($A25="","",IF(ISNUMBER('Raw data'!L25),'Raw data'!L25*100,""))</f>
        <v>11.3371535824793</v>
      </c>
      <c r="U25" s="41" t="n">
        <f aca="false">IF($A25="","",IF(ISNUMBER('Raw data'!M25),'Raw data'!M25*100,""))</f>
        <v>2.10523171085899</v>
      </c>
      <c r="V25" s="41" t="n">
        <f aca="false">IF($A25="","",IF(ISNUMBER('Raw data'!N25),'Raw data'!N25*100,""))</f>
        <v>-7.07882974039739</v>
      </c>
      <c r="W25" s="41" t="n">
        <f aca="false">IF($A25="","",IF(ISNUMBER('Raw data'!O25),'Raw data'!O25*100,""))</f>
        <v>-1.51024075229796</v>
      </c>
      <c r="X25" s="41" t="n">
        <f aca="false">IF($A25="","",IF(ISNUMBER('Raw data'!P25),'Raw data'!P25*100,""))</f>
        <v>2.87378216168481</v>
      </c>
      <c r="Y25" s="43" t="n">
        <f aca="false">IF($A25="","",IF(AND(ISNUMBER('Raw data'!J25),ISNUMBER('Raw data'!H25),ISNUMBER('Raw data'!L25),ISNUMBER('Raw data'!O25)),ROUND(('Raw data'!J25*'Raw data'!L25+(1-'Raw data'!J25)*'Raw data'!O25-'Raw data'!H25)*100,1),""))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Switzerland</v>
      </c>
      <c r="B26" s="36" t="str">
        <f aca="false">IF($A26="","",IF('Raw data'!B26="",UPPER(LEFT($A26,3)),'Raw data'!B26))</f>
        <v>CH</v>
      </c>
      <c r="C26" s="36" t="str">
        <f aca="false">IF($A26="","",'Raw data'!C26)</f>
        <v>Residential</v>
      </c>
      <c r="D26" s="37" t="n">
        <f aca="false">IF(OR($A26="",'Raw data'!E26=""),"",'Raw data'!E26)</f>
        <v>75</v>
      </c>
      <c r="E26" s="37" t="n">
        <f aca="false">IF(OR($A26="",'Raw data'!Q26=""),"",'Raw data'!Q26)</f>
        <v>9</v>
      </c>
      <c r="F26" s="41" t="n">
        <f aca="false">IF($A26="","",IF(ISNUMBER('Raw data'!G26),'Raw data'!G26*100,""))</f>
        <v>0.0294211687557056</v>
      </c>
      <c r="G26" s="41" t="n">
        <f aca="false">IF($A26="","",IF(ISNUMBER('Raw data'!H26),'Raw data'!H26*100,""))</f>
        <v>-0.784952475766632</v>
      </c>
      <c r="H26" s="41" t="n">
        <f aca="false">IF($A26="","",IF(ISNUMBER('Raw data'!I26),'Raw data'!I26*100,""))</f>
        <v>1.43685816568195</v>
      </c>
      <c r="I26" s="41" t="n">
        <f aca="false">IF($A26="","",IF(ISNUMBER('Raw data'!R26),'Raw data'!R26*100,""))</f>
        <v>2.5</v>
      </c>
      <c r="J26" s="41" t="n">
        <f aca="false">IF($A26="","",IF(ISNUMBER('Raw data'!S26),'Raw data'!S26*100,""))</f>
        <v>1.5</v>
      </c>
      <c r="K26" s="41" t="n">
        <f aca="false">IF($A26="","",IF(ISNUMBER('Raw data'!T26),'Raw data'!T26*100,""))</f>
        <v>2</v>
      </c>
      <c r="L26" s="41" t="n">
        <f aca="false">IF($A26="","",IF('Raw data'!V26&lt;&gt;"",'Raw data'!V26*100,IF(AND(N('Raw data'!E26)&gt;0,'Raw data'!Q26&lt;&gt;""),'Raw data'!Q26*(1+N('Raw data'!S26))/('Raw data'!E26*(1+N('Raw data'!H26)))*100,"")))</f>
        <v>12.2763636201706</v>
      </c>
      <c r="M26" s="41" t="n">
        <f aca="false">IF($A26="","",IF('Raw data'!U26&lt;&gt;"",'Raw data'!U26*100,IF(AND(N('Raw data'!E26)&gt;0,'Raw data'!Q26&lt;&gt;""),'Raw data'!Q26/'Raw data'!E26*100,"")))</f>
        <v>12</v>
      </c>
      <c r="N26" s="42" t="n">
        <f aca="false">IF($A26="","",IF(ISNUMBER('Raw data'!W26),'Raw data'!W26,""))</f>
        <v>5</v>
      </c>
      <c r="O26" s="42" t="n">
        <f aca="false">IF($A26="","",IF(ISNUMBER('Raw data'!X26),'Raw data'!X26,""))</f>
        <v>4</v>
      </c>
      <c r="P26" s="42" t="n">
        <f aca="false">IF($A26="","",IF(ISNUMBER('Raw data'!Y26),'Raw data'!Y26,""))</f>
        <v>4</v>
      </c>
      <c r="Q26" s="42" t="n">
        <f aca="false">IF($A26="","",IF(ISNUMBER('Raw data'!Z26),'Raw data'!Z26,""))</f>
        <v>4</v>
      </c>
      <c r="R26" s="42" t="n">
        <f aca="false">IF($A26="","",IF(ISNUMBER('Raw data'!J26),'Raw data'!J26*100,""))</f>
        <v>43.3918194108586</v>
      </c>
      <c r="S26" s="41" t="n">
        <f aca="false">IF($A26="","",IF(ISNUMBER('Raw data'!K26),'Raw data'!K26*100,""))</f>
        <v>-0.549538485364742</v>
      </c>
      <c r="T26" s="41" t="n">
        <f aca="false">IF($A26="","",IF(ISNUMBER('Raw data'!L26),'Raw data'!L26*100,""))</f>
        <v>2.66935921802878</v>
      </c>
      <c r="U26" s="41" t="n">
        <f aca="false">IF($A26="","",IF(ISNUMBER('Raw data'!M26),'Raw data'!M26*100,""))</f>
        <v>3.62517979469283</v>
      </c>
      <c r="V26" s="41" t="n">
        <f aca="false">IF($A26="","",IF(ISNUMBER('Raw data'!N26),'Raw data'!N26*100,""))</f>
        <v>0.487241319101606</v>
      </c>
      <c r="W26" s="41" t="n">
        <f aca="false">IF($A26="","",IF(ISNUMBER('Raw data'!O26),'Raw data'!O26*100,""))</f>
        <v>-3.43278301273214</v>
      </c>
      <c r="X26" s="41" t="n">
        <f aca="false">IF($A26="","",IF(ISNUMBER('Raw data'!P26),'Raw data'!P26*100,""))</f>
        <v>-0.497562582892686</v>
      </c>
      <c r="Y26" s="43" t="n">
        <f aca="false">IF($A26="","",IF(AND(ISNUMBER('Raw data'!J26),ISNUMBER('Raw data'!H26),ISNUMBER('Raw data'!L26),ISNUMBER('Raw data'!O26)),ROUND(('Raw data'!J26*'Raw data'!L26+(1-'Raw data'!J26)*'Raw data'!O26-'Raw data'!H26)*100,1),""))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Switzerland</v>
      </c>
      <c r="B27" s="36" t="str">
        <f aca="false">IF($A27="","",IF('Raw data'!B27="",UPPER(LEFT($A27,3)),'Raw data'!B27))</f>
        <v>CH</v>
      </c>
      <c r="C27" s="36" t="str">
        <f aca="false">IF($A27="","",'Raw data'!C27)</f>
        <v>Commercial</v>
      </c>
      <c r="D27" s="37" t="n">
        <f aca="false">IF(OR($A27="",'Raw data'!E27=""),"",'Raw data'!E27)</f>
        <v>370</v>
      </c>
      <c r="E27" s="37" t="n">
        <f aca="false">IF(OR($A27="",'Raw data'!Q27=""),"",'Raw data'!Q27)</f>
        <v>37</v>
      </c>
      <c r="F27" s="41" t="n">
        <f aca="false">IF($A27="","",IF(ISNUMBER('Raw data'!G27),'Raw data'!G27*100,""))</f>
        <v>-0.202959145329351</v>
      </c>
      <c r="G27" s="41" t="n">
        <f aca="false">IF($A27="","",IF(ISNUMBER('Raw data'!H27),'Raw data'!H27*100,""))</f>
        <v>2.23934609082377</v>
      </c>
      <c r="H27" s="41" t="n">
        <f aca="false">IF($A27="","",IF(ISNUMBER('Raw data'!I27),'Raw data'!I27*100,""))</f>
        <v>2.87017530362954</v>
      </c>
      <c r="I27" s="41" t="n">
        <f aca="false">IF($A27="","",IF(ISNUMBER('Raw data'!R27),'Raw data'!R27*100,""))</f>
        <v>3</v>
      </c>
      <c r="J27" s="41" t="n">
        <f aca="false">IF($A27="","",IF(ISNUMBER('Raw data'!S27),'Raw data'!S27*100,""))</f>
        <v>2</v>
      </c>
      <c r="K27" s="41" t="n">
        <f aca="false">IF($A27="","",IF(ISNUMBER('Raw data'!T27),'Raw data'!T27*100,""))</f>
        <v>2.5</v>
      </c>
      <c r="L27" s="41" t="n">
        <f aca="false">IF($A27="","",IF('Raw data'!V27&lt;&gt;"",'Raw data'!V27*100,IF(AND(N('Raw data'!E27)&gt;0,'Raw data'!Q27&lt;&gt;""),'Raw data'!Q27*(1+N('Raw data'!S27))/('Raw data'!E27*(1+N('Raw data'!H27)))*100,"")))</f>
        <v>9.97658963012037</v>
      </c>
      <c r="M27" s="41" t="n">
        <f aca="false">IF($A27="","",IF('Raw data'!U27&lt;&gt;"",'Raw data'!U27*100,IF(AND(N('Raw data'!E27)&gt;0,'Raw data'!Q27&lt;&gt;""),'Raw data'!Q27/'Raw data'!E27*100,"")))</f>
        <v>10</v>
      </c>
      <c r="N27" s="42" t="n">
        <f aca="false">IF($A27="","",IF(ISNUMBER('Raw data'!W27),'Raw data'!W27,""))</f>
        <v>5</v>
      </c>
      <c r="O27" s="42" t="n">
        <f aca="false">IF($A27="","",IF(ISNUMBER('Raw data'!X27),'Raw data'!X27,""))</f>
        <v>4</v>
      </c>
      <c r="P27" s="42" t="n">
        <f aca="false">IF($A27="","",IF(ISNUMBER('Raw data'!Y27),'Raw data'!Y27,""))</f>
        <v>4</v>
      </c>
      <c r="Q27" s="42" t="n">
        <f aca="false">IF($A27="","",IF(ISNUMBER('Raw data'!Z27),'Raw data'!Z27,""))</f>
        <v>4</v>
      </c>
      <c r="R27" s="42" t="n">
        <f aca="false">IF($A27="","",IF(ISNUMBER('Raw data'!J27),'Raw data'!J27*100,""))</f>
        <v>34.7129743213395</v>
      </c>
      <c r="S27" s="41" t="n">
        <f aca="false">IF($A27="","",IF(ISNUMBER('Raw data'!K27),'Raw data'!K27*100,""))</f>
        <v>1.36656008008185</v>
      </c>
      <c r="T27" s="41" t="n">
        <f aca="false">IF($A27="","",IF(ISNUMBER('Raw data'!L27),'Raw data'!L27*100,""))</f>
        <v>-2.20012636816688</v>
      </c>
      <c r="U27" s="41" t="n">
        <f aca="false">IF($A27="","",IF(ISNUMBER('Raw data'!M27),'Raw data'!M27*100,""))</f>
        <v>0.920711679532471</v>
      </c>
      <c r="V27" s="41" t="n">
        <f aca="false">IF($A27="","",IF(ISNUMBER('Raw data'!N27),'Raw data'!N27*100,""))</f>
        <v>-0.980964662788009</v>
      </c>
      <c r="W27" s="41" t="n">
        <f aca="false">IF($A27="","",IF(ISNUMBER('Raw data'!O27),'Raw data'!O27*100,""))</f>
        <v>4.59980426558799</v>
      </c>
      <c r="X27" s="41" t="n">
        <f aca="false">IF($A27="","",IF(ISNUMBER('Raw data'!P27),'Raw data'!P27*100,""))</f>
        <v>3.78679398493862</v>
      </c>
      <c r="Y27" s="43" t="n">
        <f aca="false">IF($A27="","",IF(AND(ISNUMBER('Raw data'!J27),ISNUMBER('Raw data'!H27),ISNUMBER('Raw data'!L27),ISNUMBER('Raw data'!O27)),ROUND(('Raw data'!J27*'Raw data'!L27+(1-'Raw data'!J27)*'Raw data'!O27-'Raw data'!H27)*100,1),""))</f>
        <v>0</v>
      </c>
    </row>
    <row r="28" customFormat="false" ht="15" hidden="false" customHeight="false" outlineLevel="0" collapsed="false">
      <c r="A28" s="36" t="str">
        <f aca="false">IF(TRIM('Raw data'!A28)="","",TRIM('Raw data'!A28))</f>
        <v>United Kingdom</v>
      </c>
      <c r="B28" s="36" t="str">
        <f aca="false">IF($A28="","",IF('Raw data'!B28="",UPPER(LEFT($A28,3)),'Raw data'!B28))</f>
        <v>UK</v>
      </c>
      <c r="C28" s="36" t="str">
        <f aca="false">IF($A28="","",'Raw data'!C28)</f>
        <v>Residential</v>
      </c>
      <c r="D28" s="37" t="n">
        <f aca="false">IF(OR($A28="",'Raw data'!E28=""),"",'Raw data'!E28)</f>
        <v>1005</v>
      </c>
      <c r="E28" s="37" t="n">
        <f aca="false">IF(OR($A28="",'Raw data'!Q28=""),"",'Raw data'!Q28)</f>
        <v>32.2</v>
      </c>
      <c r="F28" s="41" t="n">
        <f aca="false">IF($A28="","",IF(ISNUMBER('Raw data'!G28),'Raw data'!G28*100,""))</f>
        <v>4.84928270822107</v>
      </c>
      <c r="G28" s="41" t="n">
        <f aca="false">IF($A28="","",IF(ISNUMBER('Raw data'!H28),'Raw data'!H28*100,""))</f>
        <v>0.965295150142276</v>
      </c>
      <c r="H28" s="41" t="n">
        <f aca="false">IF($A28="","",IF(ISNUMBER('Raw data'!I28),'Raw data'!I28*100,""))</f>
        <v>4.23295425363863</v>
      </c>
      <c r="I28" s="41" t="n">
        <f aca="false">IF($A28="","",IF(ISNUMBER('Raw data'!R28),'Raw data'!R28*100,""))</f>
        <v>-1</v>
      </c>
      <c r="J28" s="41" t="n">
        <f aca="false">IF($A28="","",IF(ISNUMBER('Raw data'!S28),'Raw data'!S28*100,""))</f>
        <v>1.5</v>
      </c>
      <c r="K28" s="41" t="n">
        <f aca="false">IF($A28="","",IF(ISNUMBER('Raw data'!T28),'Raw data'!T28*100,""))</f>
        <v>2.5</v>
      </c>
      <c r="L28" s="41" t="n">
        <f aca="false">IF($A28="","",IF('Raw data'!V28&lt;&gt;"",'Raw data'!V28*100,IF(AND(N('Raw data'!E28)&gt;0,'Raw data'!Q28&lt;&gt;""),'Raw data'!Q28*(1+N('Raw data'!S28))/('Raw data'!E28*(1+N('Raw data'!H28)))*100,"")))</f>
        <v>3.22094814476501</v>
      </c>
      <c r="M28" s="41" t="n">
        <f aca="false">IF($A28="","",IF('Raw data'!U28&lt;&gt;"",'Raw data'!U28*100,IF(AND(N('Raw data'!E28)&gt;0,'Raw data'!Q28&lt;&gt;""),'Raw data'!Q28/'Raw data'!E28*100,"")))</f>
        <v>3.20398009950249</v>
      </c>
      <c r="N28" s="42" t="n">
        <f aca="false">IF($A28="","",IF(ISNUMBER('Raw data'!W28),'Raw data'!W28,""))</f>
        <v>3</v>
      </c>
      <c r="O28" s="42" t="n">
        <f aca="false">IF($A28="","",IF(ISNUMBER('Raw data'!X28),'Raw data'!X28,""))</f>
        <v>2</v>
      </c>
      <c r="P28" s="42" t="n">
        <f aca="false">IF($A28="","",IF(ISNUMBER('Raw data'!Y28),'Raw data'!Y28,""))</f>
        <v>2</v>
      </c>
      <c r="Q28" s="42" t="n">
        <f aca="false">IF($A28="","",IF(ISNUMBER('Raw data'!Z28),'Raw data'!Z28,""))</f>
        <v>3</v>
      </c>
      <c r="R28" s="42" t="n">
        <f aca="false">IF($A28="","",IF(ISNUMBER('Raw data'!J28),'Raw data'!J28*100,""))</f>
        <v>47.6396818643388</v>
      </c>
      <c r="S28" s="41" t="n">
        <f aca="false">IF($A28="","",IF(ISNUMBER('Raw data'!K28),'Raw data'!K28*100,""))</f>
        <v>7.80631180286031</v>
      </c>
      <c r="T28" s="41" t="n">
        <f aca="false">IF($A28="","",IF(ISNUMBER('Raw data'!L28),'Raw data'!L28*100,""))</f>
        <v>-2.92014150242004</v>
      </c>
      <c r="U28" s="41" t="n">
        <f aca="false">IF($A28="","",IF(ISNUMBER('Raw data'!M28),'Raw data'!M28*100,""))</f>
        <v>3.475600059401</v>
      </c>
      <c r="V28" s="41" t="n">
        <f aca="false">IF($A28="","",IF(ISNUMBER('Raw data'!N28),'Raw data'!N28*100,""))</f>
        <v>2.53395688618621</v>
      </c>
      <c r="W28" s="41" t="n">
        <f aca="false">IF($A28="","",IF(ISNUMBER('Raw data'!O28),'Raw data'!O28*100,""))</f>
        <v>4.50043344996176</v>
      </c>
      <c r="X28" s="41" t="n">
        <f aca="false">IF($A28="","",IF(ISNUMBER('Raw data'!P28),'Raw data'!P28*100,""))</f>
        <v>4.85635979840966</v>
      </c>
      <c r="Y28" s="43" t="n">
        <f aca="false">IF($A28="","",IF(AND(ISNUMBER('Raw data'!J28),ISNUMBER('Raw data'!H28),ISNUMBER('Raw data'!L28),ISNUMBER('Raw data'!O28)),ROUND(('Raw data'!J28*'Raw data'!L28+(1-'Raw data'!J28)*'Raw data'!O28-'Raw data'!H28)*100,1),""))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United Kingdom</v>
      </c>
      <c r="B29" s="36" t="str">
        <f aca="false">IF($A29="","",IF('Raw data'!B29="",UPPER(LEFT($A29,3)),'Raw data'!B29))</f>
        <v>UK</v>
      </c>
      <c r="C29" s="36" t="str">
        <f aca="false">IF($A29="","",'Raw data'!C29)</f>
        <v>Commercial</v>
      </c>
      <c r="D29" s="37" t="n">
        <f aca="false">IF(OR($A29="",'Raw data'!E29=""),"",'Raw data'!E29)</f>
        <v>760</v>
      </c>
      <c r="E29" s="37" t="n">
        <f aca="false">IF(OR($A29="",'Raw data'!Q29=""),"",'Raw data'!Q29)</f>
        <v>21.3</v>
      </c>
      <c r="F29" s="41" t="n">
        <f aca="false">IF($A29="","",IF(ISNUMBER('Raw data'!G29),'Raw data'!G29*100,""))</f>
        <v>0.479005986441861</v>
      </c>
      <c r="G29" s="41" t="n">
        <f aca="false">IF($A29="","",IF(ISNUMBER('Raw data'!H29),'Raw data'!H29*100,""))</f>
        <v>-0.535419205160392</v>
      </c>
      <c r="H29" s="41" t="n">
        <f aca="false">IF($A29="","",IF(ISNUMBER('Raw data'!I29),'Raw data'!I29*100,""))</f>
        <v>4.03468721186624</v>
      </c>
      <c r="I29" s="41" t="n">
        <f aca="false">IF($A29="","",IF(ISNUMBER('Raw data'!R29),'Raw data'!R29*100,""))</f>
        <v>-0.5</v>
      </c>
      <c r="J29" s="41" t="n">
        <f aca="false">IF($A29="","",IF(ISNUMBER('Raw data'!S29),'Raw data'!S29*100,""))</f>
        <v>2</v>
      </c>
      <c r="K29" s="41" t="n">
        <f aca="false">IF($A29="","",IF(ISNUMBER('Raw data'!T29),'Raw data'!T29*100,""))</f>
        <v>3</v>
      </c>
      <c r="L29" s="41" t="n">
        <f aca="false">IF($A29="","",IF('Raw data'!V29&lt;&gt;"",'Raw data'!V29*100,IF(AND(N('Raw data'!E29)&gt;0,'Raw data'!Q29&lt;&gt;""),'Raw data'!Q29*(1+N('Raw data'!S29))/('Raw data'!E29*(1+N('Raw data'!H29)))*100,"")))</f>
        <v>2.87407254691273</v>
      </c>
      <c r="M29" s="41" t="n">
        <f aca="false">IF($A29="","",IF('Raw data'!U29&lt;&gt;"",'Raw data'!U29*100,IF(AND(N('Raw data'!E29)&gt;0,'Raw data'!Q29&lt;&gt;""),'Raw data'!Q29/'Raw data'!E29*100,"")))</f>
        <v>2.80263157894737</v>
      </c>
      <c r="N29" s="42" t="n">
        <f aca="false">IF($A29="","",IF(ISNUMBER('Raw data'!W29),'Raw data'!W29,""))</f>
        <v>3</v>
      </c>
      <c r="O29" s="42" t="n">
        <f aca="false">IF($A29="","",IF(ISNUMBER('Raw data'!X29),'Raw data'!X29,""))</f>
        <v>2</v>
      </c>
      <c r="P29" s="42" t="n">
        <f aca="false">IF($A29="","",IF(ISNUMBER('Raw data'!Y29),'Raw data'!Y29,""))</f>
        <v>2</v>
      </c>
      <c r="Q29" s="42" t="n">
        <f aca="false">IF($A29="","",IF(ISNUMBER('Raw data'!Z29),'Raw data'!Z29,""))</f>
        <v>3</v>
      </c>
      <c r="R29" s="42" t="n">
        <f aca="false">IF($A29="","",IF(ISNUMBER('Raw data'!J29),'Raw data'!J29*100,""))</f>
        <v>40.7700623102364</v>
      </c>
      <c r="S29" s="41" t="n">
        <f aca="false">IF($A29="","",IF(ISNUMBER('Raw data'!K29),'Raw data'!K29*100,""))</f>
        <v>5.32599551238662</v>
      </c>
      <c r="T29" s="41" t="n">
        <f aca="false">IF($A29="","",IF(ISNUMBER('Raw data'!L29),'Raw data'!L29*100,""))</f>
        <v>-0.083047993524743</v>
      </c>
      <c r="U29" s="41" t="n">
        <f aca="false">IF($A29="","",IF(ISNUMBER('Raw data'!M29),'Raw data'!M29*100,""))</f>
        <v>5.38909749105168</v>
      </c>
      <c r="V29" s="41" t="n">
        <f aca="false">IF($A29="","",IF(ISNUMBER('Raw data'!N29),'Raw data'!N29*100,""))</f>
        <v>-2.19632883829541</v>
      </c>
      <c r="W29" s="41" t="n">
        <f aca="false">IF($A29="","",IF(ISNUMBER('Raw data'!O29),'Raw data'!O29*100,""))</f>
        <v>-0.846802319934958</v>
      </c>
      <c r="X29" s="41" t="n">
        <f aca="false">IF($A29="","",IF(ISNUMBER('Raw data'!P29),'Raw data'!P29*100,""))</f>
        <v>3.0520471588577</v>
      </c>
      <c r="Y29" s="43" t="n">
        <f aca="false">IF($A29="","",IF(AND(ISNUMBER('Raw data'!J29),ISNUMBER('Raw data'!H29),ISNUMBER('Raw data'!L29),ISNUMBER('Raw data'!O29)),ROUND(('Raw data'!J29*'Raw data'!L29+(1-'Raw data'!J29)*'Raw data'!O29-'Raw data'!H29)*100,1),""))</f>
        <v>0</v>
      </c>
    </row>
    <row r="30" customFormat="false" ht="15" hidden="false" customHeight="false" outlineLevel="0" collapsed="false">
      <c r="A30" s="36" t="str">
        <f aca="false">IF(TRIM('Raw data'!A30)="","",TRIM('Raw data'!A30))</f>
        <v>France</v>
      </c>
      <c r="B30" s="36" t="str">
        <f aca="false">IF($A30="","",IF('Raw data'!B30="",UPPER(LEFT($A30,3)),'Raw data'!B30))</f>
        <v>FR</v>
      </c>
      <c r="C30" s="36" t="str">
        <f aca="false">IF($A30="","",'Raw data'!C30)</f>
        <v>Residential</v>
      </c>
      <c r="D30" s="37" t="n">
        <f aca="false">IF(OR($A30="",'Raw data'!E30=""),"",'Raw data'!E30)</f>
        <v>525</v>
      </c>
      <c r="E30" s="37" t="n">
        <f aca="false">IF(OR($A30="",'Raw data'!Q30=""),"",'Raw data'!Q30)</f>
        <v>94.5</v>
      </c>
      <c r="F30" s="41" t="n">
        <f aca="false">IF($A30="","",IF(ISNUMBER('Raw data'!G30),'Raw data'!G30*100,""))</f>
        <v>-1.54949361668216</v>
      </c>
      <c r="G30" s="41" t="n">
        <f aca="false">IF($A30="","",IF(ISNUMBER('Raw data'!H30),'Raw data'!H30*100,""))</f>
        <v>0.409163476775953</v>
      </c>
      <c r="H30" s="41" t="n">
        <f aca="false">IF($A30="","",IF(ISNUMBER('Raw data'!I30),'Raw data'!I30*100,""))</f>
        <v>1.91750853803925</v>
      </c>
      <c r="I30" s="41" t="n">
        <f aca="false">IF($A30="","",IF(ISNUMBER('Raw data'!R30),'Raw data'!R30*100,""))</f>
        <v>4</v>
      </c>
      <c r="J30" s="41" t="n">
        <f aca="false">IF($A30="","",IF(ISNUMBER('Raw data'!S30),'Raw data'!S30*100,""))</f>
        <v>1</v>
      </c>
      <c r="K30" s="41" t="n">
        <f aca="false">IF($A30="","",IF(ISNUMBER('Raw data'!T30),'Raw data'!T30*100,""))</f>
        <v>3.5</v>
      </c>
      <c r="L30" s="41" t="n">
        <f aca="false">IF($A30="","",IF('Raw data'!V30&lt;&gt;"",'Raw data'!V30*100,IF(AND(N('Raw data'!E30)&gt;0,'Raw data'!Q30&lt;&gt;""),'Raw data'!Q30*(1+N('Raw data'!S30))/('Raw data'!E30*(1+N('Raw data'!H30)))*100,"")))</f>
        <v>18.1059171996836</v>
      </c>
      <c r="M30" s="41" t="n">
        <f aca="false">IF($A30="","",IF('Raw data'!U30&lt;&gt;"",'Raw data'!U30*100,IF(AND(N('Raw data'!E30)&gt;0,'Raw data'!Q30&lt;&gt;""),'Raw data'!Q30/'Raw data'!E30*100,"")))</f>
        <v>18</v>
      </c>
      <c r="N30" s="42" t="n">
        <f aca="false">IF($A30="","",IF(ISNUMBER('Raw data'!W30),'Raw data'!W30,""))</f>
        <v>4</v>
      </c>
      <c r="O30" s="42" t="n">
        <f aca="false">IF($A30="","",IF(ISNUMBER('Raw data'!X30),'Raw data'!X30,""))</f>
        <v>3</v>
      </c>
      <c r="P30" s="42" t="n">
        <f aca="false">IF($A30="","",IF(ISNUMBER('Raw data'!Y30),'Raw data'!Y30,""))</f>
        <v>4</v>
      </c>
      <c r="Q30" s="42" t="n">
        <f aca="false">IF($A30="","",IF(ISNUMBER('Raw data'!Z30),'Raw data'!Z30,""))</f>
        <v>4</v>
      </c>
      <c r="R30" s="42" t="n">
        <f aca="false">IF($A30="","",IF(ISNUMBER('Raw data'!J30),'Raw data'!J30*100,""))</f>
        <v>77.4944720723876</v>
      </c>
      <c r="S30" s="41" t="n">
        <f aca="false">IF($A30="","",IF(ISNUMBER('Raw data'!K30),'Raw data'!K30*100,""))</f>
        <v>2.80821798617414</v>
      </c>
      <c r="T30" s="41" t="n">
        <f aca="false">IF($A30="","",IF(ISNUMBER('Raw data'!L30),'Raw data'!L30*100,""))</f>
        <v>1.76184277578997</v>
      </c>
      <c r="U30" s="41" t="n">
        <f aca="false">IF($A30="","",IF(ISNUMBER('Raw data'!M30),'Raw data'!M30*100,""))</f>
        <v>1.92596423783837</v>
      </c>
      <c r="V30" s="41" t="n">
        <f aca="false">IF($A30="","",IF(ISNUMBER('Raw data'!N30),'Raw data'!N30*100,""))</f>
        <v>-11.1514335254401</v>
      </c>
      <c r="W30" s="41" t="n">
        <f aca="false">IF($A30="","",IF(ISNUMBER('Raw data'!O30),'Raw data'!O30*100,""))</f>
        <v>-4.24858854297232</v>
      </c>
      <c r="X30" s="41" t="n">
        <f aca="false">IF($A30="","",IF(ISNUMBER('Raw data'!P30),'Raw data'!P30*100,""))</f>
        <v>1.88654098880188</v>
      </c>
      <c r="Y30" s="43" t="n">
        <f aca="false">IF($A30="","",IF(AND(ISNUMBER('Raw data'!J30),ISNUMBER('Raw data'!H30),ISNUMBER('Raw data'!L30),ISNUMBER('Raw data'!O30)),ROUND(('Raw data'!J30*'Raw data'!L30+(1-'Raw data'!J30)*'Raw data'!O30-'Raw data'!H30)*100,1),""))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France</v>
      </c>
      <c r="B31" s="36" t="str">
        <f aca="false">IF($A31="","",IF('Raw data'!B31="",UPPER(LEFT($A31,3)),'Raw data'!B31))</f>
        <v>FR</v>
      </c>
      <c r="C31" s="36" t="str">
        <f aca="false">IF($A31="","",'Raw data'!C31)</f>
        <v>Commercial</v>
      </c>
      <c r="D31" s="37" t="n">
        <f aca="false">IF(OR($A31="",'Raw data'!E31=""),"",'Raw data'!E31)</f>
        <v>1025</v>
      </c>
      <c r="E31" s="37" t="n">
        <f aca="false">IF(OR($A31="",'Raw data'!Q31=""),"",'Raw data'!Q31)</f>
        <v>143.5</v>
      </c>
      <c r="F31" s="41" t="n">
        <f aca="false">IF($A31="","",IF(ISNUMBER('Raw data'!G31),'Raw data'!G31*100,""))</f>
        <v>0.737970337835248</v>
      </c>
      <c r="G31" s="41" t="n">
        <f aca="false">IF($A31="","",IF(ISNUMBER('Raw data'!H31),'Raw data'!H31*100,""))</f>
        <v>1.04207784260486</v>
      </c>
      <c r="H31" s="41" t="n">
        <f aca="false">IF($A31="","",IF(ISNUMBER('Raw data'!I31),'Raw data'!I31*100,""))</f>
        <v>1.21628290255464</v>
      </c>
      <c r="I31" s="41" t="n">
        <f aca="false">IF($A31="","",IF(ISNUMBER('Raw data'!R31),'Raw data'!R31*100,""))</f>
        <v>4.5</v>
      </c>
      <c r="J31" s="41" t="n">
        <f aca="false">IF($A31="","",IF(ISNUMBER('Raw data'!S31),'Raw data'!S31*100,""))</f>
        <v>1.5</v>
      </c>
      <c r="K31" s="41" t="n">
        <f aca="false">IF($A31="","",IF(ISNUMBER('Raw data'!T31),'Raw data'!T31*100,""))</f>
        <v>4</v>
      </c>
      <c r="L31" s="41" t="n">
        <f aca="false">IF($A31="","",IF('Raw data'!V31&lt;&gt;"",'Raw data'!V31*100,IF(AND(N('Raw data'!E31)&gt;0,'Raw data'!Q31&lt;&gt;""),'Raw data'!Q31*(1+N('Raw data'!S31))/('Raw data'!E31*(1+N('Raw data'!H31)))*100,"")))</f>
        <v>14.0634479252645</v>
      </c>
      <c r="M31" s="41" t="n">
        <f aca="false">IF($A31="","",IF('Raw data'!U31&lt;&gt;"",'Raw data'!U31*100,IF(AND(N('Raw data'!E31)&gt;0,'Raw data'!Q31&lt;&gt;""),'Raw data'!Q31/'Raw data'!E31*100,"")))</f>
        <v>14</v>
      </c>
      <c r="N31" s="42" t="n">
        <f aca="false">IF($A31="","",IF(ISNUMBER('Raw data'!W31),'Raw data'!W31,""))</f>
        <v>4</v>
      </c>
      <c r="O31" s="42" t="n">
        <f aca="false">IF($A31="","",IF(ISNUMBER('Raw data'!X31),'Raw data'!X31,""))</f>
        <v>3</v>
      </c>
      <c r="P31" s="42" t="n">
        <f aca="false">IF($A31="","",IF(ISNUMBER('Raw data'!Y31),'Raw data'!Y31,""))</f>
        <v>4</v>
      </c>
      <c r="Q31" s="42" t="n">
        <f aca="false">IF($A31="","",IF(ISNUMBER('Raw data'!Z31),'Raw data'!Z31,""))</f>
        <v>4</v>
      </c>
      <c r="R31" s="42" t="n">
        <f aca="false">IF($A31="","",IF(ISNUMBER('Raw data'!J31),'Raw data'!J31*100,""))</f>
        <v>63.4343436951553</v>
      </c>
      <c r="S31" s="41" t="n">
        <f aca="false">IF($A31="","",IF(ISNUMBER('Raw data'!K31),'Raw data'!K31*100,""))</f>
        <v>4.45764611895643</v>
      </c>
      <c r="T31" s="41" t="n">
        <f aca="false">IF($A31="","",IF(ISNUMBER('Raw data'!L31),'Raw data'!L31*100,""))</f>
        <v>1.64129049590125</v>
      </c>
      <c r="U31" s="41" t="n">
        <f aca="false">IF($A31="","",IF(ISNUMBER('Raw data'!M31),'Raw data'!M31*100,""))</f>
        <v>1.68941707468939</v>
      </c>
      <c r="V31" s="41" t="n">
        <f aca="false">IF($A31="","",IF(ISNUMBER('Raw data'!N31),'Raw data'!N31*100,""))</f>
        <v>-4.22906958929223</v>
      </c>
      <c r="W31" s="41" t="n">
        <f aca="false">IF($A31="","",IF(ISNUMBER('Raw data'!O31),'Raw data'!O31*100,""))</f>
        <v>0.00255974729705954</v>
      </c>
      <c r="X31" s="41" t="n">
        <f aca="false">IF($A31="","",IF(ISNUMBER('Raw data'!P31),'Raw data'!P31*100,""))</f>
        <v>0.359828535973383</v>
      </c>
      <c r="Y31" s="43" t="n">
        <f aca="false">IF($A31="","",IF(AND(ISNUMBER('Raw data'!J31),ISNUMBER('Raw data'!H31),ISNUMBER('Raw data'!L31),ISNUMBER('Raw data'!O31)),ROUND(('Raw data'!J31*'Raw data'!L31+(1-'Raw data'!J31)*'Raw data'!O31-'Raw data'!H31)*100,1),""))</f>
        <v>-0</v>
      </c>
    </row>
    <row r="32" customFormat="false" ht="15" hidden="false" customHeight="false" outlineLevel="0" collapsed="false">
      <c r="A32" s="36" t="str">
        <f aca="false">IF(TRIM('Raw data'!A32)="","",TRIM('Raw data'!A32))</f>
        <v>Italy</v>
      </c>
      <c r="B32" s="36" t="str">
        <f aca="false">IF($A32="","",IF('Raw data'!B32="",UPPER(LEFT($A32,3)),'Raw data'!B32))</f>
        <v>IT</v>
      </c>
      <c r="C32" s="36" t="str">
        <f aca="false">IF($A32="","",'Raw data'!C32)</f>
        <v>Residential</v>
      </c>
      <c r="D32" s="37" t="n">
        <f aca="false">IF(OR($A32="",'Raw data'!E32=""),"",'Raw data'!E32)</f>
        <v>300</v>
      </c>
      <c r="E32" s="37" t="n">
        <f aca="false">IF(OR($A32="",'Raw data'!Q32=""),"",'Raw data'!Q32)</f>
        <v>33</v>
      </c>
      <c r="F32" s="41" t="n">
        <f aca="false">IF($A32="","",IF(ISNUMBER('Raw data'!G32),'Raw data'!G32*100,""))</f>
        <v>10.5067721311887</v>
      </c>
      <c r="G32" s="41" t="n">
        <f aca="false">IF($A32="","",IF(ISNUMBER('Raw data'!H32),'Raw data'!H32*100,""))</f>
        <v>-2.82235040706802</v>
      </c>
      <c r="H32" s="41" t="n">
        <f aca="false">IF($A32="","",IF(ISNUMBER('Raw data'!I32),'Raw data'!I32*100,""))</f>
        <v>-2.23924451401707</v>
      </c>
      <c r="I32" s="41" t="n">
        <f aca="false">IF($A32="","",IF(ISNUMBER('Raw data'!R32),'Raw data'!R32*100,""))</f>
        <v>3</v>
      </c>
      <c r="J32" s="41" t="n">
        <f aca="false">IF($A32="","",IF(ISNUMBER('Raw data'!S32),'Raw data'!S32*100,""))</f>
        <v>-3</v>
      </c>
      <c r="K32" s="41" t="n">
        <f aca="false">IF($A32="","",IF(ISNUMBER('Raw data'!T32),'Raw data'!T32*100,""))</f>
        <v>2</v>
      </c>
      <c r="L32" s="41" t="n">
        <f aca="false">IF($A32="","",IF('Raw data'!V32&lt;&gt;"",'Raw data'!V32*100,IF(AND(N('Raw data'!E32)&gt;0,'Raw data'!Q32&lt;&gt;""),'Raw data'!Q32*(1+N('Raw data'!S32))/('Raw data'!E32*(1+N('Raw data'!H32)))*100,"")))</f>
        <v>10.9798909982857</v>
      </c>
      <c r="M32" s="41" t="n">
        <f aca="false">IF($A32="","",IF('Raw data'!U32&lt;&gt;"",'Raw data'!U32*100,IF(AND(N('Raw data'!E32)&gt;0,'Raw data'!Q32&lt;&gt;""),'Raw data'!Q32/'Raw data'!E32*100,"")))</f>
        <v>11</v>
      </c>
      <c r="N32" s="42" t="n">
        <f aca="false">IF($A32="","",IF(ISNUMBER('Raw data'!W32),'Raw data'!W32,""))</f>
        <v>3</v>
      </c>
      <c r="O32" s="42" t="n">
        <f aca="false">IF($A32="","",IF(ISNUMBER('Raw data'!X32),'Raw data'!X32,""))</f>
        <v>3</v>
      </c>
      <c r="P32" s="42" t="n">
        <f aca="false">IF($A32="","",IF(ISNUMBER('Raw data'!Y32),'Raw data'!Y32,""))</f>
        <v>4</v>
      </c>
      <c r="Q32" s="42" t="n">
        <f aca="false">IF($A32="","",IF(ISNUMBER('Raw data'!Z32),'Raw data'!Z32,""))</f>
        <v>3</v>
      </c>
      <c r="R32" s="42" t="n">
        <f aca="false">IF($A32="","",IF(ISNUMBER('Raw data'!J32),'Raw data'!J32*100,""))</f>
        <v>79.1549048957687</v>
      </c>
      <c r="S32" s="41" t="n">
        <f aca="false">IF($A32="","",IF(ISNUMBER('Raw data'!K32),'Raw data'!K32*100,""))</f>
        <v>10.7577956686453</v>
      </c>
      <c r="T32" s="41" t="n">
        <f aca="false">IF($A32="","",IF(ISNUMBER('Raw data'!L32),'Raw data'!L32*100,""))</f>
        <v>-4.14001546031331</v>
      </c>
      <c r="U32" s="41" t="n">
        <f aca="false">IF($A32="","",IF(ISNUMBER('Raw data'!M32),'Raw data'!M32*100,""))</f>
        <v>-1.26639827652932</v>
      </c>
      <c r="V32" s="41" t="n">
        <f aca="false">IF($A32="","",IF(ISNUMBER('Raw data'!N32),'Raw data'!N32*100,""))</f>
        <v>9.58361832028132</v>
      </c>
      <c r="W32" s="41" t="n">
        <f aca="false">IF($A32="","",IF(ISNUMBER('Raw data'!O32),'Raw data'!O32*100,""))</f>
        <v>2.18120805369129</v>
      </c>
      <c r="X32" s="41" t="n">
        <f aca="false">IF($A32="","",IF(ISNUMBER('Raw data'!P32),'Raw data'!P32*100,""))</f>
        <v>-6.06206801980648</v>
      </c>
      <c r="Y32" s="43" t="n">
        <f aca="false">IF($A32="","",IF(AND(ISNUMBER('Raw data'!J32),ISNUMBER('Raw data'!H32),ISNUMBER('Raw data'!L32),ISNUMBER('Raw data'!O32)),ROUND(('Raw data'!J32*'Raw data'!L32+(1-'Raw data'!J32)*'Raw data'!O32-'Raw data'!H32)*100,1),""))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Italy</v>
      </c>
      <c r="B33" s="36" t="str">
        <f aca="false">IF($A33="","",IF('Raw data'!B33="",UPPER(LEFT($A33,3)),'Raw data'!B33))</f>
        <v>IT</v>
      </c>
      <c r="C33" s="36" t="str">
        <f aca="false">IF($A33="","",'Raw data'!C33)</f>
        <v>Commercial</v>
      </c>
      <c r="D33" s="37" t="n">
        <f aca="false">IF(OR($A33="",'Raw data'!E33=""),"",'Raw data'!E33)</f>
        <v>1030</v>
      </c>
      <c r="E33" s="37" t="n">
        <f aca="false">IF(OR($A33="",'Raw data'!Q33=""),"",'Raw data'!Q33)</f>
        <v>97.8</v>
      </c>
      <c r="F33" s="41" t="n">
        <f aca="false">IF($A33="","",IF(ISNUMBER('Raw data'!G33),'Raw data'!G33*100,""))</f>
        <v>9.57594627731746</v>
      </c>
      <c r="G33" s="41" t="n">
        <f aca="false">IF($A33="","",IF(ISNUMBER('Raw data'!H33),'Raw data'!H33*100,""))</f>
        <v>0.17024547594755</v>
      </c>
      <c r="H33" s="41" t="n">
        <f aca="false">IF($A33="","",IF(ISNUMBER('Raw data'!I33),'Raw data'!I33*100,""))</f>
        <v>1.4115777056698</v>
      </c>
      <c r="I33" s="41" t="n">
        <f aca="false">IF($A33="","",IF(ISNUMBER('Raw data'!R33),'Raw data'!R33*100,""))</f>
        <v>3.5</v>
      </c>
      <c r="J33" s="41" t="n">
        <f aca="false">IF($A33="","",IF(ISNUMBER('Raw data'!S33),'Raw data'!S33*100,""))</f>
        <v>-2.5</v>
      </c>
      <c r="K33" s="41" t="n">
        <f aca="false">IF($A33="","",IF(ISNUMBER('Raw data'!T33),'Raw data'!T33*100,""))</f>
        <v>2.5</v>
      </c>
      <c r="L33" s="41" t="n">
        <f aca="false">IF($A33="","",IF('Raw data'!V33&lt;&gt;"",'Raw data'!V33*100,IF(AND(N('Raw data'!E33)&gt;0,'Raw data'!Q33&lt;&gt;""),'Raw data'!Q33*(1+N('Raw data'!S33))/('Raw data'!E33*(1+N('Raw data'!H33)))*100,"")))</f>
        <v>9.24203284748284</v>
      </c>
      <c r="M33" s="41" t="n">
        <f aca="false">IF($A33="","",IF('Raw data'!U33&lt;&gt;"",'Raw data'!U33*100,IF(AND(N('Raw data'!E33)&gt;0,'Raw data'!Q33&lt;&gt;""),'Raw data'!Q33/'Raw data'!E33*100,"")))</f>
        <v>9.49514563106796</v>
      </c>
      <c r="N33" s="42" t="n">
        <f aca="false">IF($A33="","",IF(ISNUMBER('Raw data'!W33),'Raw data'!W33,""))</f>
        <v>3</v>
      </c>
      <c r="O33" s="42" t="n">
        <f aca="false">IF($A33="","",IF(ISNUMBER('Raw data'!X33),'Raw data'!X33,""))</f>
        <v>3</v>
      </c>
      <c r="P33" s="42" t="n">
        <f aca="false">IF($A33="","",IF(ISNUMBER('Raw data'!Y33),'Raw data'!Y33,""))</f>
        <v>4</v>
      </c>
      <c r="Q33" s="42" t="n">
        <f aca="false">IF($A33="","",IF(ISNUMBER('Raw data'!Z33),'Raw data'!Z33,""))</f>
        <v>3</v>
      </c>
      <c r="R33" s="42" t="n">
        <f aca="false">IF($A33="","",IF(ISNUMBER('Raw data'!J33),'Raw data'!J33*100,""))</f>
        <v>82.766365866114</v>
      </c>
      <c r="S33" s="41" t="n">
        <f aca="false">IF($A33="","",IF(ISNUMBER('Raw data'!K33),'Raw data'!K33*100,""))</f>
        <v>9.74080767571552</v>
      </c>
      <c r="T33" s="41" t="n">
        <f aca="false">IF($A33="","",IF(ISNUMBER('Raw data'!L33),'Raw data'!L33*100,""))</f>
        <v>-0.09399940498519</v>
      </c>
      <c r="U33" s="41" t="n">
        <f aca="false">IF($A33="","",IF(ISNUMBER('Raw data'!M33),'Raw data'!M33*100,""))</f>
        <v>1.22338287491848</v>
      </c>
      <c r="V33" s="41" t="n">
        <f aca="false">IF($A33="","",IF(ISNUMBER('Raw data'!N33),'Raw data'!N33*100,""))</f>
        <v>8.80431610028938</v>
      </c>
      <c r="W33" s="41" t="n">
        <f aca="false">IF($A33="","",IF(ISNUMBER('Raw data'!O33),'Raw data'!O33*100,""))</f>
        <v>1.43930969789967</v>
      </c>
      <c r="X33" s="41" t="n">
        <f aca="false">IF($A33="","",IF(ISNUMBER('Raw data'!P33),'Raw data'!P33*100,""))</f>
        <v>2.28332714927464</v>
      </c>
      <c r="Y33" s="43" t="n">
        <f aca="false">IF($A33="","",IF(AND(ISNUMBER('Raw data'!J33),ISNUMBER('Raw data'!H33),ISNUMBER('Raw data'!L33),ISNUMBER('Raw data'!O33)),ROUND(('Raw data'!J33*'Raw data'!L33+(1-'Raw data'!J33)*'Raw data'!O33-'Raw data'!H33)*100,1),""))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Belgium</v>
      </c>
      <c r="B34" s="36" t="str">
        <f aca="false">IF($A34="","",IF('Raw data'!B34="",UPPER(LEFT($A34,3)),'Raw data'!B34))</f>
        <v>BE</v>
      </c>
      <c r="C34" s="36" t="str">
        <f aca="false">IF($A34="","",'Raw data'!C34)</f>
        <v>Residential</v>
      </c>
      <c r="D34" s="37" t="n">
        <f aca="false">IF(OR($A34="",'Raw data'!E34=""),"",'Raw data'!E34)</f>
        <v>115</v>
      </c>
      <c r="E34" s="37" t="n">
        <f aca="false">IF(OR($A34="",'Raw data'!Q34=""),"",'Raw data'!Q34)</f>
        <v>17.2</v>
      </c>
      <c r="F34" s="41" t="n">
        <f aca="false">IF($A34="","",IF(ISNUMBER('Raw data'!G34),'Raw data'!G34*100,""))</f>
        <v>0.562908296750186</v>
      </c>
      <c r="G34" s="41" t="n">
        <f aca="false">IF($A34="","",IF(ISNUMBER('Raw data'!H34),'Raw data'!H34*100,""))</f>
        <v>-3.00651683909728</v>
      </c>
      <c r="H34" s="41" t="n">
        <f aca="false">IF($A34="","",IF(ISNUMBER('Raw data'!I34),'Raw data'!I34*100,""))</f>
        <v>2.28529477061796</v>
      </c>
      <c r="I34" s="41" t="n">
        <f aca="false">IF($A34="","",IF(ISNUMBER('Raw data'!R34),'Raw data'!R34*100,""))</f>
        <v>3</v>
      </c>
      <c r="J34" s="41" t="n">
        <f aca="false">IF($A34="","",IF(ISNUMBER('Raw data'!S34),'Raw data'!S34*100,""))</f>
        <v>2</v>
      </c>
      <c r="K34" s="41" t="n">
        <f aca="false">IF($A34="","",IF(ISNUMBER('Raw data'!T34),'Raw data'!T34*100,""))</f>
        <v>3.5</v>
      </c>
      <c r="L34" s="41" t="n">
        <f aca="false">IF($A34="","",IF('Raw data'!V34&lt;&gt;"",'Raw data'!V34*100,IF(AND(N('Raw data'!E34)&gt;0,'Raw data'!Q34&lt;&gt;""),'Raw data'!Q34*(1+N('Raw data'!S34))/('Raw data'!E34*(1+N('Raw data'!H34)))*100,"")))</f>
        <v>15.7285331722807</v>
      </c>
      <c r="M34" s="41" t="n">
        <f aca="false">IF($A34="","",IF('Raw data'!U34&lt;&gt;"",'Raw data'!U34*100,IF(AND(N('Raw data'!E34)&gt;0,'Raw data'!Q34&lt;&gt;""),'Raw data'!Q34/'Raw data'!E34*100,"")))</f>
        <v>14.9565217391304</v>
      </c>
      <c r="N34" s="42" t="n">
        <f aca="false">IF($A34="","",IF(ISNUMBER('Raw data'!W34),'Raw data'!W34,""))</f>
        <v>4</v>
      </c>
      <c r="O34" s="42" t="n">
        <f aca="false">IF($A34="","",IF(ISNUMBER('Raw data'!X34),'Raw data'!X34,""))</f>
        <v>3</v>
      </c>
      <c r="P34" s="42" t="n">
        <f aca="false">IF($A34="","",IF(ISNUMBER('Raw data'!Y34),'Raw data'!Y34,""))</f>
        <v>4</v>
      </c>
      <c r="Q34" s="42" t="n">
        <f aca="false">IF($A34="","",IF(ISNUMBER('Raw data'!Z34),'Raw data'!Z34,""))</f>
        <v>4</v>
      </c>
      <c r="R34" s="42" t="n">
        <f aca="false">IF($A34="","",IF(ISNUMBER('Raw data'!J34),'Raw data'!J34*100,""))</f>
        <v>73.4945724444277</v>
      </c>
      <c r="S34" s="41" t="n">
        <f aca="false">IF($A34="","",IF(ISNUMBER('Raw data'!K34),'Raw data'!K34*100,""))</f>
        <v>3.08497612928871</v>
      </c>
      <c r="T34" s="41" t="n">
        <f aca="false">IF($A34="","",IF(ISNUMBER('Raw data'!L34),'Raw data'!L34*100,""))</f>
        <v>-1.1184611534933</v>
      </c>
      <c r="U34" s="41" t="n">
        <f aca="false">IF($A34="","",IF(ISNUMBER('Raw data'!M34),'Raw data'!M34*100,""))</f>
        <v>2.2191660573325</v>
      </c>
      <c r="V34" s="41" t="n">
        <f aca="false">IF($A34="","",IF(ISNUMBER('Raw data'!N34),'Raw data'!N34*100,""))</f>
        <v>-4.91197569657782</v>
      </c>
      <c r="W34" s="41" t="n">
        <f aca="false">IF($A34="","",IF(ISNUMBER('Raw data'!O34),'Raw data'!O34*100,""))</f>
        <v>-8.24174064651568</v>
      </c>
      <c r="X34" s="41" t="n">
        <f aca="false">IF($A34="","",IF(ISNUMBER('Raw data'!P34),'Raw data'!P34*100,""))</f>
        <v>2.48187944641731</v>
      </c>
      <c r="Y34" s="43" t="n">
        <f aca="false">IF($A34="","",IF(AND(ISNUMBER('Raw data'!J34),ISNUMBER('Raw data'!H34),ISNUMBER('Raw data'!L34),ISNUMBER('Raw data'!O34)),ROUND(('Raw data'!J34*'Raw data'!L34+(1-'Raw data'!J34)*'Raw data'!O34-'Raw data'!H34)*100,1),""))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Belgium</v>
      </c>
      <c r="B35" s="36" t="str">
        <f aca="false">IF($A35="","",IF('Raw data'!B35="",UPPER(LEFT($A35,3)),'Raw data'!B35))</f>
        <v>BE</v>
      </c>
      <c r="C35" s="36" t="str">
        <f aca="false">IF($A35="","",'Raw data'!C35)</f>
        <v>Commercial</v>
      </c>
      <c r="D35" s="37" t="n">
        <f aca="false">IF(OR($A35="",'Raw data'!E35=""),"",'Raw data'!E35)</f>
        <v>215</v>
      </c>
      <c r="E35" s="37" t="n">
        <f aca="false">IF(OR($A35="",'Raw data'!Q35=""),"",'Raw data'!Q35)</f>
        <v>25.8</v>
      </c>
      <c r="F35" s="41" t="n">
        <f aca="false">IF($A35="","",IF(ISNUMBER('Raw data'!G35),'Raw data'!G35*100,""))</f>
        <v>2.59293584493279</v>
      </c>
      <c r="G35" s="41" t="n">
        <f aca="false">IF($A35="","",IF(ISNUMBER('Raw data'!H35),'Raw data'!H35*100,""))</f>
        <v>1.81236646664318</v>
      </c>
      <c r="H35" s="41" t="n">
        <f aca="false">IF($A35="","",IF(ISNUMBER('Raw data'!I35),'Raw data'!I35*100,""))</f>
        <v>3.06407394366455</v>
      </c>
      <c r="I35" s="41" t="n">
        <f aca="false">IF($A35="","",IF(ISNUMBER('Raw data'!R35),'Raw data'!R35*100,""))</f>
        <v>3.5</v>
      </c>
      <c r="J35" s="41" t="n">
        <f aca="false">IF($A35="","",IF(ISNUMBER('Raw data'!S35),'Raw data'!S35*100,""))</f>
        <v>2.5</v>
      </c>
      <c r="K35" s="41" t="n">
        <f aca="false">IF($A35="","",IF(ISNUMBER('Raw data'!T35),'Raw data'!T35*100,""))</f>
        <v>4</v>
      </c>
      <c r="L35" s="41" t="n">
        <f aca="false">IF($A35="","",IF('Raw data'!V35&lt;&gt;"",'Raw data'!V35*100,IF(AND(N('Raw data'!E35)&gt;0,'Raw data'!Q35&lt;&gt;""),'Raw data'!Q35*(1+N('Raw data'!S35))/('Raw data'!E35*(1+N('Raw data'!H35)))*100,"")))</f>
        <v>12.0810471525872</v>
      </c>
      <c r="M35" s="41" t="n">
        <f aca="false">IF($A35="","",IF('Raw data'!U35&lt;&gt;"",'Raw data'!U35*100,IF(AND(N('Raw data'!E35)&gt;0,'Raw data'!Q35&lt;&gt;""),'Raw data'!Q35/'Raw data'!E35*100,"")))</f>
        <v>12</v>
      </c>
      <c r="N35" s="42" t="n">
        <f aca="false">IF($A35="","",IF(ISNUMBER('Raw data'!W35),'Raw data'!W35,""))</f>
        <v>4</v>
      </c>
      <c r="O35" s="42" t="n">
        <f aca="false">IF($A35="","",IF(ISNUMBER('Raw data'!X35),'Raw data'!X35,""))</f>
        <v>3</v>
      </c>
      <c r="P35" s="42" t="n">
        <f aca="false">IF($A35="","",IF(ISNUMBER('Raw data'!Y35),'Raw data'!Y35,""))</f>
        <v>4</v>
      </c>
      <c r="Q35" s="42" t="n">
        <f aca="false">IF($A35="","",IF(ISNUMBER('Raw data'!Z35),'Raw data'!Z35,""))</f>
        <v>4</v>
      </c>
      <c r="R35" s="42" t="n">
        <f aca="false">IF($A35="","",IF(ISNUMBER('Raw data'!J35),'Raw data'!J35*100,""))</f>
        <v>58.6862733430675</v>
      </c>
      <c r="S35" s="41" t="n">
        <f aca="false">IF($A35="","",IF(ISNUMBER('Raw data'!K35),'Raw data'!K35*100,""))</f>
        <v>3.86848576517109</v>
      </c>
      <c r="T35" s="41" t="n">
        <f aca="false">IF($A35="","",IF(ISNUMBER('Raw data'!L35),'Raw data'!L35*100,""))</f>
        <v>1.87125735529885</v>
      </c>
      <c r="U35" s="41" t="n">
        <f aca="false">IF($A35="","",IF(ISNUMBER('Raw data'!M35),'Raw data'!M35*100,""))</f>
        <v>3.77712242046186</v>
      </c>
      <c r="V35" s="41" t="n">
        <f aca="false">IF($A35="","",IF(ISNUMBER('Raw data'!N35),'Raw data'!N35*100,""))</f>
        <v>0.930642174728846</v>
      </c>
      <c r="W35" s="41" t="n">
        <f aca="false">IF($A35="","",IF(ISNUMBER('Raw data'!O35),'Raw data'!O35*100,""))</f>
        <v>1.72871178165765</v>
      </c>
      <c r="X35" s="41" t="n">
        <f aca="false">IF($A35="","",IF(ISNUMBER('Raw data'!P35),'Raw data'!P35*100,""))</f>
        <v>2.0144731624145</v>
      </c>
      <c r="Y35" s="43" t="n">
        <f aca="false">IF($A35="","",IF(AND(ISNUMBER('Raw data'!J35),ISNUMBER('Raw data'!H35),ISNUMBER('Raw data'!L35),ISNUMBER('Raw data'!O35)),ROUND(('Raw data'!J35*'Raw data'!L35+(1-'Raw data'!J35)*'Raw data'!O35-'Raw data'!H35)*100,1),""))</f>
        <v>-0</v>
      </c>
    </row>
    <row r="36" customFormat="false" ht="15" hidden="false" customHeight="false" outlineLevel="0" collapsed="false">
      <c r="A36" s="36" t="str">
        <f aca="false">IF(TRIM('Raw data'!A36)="","",TRIM('Raw data'!A36))</f>
        <v>Spain</v>
      </c>
      <c r="B36" s="36" t="str">
        <f aca="false">IF($A36="","",IF('Raw data'!B36="",UPPER(LEFT($A36,3)),'Raw data'!B36))</f>
        <v>ES</v>
      </c>
      <c r="C36" s="36" t="str">
        <f aca="false">IF($A36="","",'Raw data'!C36)</f>
        <v>Residential</v>
      </c>
      <c r="D36" s="37" t="n">
        <f aca="false">IF(OR($A36="",'Raw data'!E36=""),"",'Raw data'!E36)</f>
        <v>215</v>
      </c>
      <c r="E36" s="37" t="n">
        <f aca="false">IF(OR($A36="",'Raw data'!Q36=""),"",'Raw data'!Q36)</f>
        <v>21.1</v>
      </c>
      <c r="F36" s="41" t="n">
        <f aca="false">IF($A36="","",IF(ISNUMBER('Raw data'!G36),'Raw data'!G36*100,""))</f>
        <v>3.26404738113613</v>
      </c>
      <c r="G36" s="41" t="n">
        <f aca="false">IF($A36="","",IF(ISNUMBER('Raw data'!H36),'Raw data'!H36*100,""))</f>
        <v>1.76740713200401</v>
      </c>
      <c r="H36" s="41" t="n">
        <f aca="false">IF($A36="","",IF(ISNUMBER('Raw data'!I36),'Raw data'!I36*100,""))</f>
        <v>2.324374871934</v>
      </c>
      <c r="I36" s="41" t="n">
        <f aca="false">IF($A36="","",IF(ISNUMBER('Raw data'!R36),'Raw data'!R36*100,""))</f>
        <v>7.5</v>
      </c>
      <c r="J36" s="41" t="n">
        <f aca="false">IF($A36="","",IF(ISNUMBER('Raw data'!S36),'Raw data'!S36*100,""))</f>
        <v>6</v>
      </c>
      <c r="K36" s="41" t="n">
        <f aca="false">IF($A36="","",IF(ISNUMBER('Raw data'!T36),'Raw data'!T36*100,""))</f>
        <v>8</v>
      </c>
      <c r="L36" s="41" t="n">
        <f aca="false">IF($A36="","",IF('Raw data'!V36&lt;&gt;"",'Raw data'!V36*100,IF(AND(N('Raw data'!E36)&gt;0,'Raw data'!Q36&lt;&gt;""),'Raw data'!Q36*(1+N('Raw data'!S36))/('Raw data'!E36*(1+N('Raw data'!H36)))*100,"")))</f>
        <v>10.2221241464675</v>
      </c>
      <c r="M36" s="41" t="n">
        <f aca="false">IF($A36="","",IF('Raw data'!U36&lt;&gt;"",'Raw data'!U36*100,IF(AND(N('Raw data'!E36)&gt;0,'Raw data'!Q36&lt;&gt;""),'Raw data'!Q36/'Raw data'!E36*100,"")))</f>
        <v>9.81395348837209</v>
      </c>
      <c r="N36" s="42" t="n">
        <f aca="false">IF($A36="","",IF(ISNUMBER('Raw data'!W36),'Raw data'!W36,""))</f>
        <v>3</v>
      </c>
      <c r="O36" s="42" t="n">
        <f aca="false">IF($A36="","",IF(ISNUMBER('Raw data'!X36),'Raw data'!X36,""))</f>
        <v>3</v>
      </c>
      <c r="P36" s="42" t="n">
        <f aca="false">IF($A36="","",IF(ISNUMBER('Raw data'!Y36),'Raw data'!Y36,""))</f>
        <v>3</v>
      </c>
      <c r="Q36" s="42" t="n">
        <f aca="false">IF($A36="","",IF(ISNUMBER('Raw data'!Z36),'Raw data'!Z36,""))</f>
        <v>4</v>
      </c>
      <c r="R36" s="42" t="n">
        <f aca="false">IF($A36="","",IF(ISNUMBER('Raw data'!J36),'Raw data'!J36*100,""))</f>
        <v>37.0363257678762</v>
      </c>
      <c r="S36" s="41" t="n">
        <f aca="false">IF($A36="","",IF(ISNUMBER('Raw data'!K36),'Raw data'!K36*100,""))</f>
        <v>1.74934729126028</v>
      </c>
      <c r="T36" s="41" t="n">
        <f aca="false">IF($A36="","",IF(ISNUMBER('Raw data'!L36),'Raw data'!L36*100,""))</f>
        <v>-3.01297695674121</v>
      </c>
      <c r="U36" s="41" t="n">
        <f aca="false">IF($A36="","",IF(ISNUMBER('Raw data'!M36),'Raw data'!M36*100,""))</f>
        <v>2.95128136891052</v>
      </c>
      <c r="V36" s="41" t="n">
        <f aca="false">IF($A36="","",IF(ISNUMBER('Raw data'!N36),'Raw data'!N36*100,""))</f>
        <v>4.22168609023979</v>
      </c>
      <c r="W36" s="41" t="n">
        <f aca="false">IF($A36="","",IF(ISNUMBER('Raw data'!O36),'Raw data'!O36*100,""))</f>
        <v>4.57931200517943</v>
      </c>
      <c r="X36" s="41" t="n">
        <f aca="false">IF($A36="","",IF(ISNUMBER('Raw data'!P36),'Raw data'!P36*100,""))</f>
        <v>1.97580582580648</v>
      </c>
      <c r="Y36" s="43" t="n">
        <f aca="false">IF($A36="","",IF(AND(ISNUMBER('Raw data'!J36),ISNUMBER('Raw data'!H36),ISNUMBER('Raw data'!L36),ISNUMBER('Raw data'!O36)),ROUND(('Raw data'!J36*'Raw data'!L36+(1-'Raw data'!J36)*'Raw data'!O36-'Raw data'!H36)*100,1),""))</f>
        <v>-0</v>
      </c>
    </row>
    <row r="37" customFormat="false" ht="15" hidden="false" customHeight="false" outlineLevel="0" collapsed="false">
      <c r="A37" s="36" t="str">
        <f aca="false">IF(TRIM('Raw data'!A37)="","",TRIM('Raw data'!A37))</f>
        <v>Spain</v>
      </c>
      <c r="B37" s="36" t="str">
        <f aca="false">IF($A37="","",IF('Raw data'!B37="",UPPER(LEFT($A37,3)),'Raw data'!B37))</f>
        <v>ES</v>
      </c>
      <c r="C37" s="36" t="str">
        <f aca="false">IF($A37="","",'Raw data'!C37)</f>
        <v>Commercial</v>
      </c>
      <c r="D37" s="37" t="n">
        <f aca="false">IF(OR($A37="",'Raw data'!E37=""),"",'Raw data'!E37)</f>
        <v>945</v>
      </c>
      <c r="E37" s="37" t="n">
        <f aca="false">IF(OR($A37="",'Raw data'!Q37=""),"",'Raw data'!Q37)</f>
        <v>70.9</v>
      </c>
      <c r="F37" s="41" t="n">
        <f aca="false">IF($A37="","",IF(ISNUMBER('Raw data'!G37),'Raw data'!G37*100,""))</f>
        <v>4.67386273311994</v>
      </c>
      <c r="G37" s="41" t="n">
        <f aca="false">IF($A37="","",IF(ISNUMBER('Raw data'!H37),'Raw data'!H37*100,""))</f>
        <v>6.67727955719091</v>
      </c>
      <c r="H37" s="41" t="n">
        <f aca="false">IF($A37="","",IF(ISNUMBER('Raw data'!I37),'Raw data'!I37*100,""))</f>
        <v>3.65555194596321</v>
      </c>
      <c r="I37" s="41" t="n">
        <f aca="false">IF($A37="","",IF(ISNUMBER('Raw data'!R37),'Raw data'!R37*100,""))</f>
        <v>8</v>
      </c>
      <c r="J37" s="41" t="n">
        <f aca="false">IF($A37="","",IF(ISNUMBER('Raw data'!S37),'Raw data'!S37*100,""))</f>
        <v>6.5</v>
      </c>
      <c r="K37" s="41" t="n">
        <f aca="false">IF($A37="","",IF(ISNUMBER('Raw data'!T37),'Raw data'!T37*100,""))</f>
        <v>8.5</v>
      </c>
      <c r="L37" s="41" t="n">
        <f aca="false">IF($A37="","",IF('Raw data'!V37&lt;&gt;"",'Raw data'!V37*100,IF(AND(N('Raw data'!E37)&gt;0,'Raw data'!Q37&lt;&gt;""),'Raw data'!Q37*(1+N('Raw data'!S37))/('Raw data'!E37*(1+N('Raw data'!H37)))*100,"")))</f>
        <v>7.4901773774928</v>
      </c>
      <c r="M37" s="41" t="n">
        <f aca="false">IF($A37="","",IF('Raw data'!U37&lt;&gt;"",'Raw data'!U37*100,IF(AND(N('Raw data'!E37)&gt;0,'Raw data'!Q37&lt;&gt;""),'Raw data'!Q37/'Raw data'!E37*100,"")))</f>
        <v>7.5026455026455</v>
      </c>
      <c r="N37" s="42" t="n">
        <f aca="false">IF($A37="","",IF(ISNUMBER('Raw data'!W37),'Raw data'!W37,""))</f>
        <v>3</v>
      </c>
      <c r="O37" s="42" t="n">
        <f aca="false">IF($A37="","",IF(ISNUMBER('Raw data'!X37),'Raw data'!X37,""))</f>
        <v>3</v>
      </c>
      <c r="P37" s="42" t="n">
        <f aca="false">IF($A37="","",IF(ISNUMBER('Raw data'!Y37),'Raw data'!Y37,""))</f>
        <v>3</v>
      </c>
      <c r="Q37" s="42" t="n">
        <f aca="false">IF($A37="","",IF(ISNUMBER('Raw data'!Z37),'Raw data'!Z37,""))</f>
        <v>4</v>
      </c>
      <c r="R37" s="42" t="n">
        <f aca="false">IF($A37="","",IF(ISNUMBER('Raw data'!J37),'Raw data'!J37*100,""))</f>
        <v>35.8499952162361</v>
      </c>
      <c r="S37" s="41" t="n">
        <f aca="false">IF($A37="","",IF(ISNUMBER('Raw data'!K37),'Raw data'!K37*100,""))</f>
        <v>5.06196522202851</v>
      </c>
      <c r="T37" s="41" t="n">
        <f aca="false">IF($A37="","",IF(ISNUMBER('Raw data'!L37),'Raw data'!L37*100,""))</f>
        <v>-0.126513267560391</v>
      </c>
      <c r="U37" s="41" t="n">
        <f aca="false">IF($A37="","",IF(ISNUMBER('Raw data'!M37),'Raw data'!M37*100,""))</f>
        <v>4.06819560795881</v>
      </c>
      <c r="V37" s="41" t="n">
        <f aca="false">IF($A37="","",IF(ISNUMBER('Raw data'!N37),'Raw data'!N37*100,""))</f>
        <v>4.46067368696885</v>
      </c>
      <c r="W37" s="41" t="n">
        <f aca="false">IF($A37="","",IF(ISNUMBER('Raw data'!O37),'Raw data'!O37*100,""))</f>
        <v>10.479554257587</v>
      </c>
      <c r="X37" s="41" t="n">
        <f aca="false">IF($A37="","",IF(ISNUMBER('Raw data'!P37),'Raw data'!P37*100,""))</f>
        <v>3.44456205032071</v>
      </c>
      <c r="Y37" s="43" t="n">
        <f aca="false">IF($A37="","",IF(AND(ISNUMBER('Raw data'!J37),ISNUMBER('Raw data'!H37),ISNUMBER('Raw data'!L37),ISNUMBER('Raw data'!O37)),ROUND(('Raw data'!J37*'Raw data'!L37+(1-'Raw data'!J37)*'Raw data'!O37-'Raw data'!H37)*100,1),""))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Portugal</v>
      </c>
      <c r="B38" s="36" t="str">
        <f aca="false">IF($A38="","",IF('Raw data'!B38="",UPPER(LEFT($A38,3)),'Raw data'!B38))</f>
        <v>PT</v>
      </c>
      <c r="C38" s="36" t="str">
        <f aca="false">IF($A38="","",'Raw data'!C38)</f>
        <v>Residential</v>
      </c>
      <c r="D38" s="37" t="n">
        <f aca="false">IF(OR($A38="",'Raw data'!E38=""),"",'Raw data'!E38)</f>
        <v>45</v>
      </c>
      <c r="E38" s="37" t="n">
        <f aca="false">IF(OR($A38="",'Raw data'!Q38=""),"",'Raw data'!Q38)</f>
        <v>3.6</v>
      </c>
      <c r="F38" s="41" t="n">
        <f aca="false">IF($A38="","",IF(ISNUMBER('Raw data'!G38),'Raw data'!G38*100,""))</f>
        <v>3.02065041126041</v>
      </c>
      <c r="G38" s="41" t="n">
        <f aca="false">IF($A38="","",IF(ISNUMBER('Raw data'!H38),'Raw data'!H38*100,""))</f>
        <v>4.22738065562294</v>
      </c>
      <c r="H38" s="41" t="n">
        <f aca="false">IF($A38="","",IF(ISNUMBER('Raw data'!I38),'Raw data'!I38*100,""))</f>
        <v>0.194248928808927</v>
      </c>
      <c r="I38" s="41" t="n">
        <f aca="false">IF($A38="","",IF(ISNUMBER('Raw data'!R38),'Raw data'!R38*100,""))</f>
        <v>6.5</v>
      </c>
      <c r="J38" s="41" t="n">
        <f aca="false">IF($A38="","",IF(ISNUMBER('Raw data'!S38),'Raw data'!S38*100,""))</f>
        <v>5</v>
      </c>
      <c r="K38" s="41" t="n">
        <f aca="false">IF($A38="","",IF(ISNUMBER('Raw data'!T38),'Raw data'!T38*100,""))</f>
        <v>5</v>
      </c>
      <c r="L38" s="41" t="n">
        <f aca="false">IF($A38="","",IF('Raw data'!V38&lt;&gt;"",'Raw data'!V38*100,IF(AND(N('Raw data'!E38)&gt;0,'Raw data'!Q38&lt;&gt;""),'Raw data'!Q38*(1+N('Raw data'!S38))/('Raw data'!E38*(1+N('Raw data'!H38)))*100,"")))</f>
        <v>8.0593026008726</v>
      </c>
      <c r="M38" s="41" t="n">
        <f aca="false">IF($A38="","",IF('Raw data'!U38&lt;&gt;"",'Raw data'!U38*100,IF(AND(N('Raw data'!E38)&gt;0,'Raw data'!Q38&lt;&gt;""),'Raw data'!Q38/'Raw data'!E38*100,"")))</f>
        <v>8</v>
      </c>
      <c r="N38" s="42" t="n">
        <f aca="false">IF($A38="","",IF(ISNUMBER('Raw data'!W38),'Raw data'!W38,""))</f>
        <v>3</v>
      </c>
      <c r="O38" s="42" t="n">
        <f aca="false">IF($A38="","",IF(ISNUMBER('Raw data'!X38),'Raw data'!X38,""))</f>
        <v>3</v>
      </c>
      <c r="P38" s="42" t="n">
        <f aca="false">IF($A38="","",IF(ISNUMBER('Raw data'!Y38),'Raw data'!Y38,""))</f>
        <v>3</v>
      </c>
      <c r="Q38" s="42" t="n">
        <f aca="false">IF($A38="","",IF(ISNUMBER('Raw data'!Z38),'Raw data'!Z38,""))</f>
        <v>4</v>
      </c>
      <c r="R38" s="42" t="n">
        <f aca="false">IF($A38="","",IF(ISNUMBER('Raw data'!J38),'Raw data'!J38*100,""))</f>
        <v>79.572654092041</v>
      </c>
      <c r="S38" s="41" t="n">
        <f aca="false">IF($A38="","",IF(ISNUMBER('Raw data'!K38),'Raw data'!K38*100,""))</f>
        <v>7.67251779377851</v>
      </c>
      <c r="T38" s="41" t="n">
        <f aca="false">IF($A38="","",IF(ISNUMBER('Raw data'!L38),'Raw data'!L38*100,""))</f>
        <v>3.11465657454226</v>
      </c>
      <c r="U38" s="41" t="n">
        <f aca="false">IF($A38="","",IF(ISNUMBER('Raw data'!M38),'Raw data'!M38*100,""))</f>
        <v>-0.232400479225148</v>
      </c>
      <c r="V38" s="41" t="n">
        <f aca="false">IF($A38="","",IF(ISNUMBER('Raw data'!N38),'Raw data'!N38*100,""))</f>
        <v>-8.11615626027069</v>
      </c>
      <c r="W38" s="41" t="n">
        <f aca="false">IF($A38="","",IF(ISNUMBER('Raw data'!O38),'Raw data'!O38*100,""))</f>
        <v>8.5618844527716</v>
      </c>
      <c r="X38" s="41" t="n">
        <f aca="false">IF($A38="","",IF(ISNUMBER('Raw data'!P38),'Raw data'!P38*100,""))</f>
        <v>1.71271224812015</v>
      </c>
      <c r="Y38" s="43" t="n">
        <f aca="false">IF($A38="","",IF(AND(ISNUMBER('Raw data'!J38),ISNUMBER('Raw data'!H38),ISNUMBER('Raw data'!L38),ISNUMBER('Raw data'!O38)),ROUND(('Raw data'!J38*'Raw data'!L38+(1-'Raw data'!J38)*'Raw data'!O38-'Raw data'!H38)*100,1),""))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Portugal</v>
      </c>
      <c r="B39" s="36" t="str">
        <f aca="false">IF($A39="","",IF('Raw data'!B39="",UPPER(LEFT($A39,3)),'Raw data'!B39))</f>
        <v>PT</v>
      </c>
      <c r="C39" s="36" t="str">
        <f aca="false">IF($A39="","",'Raw data'!C39)</f>
        <v>Commercial</v>
      </c>
      <c r="D39" s="37" t="n">
        <f aca="false">IF(OR($A39="",'Raw data'!E39=""),"",'Raw data'!E39)</f>
        <v>95</v>
      </c>
      <c r="E39" s="37" t="n">
        <f aca="false">IF(OR($A39="",'Raw data'!Q39=""),"",'Raw data'!Q39)</f>
        <v>5.7</v>
      </c>
      <c r="F39" s="41" t="n">
        <f aca="false">IF($A39="","",IF(ISNUMBER('Raw data'!G39),'Raw data'!G39*100,""))</f>
        <v>3.74424361121726</v>
      </c>
      <c r="G39" s="41" t="n">
        <f aca="false">IF($A39="","",IF(ISNUMBER('Raw data'!H39),'Raw data'!H39*100,""))</f>
        <v>8.45552053764742</v>
      </c>
      <c r="H39" s="41" t="n">
        <f aca="false">IF($A39="","",IF(ISNUMBER('Raw data'!I39),'Raw data'!I39*100,""))</f>
        <v>2.75274473643183</v>
      </c>
      <c r="I39" s="41" t="n">
        <f aca="false">IF($A39="","",IF(ISNUMBER('Raw data'!R39),'Raw data'!R39*100,""))</f>
        <v>7</v>
      </c>
      <c r="J39" s="41" t="n">
        <f aca="false">IF($A39="","",IF(ISNUMBER('Raw data'!S39),'Raw data'!S39*100,""))</f>
        <v>5.5</v>
      </c>
      <c r="K39" s="41" t="n">
        <f aca="false">IF($A39="","",IF(ISNUMBER('Raw data'!T39),'Raw data'!T39*100,""))</f>
        <v>5.5</v>
      </c>
      <c r="L39" s="41" t="n">
        <f aca="false">IF($A39="","",IF('Raw data'!V39&lt;&gt;"",'Raw data'!V39*100,IF(AND(N('Raw data'!E39)&gt;0,'Raw data'!Q39&lt;&gt;""),'Raw data'!Q39*(1+N('Raw data'!S39))/('Raw data'!E39*(1+N('Raw data'!H39)))*100,"")))</f>
        <v>5.83649404716352</v>
      </c>
      <c r="M39" s="41" t="n">
        <f aca="false">IF($A39="","",IF('Raw data'!U39&lt;&gt;"",'Raw data'!U39*100,IF(AND(N('Raw data'!E39)&gt;0,'Raw data'!Q39&lt;&gt;""),'Raw data'!Q39/'Raw data'!E39*100,"")))</f>
        <v>6</v>
      </c>
      <c r="N39" s="42" t="n">
        <f aca="false">IF($A39="","",IF(ISNUMBER('Raw data'!W39),'Raw data'!W39,""))</f>
        <v>3</v>
      </c>
      <c r="O39" s="42" t="n">
        <f aca="false">IF($A39="","",IF(ISNUMBER('Raw data'!X39),'Raw data'!X39,""))</f>
        <v>3</v>
      </c>
      <c r="P39" s="42" t="n">
        <f aca="false">IF($A39="","",IF(ISNUMBER('Raw data'!Y39),'Raw data'!Y39,""))</f>
        <v>3</v>
      </c>
      <c r="Q39" s="42" t="n">
        <f aca="false">IF($A39="","",IF(ISNUMBER('Raw data'!Z39),'Raw data'!Z39,""))</f>
        <v>4</v>
      </c>
      <c r="R39" s="42" t="n">
        <f aca="false">IF($A39="","",IF(ISNUMBER('Raw data'!J39),'Raw data'!J39*100,""))</f>
        <v>54.0378098551302</v>
      </c>
      <c r="S39" s="41" t="n">
        <f aca="false">IF($A39="","",IF(ISNUMBER('Raw data'!K39),'Raw data'!K39*100,""))</f>
        <v>1.61817401524029</v>
      </c>
      <c r="T39" s="41" t="n">
        <f aca="false">IF($A39="","",IF(ISNUMBER('Raw data'!L39),'Raw data'!L39*100,""))</f>
        <v>8.75866442271192</v>
      </c>
      <c r="U39" s="41" t="n">
        <f aca="false">IF($A39="","",IF(ISNUMBER('Raw data'!M39),'Raw data'!M39*100,""))</f>
        <v>3.11504606403505</v>
      </c>
      <c r="V39" s="41" t="n">
        <f aca="false">IF($A39="","",IF(ISNUMBER('Raw data'!N39),'Raw data'!N39*100,""))</f>
        <v>6.63143162899706</v>
      </c>
      <c r="W39" s="41" t="n">
        <f aca="false">IF($A39="","",IF(ISNUMBER('Raw data'!O39),'Raw data'!O39*100,""))</f>
        <v>8.09911385710784</v>
      </c>
      <c r="X39" s="41" t="n">
        <f aca="false">IF($A39="","",IF(ISNUMBER('Raw data'!P39),'Raw data'!P39*100,""))</f>
        <v>2.31748286927724</v>
      </c>
      <c r="Y39" s="43" t="n">
        <f aca="false">IF($A39="","",IF(AND(ISNUMBER('Raw data'!J39),ISNUMBER('Raw data'!H39),ISNUMBER('Raw data'!L39),ISNUMBER('Raw data'!O39)),ROUND(('Raw data'!J39*'Raw data'!L39+(1-'Raw data'!J39)*'Raw data'!O39-'Raw data'!H39)*100,1),""))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/>
      </c>
      <c r="B40" s="36" t="str">
        <f aca="false">IF($A40="","",IF('Raw data'!B40="",UPPER(LEFT($A40,3)),'Raw data'!B40))</f>
        <v/>
      </c>
      <c r="C40" s="36" t="str">
        <f aca="false">IF($A40="","",'Raw data'!C40)</f>
        <v/>
      </c>
      <c r="D40" s="37" t="str">
        <f aca="false">IF(OR($A40="",'Raw data'!E40=""),"",'Raw data'!E40)</f>
        <v/>
      </c>
      <c r="E40" s="37" t="str">
        <f aca="false">IF(OR($A40="",'Raw data'!Q40=""),"",'Raw data'!Q40)</f>
        <v/>
      </c>
      <c r="F40" s="41" t="str">
        <f aca="false">IF($A40="","",IF(ISNUMBER('Raw data'!G40),'Raw data'!G40*100,""))</f>
        <v/>
      </c>
      <c r="G40" s="41" t="str">
        <f aca="false">IF($A40="","",IF(ISNUMBER('Raw data'!H40),'Raw data'!H40*100,""))</f>
        <v/>
      </c>
      <c r="H40" s="41" t="str">
        <f aca="false">IF($A40="","",IF(ISNUMBER('Raw data'!I40),'Raw data'!I40*100,""))</f>
        <v/>
      </c>
      <c r="I40" s="41" t="str">
        <f aca="false">IF($A40="","",IF(ISNUMBER('Raw data'!R40),'Raw data'!R40*100,""))</f>
        <v/>
      </c>
      <c r="J40" s="41" t="str">
        <f aca="false">IF($A40="","",IF(ISNUMBER('Raw data'!S40),'Raw data'!S40*100,""))</f>
        <v/>
      </c>
      <c r="K40" s="41" t="str">
        <f aca="false">IF($A40="","",IF(ISNUMBER('Raw data'!T40),'Raw data'!T40*100,""))</f>
        <v/>
      </c>
      <c r="L40" s="41" t="str">
        <f aca="false">IF($A40="","",IF('Raw data'!V40&lt;&gt;"",'Raw data'!V40*100,IF(AND(N('Raw data'!E40)&gt;0,'Raw data'!Q40&lt;&gt;""),'Raw data'!Q40*(1+N('Raw data'!S40))/('Raw data'!E40*(1+N('Raw data'!H40)))*100,"")))</f>
        <v/>
      </c>
      <c r="M40" s="41" t="str">
        <f aca="false">IF($A40="","",IF('Raw data'!U40&lt;&gt;"",'Raw data'!U40*100,IF(AND(N('Raw data'!E40)&gt;0,'Raw data'!Q40&lt;&gt;""),'Raw data'!Q40/'Raw data'!E40*100,"")))</f>
        <v/>
      </c>
      <c r="N40" s="42" t="str">
        <f aca="false">IF($A40="","",IF(ISNUMBER('Raw data'!W40),'Raw data'!W40,""))</f>
        <v/>
      </c>
      <c r="O40" s="42" t="str">
        <f aca="false">IF($A40="","",IF(ISNUMBER('Raw data'!X40),'Raw data'!X40,""))</f>
        <v/>
      </c>
      <c r="P40" s="42" t="str">
        <f aca="false">IF($A40="","",IF(ISNUMBER('Raw data'!Y40),'Raw data'!Y40,""))</f>
        <v/>
      </c>
      <c r="Q40" s="42" t="str">
        <f aca="false">IF($A40="","",IF(ISNUMBER('Raw data'!Z40),'Raw data'!Z40,""))</f>
        <v/>
      </c>
      <c r="R40" s="42" t="str">
        <f aca="false">IF($A40="","",IF(ISNUMBER('Raw data'!J40),'Raw data'!J40*100,""))</f>
        <v/>
      </c>
      <c r="S40" s="41" t="str">
        <f aca="false">IF($A40="","",IF(ISNUMBER('Raw data'!K40),'Raw data'!K40*100,""))</f>
        <v/>
      </c>
      <c r="T40" s="41" t="str">
        <f aca="false">IF($A40="","",IF(ISNUMBER('Raw data'!L40),'Raw data'!L40*100,""))</f>
        <v/>
      </c>
      <c r="U40" s="41" t="str">
        <f aca="false">IF($A40="","",IF(ISNUMBER('Raw data'!M40),'Raw data'!M40*100,""))</f>
        <v/>
      </c>
      <c r="V40" s="41" t="str">
        <f aca="false">IF($A40="","",IF(ISNUMBER('Raw data'!N40),'Raw data'!N40*100,""))</f>
        <v/>
      </c>
      <c r="W40" s="41" t="str">
        <f aca="false">IF($A40="","",IF(ISNUMBER('Raw data'!O40),'Raw data'!O40*100,""))</f>
        <v/>
      </c>
      <c r="X40" s="41" t="str">
        <f aca="false">IF($A40="","",IF(ISNUMBER('Raw data'!P40),'Raw data'!P40*100,""))</f>
        <v/>
      </c>
      <c r="Y40" s="43" t="str">
        <f aca="false">IF($A40="","",IF(AND(ISNUMBER('Raw data'!J40),ISNUMBER('Raw data'!H40),ISNUMBER('Raw data'!L40),ISNUMBER('Raw data'!O40)),ROUND(('Raw data'!J40*'Raw data'!L40+(1-'Raw data'!J40)*'Raw data'!O40-'Raw data'!H40)*100,1),""))</f>
        <v/>
      </c>
    </row>
    <row r="41" customFormat="false" ht="15" hidden="false" customHeight="false" outlineLevel="0" collapsed="false">
      <c r="A41" s="36" t="str">
        <f aca="false">IF(TRIM('Raw data'!A41)="","",TRIM('Raw data'!A41))</f>
        <v/>
      </c>
      <c r="B41" s="36" t="str">
        <f aca="false">IF($A41="","",IF('Raw data'!B41="",UPPER(LEFT($A41,3)),'Raw data'!B41))</f>
        <v/>
      </c>
      <c r="C41" s="36" t="str">
        <f aca="false">IF($A41="","",'Raw data'!C41)</f>
        <v/>
      </c>
      <c r="D41" s="37" t="str">
        <f aca="false">IF(OR($A41="",'Raw data'!E41=""),"",'Raw data'!E41)</f>
        <v/>
      </c>
      <c r="E41" s="37" t="str">
        <f aca="false">IF(OR($A41="",'Raw data'!Q41=""),"",'Raw data'!Q41)</f>
        <v/>
      </c>
      <c r="F41" s="41" t="str">
        <f aca="false">IF($A41="","",IF(ISNUMBER('Raw data'!G41),'Raw data'!G41*100,""))</f>
        <v/>
      </c>
      <c r="G41" s="41" t="str">
        <f aca="false">IF($A41="","",IF(ISNUMBER('Raw data'!H41),'Raw data'!H41*100,""))</f>
        <v/>
      </c>
      <c r="H41" s="41" t="str">
        <f aca="false">IF($A41="","",IF(ISNUMBER('Raw data'!I41),'Raw data'!I41*100,""))</f>
        <v/>
      </c>
      <c r="I41" s="41" t="str">
        <f aca="false">IF($A41="","",IF(ISNUMBER('Raw data'!R41),'Raw data'!R41*100,""))</f>
        <v/>
      </c>
      <c r="J41" s="41" t="str">
        <f aca="false">IF($A41="","",IF(ISNUMBER('Raw data'!S41),'Raw data'!S41*100,""))</f>
        <v/>
      </c>
      <c r="K41" s="41" t="str">
        <f aca="false">IF($A41="","",IF(ISNUMBER('Raw data'!T41),'Raw data'!T41*100,""))</f>
        <v/>
      </c>
      <c r="L41" s="41" t="str">
        <f aca="false">IF($A41="","",IF('Raw data'!V41&lt;&gt;"",'Raw data'!V41*100,IF(AND(N('Raw data'!E41)&gt;0,'Raw data'!Q41&lt;&gt;""),'Raw data'!Q41*(1+N('Raw data'!S41))/('Raw data'!E41*(1+N('Raw data'!H41)))*100,"")))</f>
        <v/>
      </c>
      <c r="M41" s="41" t="str">
        <f aca="false">IF($A41="","",IF('Raw data'!U41&lt;&gt;"",'Raw data'!U41*100,IF(AND(N('Raw data'!E41)&gt;0,'Raw data'!Q41&lt;&gt;""),'Raw data'!Q41/'Raw data'!E41*100,"")))</f>
        <v/>
      </c>
      <c r="N41" s="42" t="str">
        <f aca="false">IF($A41="","",IF(ISNUMBER('Raw data'!W41),'Raw data'!W41,""))</f>
        <v/>
      </c>
      <c r="O41" s="42" t="str">
        <f aca="false">IF($A41="","",IF(ISNUMBER('Raw data'!X41),'Raw data'!X41,""))</f>
        <v/>
      </c>
      <c r="P41" s="42" t="str">
        <f aca="false">IF($A41="","",IF(ISNUMBER('Raw data'!Y41),'Raw data'!Y41,""))</f>
        <v/>
      </c>
      <c r="Q41" s="42" t="str">
        <f aca="false">IF($A41="","",IF(ISNUMBER('Raw data'!Z41),'Raw data'!Z41,""))</f>
        <v/>
      </c>
      <c r="R41" s="42" t="str">
        <f aca="false">IF($A41="","",IF(ISNUMBER('Raw data'!J41),'Raw data'!J41*100,""))</f>
        <v/>
      </c>
      <c r="S41" s="41" t="str">
        <f aca="false">IF($A41="","",IF(ISNUMBER('Raw data'!K41),'Raw data'!K41*100,""))</f>
        <v/>
      </c>
      <c r="T41" s="41" t="str">
        <f aca="false">IF($A41="","",IF(ISNUMBER('Raw data'!L41),'Raw data'!L41*100,""))</f>
        <v/>
      </c>
      <c r="U41" s="41" t="str">
        <f aca="false">IF($A41="","",IF(ISNUMBER('Raw data'!M41),'Raw data'!M41*100,""))</f>
        <v/>
      </c>
      <c r="V41" s="41" t="str">
        <f aca="false">IF($A41="","",IF(ISNUMBER('Raw data'!N41),'Raw data'!N41*100,""))</f>
        <v/>
      </c>
      <c r="W41" s="41" t="str">
        <f aca="false">IF($A41="","",IF(ISNUMBER('Raw data'!O41),'Raw data'!O41*100,""))</f>
        <v/>
      </c>
      <c r="X41" s="41" t="str">
        <f aca="false">IF($A41="","",IF(ISNUMBER('Raw data'!P41),'Raw data'!P41*100,""))</f>
        <v/>
      </c>
      <c r="Y41" s="43" t="str">
        <f aca="false">IF($A41="","",IF(AND(ISNUMBER('Raw data'!J41),ISNUMBER('Raw data'!H41),ISNUMBER('Raw data'!L41),ISNUMBER('Raw data'!O41)),ROUND(('Raw data'!J41*'Raw data'!L41+(1-'Raw data'!J41)*'Raw data'!O41-'Raw data'!H41)*100,1),""))</f>
        <v/>
      </c>
    </row>
    <row r="42" customFormat="false" ht="15" hidden="false" customHeight="false" outlineLevel="0" collapsed="false">
      <c r="A42" s="36" t="str">
        <f aca="false">IF(TRIM('Raw data'!A42)="","",TRIM('Raw data'!A42))</f>
        <v/>
      </c>
      <c r="B42" s="36" t="str">
        <f aca="false">IF($A42="","",IF('Raw data'!B42="",UPPER(LEFT($A42,3)),'Raw data'!B42))</f>
        <v/>
      </c>
      <c r="C42" s="36" t="str">
        <f aca="false">IF($A42="","",'Raw data'!C42)</f>
        <v/>
      </c>
      <c r="D42" s="37" t="str">
        <f aca="false">IF(OR($A42="",'Raw data'!E42=""),"",'Raw data'!E42)</f>
        <v/>
      </c>
      <c r="E42" s="37" t="str">
        <f aca="false">IF(OR($A42="",'Raw data'!Q42=""),"",'Raw data'!Q42)</f>
        <v/>
      </c>
      <c r="F42" s="41" t="str">
        <f aca="false">IF($A42="","",IF(ISNUMBER('Raw data'!G42),'Raw data'!G42*100,""))</f>
        <v/>
      </c>
      <c r="G42" s="41" t="str">
        <f aca="false">IF($A42="","",IF(ISNUMBER('Raw data'!H42),'Raw data'!H42*100,""))</f>
        <v/>
      </c>
      <c r="H42" s="41" t="str">
        <f aca="false">IF($A42="","",IF(ISNUMBER('Raw data'!I42),'Raw data'!I42*100,""))</f>
        <v/>
      </c>
      <c r="I42" s="41" t="str">
        <f aca="false">IF($A42="","",IF(ISNUMBER('Raw data'!R42),'Raw data'!R42*100,""))</f>
        <v/>
      </c>
      <c r="J42" s="41" t="str">
        <f aca="false">IF($A42="","",IF(ISNUMBER('Raw data'!S42),'Raw data'!S42*100,""))</f>
        <v/>
      </c>
      <c r="K42" s="41" t="str">
        <f aca="false">IF($A42="","",IF(ISNUMBER('Raw data'!T42),'Raw data'!T42*100,""))</f>
        <v/>
      </c>
      <c r="L42" s="41" t="str">
        <f aca="false">IF($A42="","",IF('Raw data'!V42&lt;&gt;"",'Raw data'!V42*100,IF(AND(N('Raw data'!E42)&gt;0,'Raw data'!Q42&lt;&gt;""),'Raw data'!Q42*(1+N('Raw data'!S42))/('Raw data'!E42*(1+N('Raw data'!H42)))*100,"")))</f>
        <v/>
      </c>
      <c r="M42" s="41" t="str">
        <f aca="false">IF($A42="","",IF('Raw data'!U42&lt;&gt;"",'Raw data'!U42*100,IF(AND(N('Raw data'!E42)&gt;0,'Raw data'!Q42&lt;&gt;""),'Raw data'!Q42/'Raw data'!E42*100,"")))</f>
        <v/>
      </c>
      <c r="N42" s="42" t="str">
        <f aca="false">IF($A42="","",IF(ISNUMBER('Raw data'!W42),'Raw data'!W42,""))</f>
        <v/>
      </c>
      <c r="O42" s="42" t="str">
        <f aca="false">IF($A42="","",IF(ISNUMBER('Raw data'!X42),'Raw data'!X42,""))</f>
        <v/>
      </c>
      <c r="P42" s="42" t="str">
        <f aca="false">IF($A42="","",IF(ISNUMBER('Raw data'!Y42),'Raw data'!Y42,""))</f>
        <v/>
      </c>
      <c r="Q42" s="42" t="str">
        <f aca="false">IF($A42="","",IF(ISNUMBER('Raw data'!Z42),'Raw data'!Z42,""))</f>
        <v/>
      </c>
      <c r="R42" s="42" t="str">
        <f aca="false">IF($A42="","",IF(ISNUMBER('Raw data'!J42),'Raw data'!J42*100,""))</f>
        <v/>
      </c>
      <c r="S42" s="41" t="str">
        <f aca="false">IF($A42="","",IF(ISNUMBER('Raw data'!K42),'Raw data'!K42*100,""))</f>
        <v/>
      </c>
      <c r="T42" s="41" t="str">
        <f aca="false">IF($A42="","",IF(ISNUMBER('Raw data'!L42),'Raw data'!L42*100,""))</f>
        <v/>
      </c>
      <c r="U42" s="41" t="str">
        <f aca="false">IF($A42="","",IF(ISNUMBER('Raw data'!M42),'Raw data'!M42*100,""))</f>
        <v/>
      </c>
      <c r="V42" s="41" t="str">
        <f aca="false">IF($A42="","",IF(ISNUMBER('Raw data'!N42),'Raw data'!N42*100,""))</f>
        <v/>
      </c>
      <c r="W42" s="41" t="str">
        <f aca="false">IF($A42="","",IF(ISNUMBER('Raw data'!O42),'Raw data'!O42*100,""))</f>
        <v/>
      </c>
      <c r="X42" s="41" t="str">
        <f aca="false">IF($A42="","",IF(ISNUMBER('Raw data'!P42),'Raw data'!P42*100,""))</f>
        <v/>
      </c>
      <c r="Y42" s="43" t="str">
        <f aca="false">IF($A42="","",IF(AND(ISNUMBER('Raw data'!J42),ISNUMBER('Raw data'!H42),ISNUMBER('Raw data'!L42),ISNUMBER('Raw data'!O42)),ROUND(('Raw data'!J42*'Raw data'!L42+(1-'Raw data'!J42)*'Raw data'!O42-'Raw data'!H42)*100,1),""))</f>
        <v/>
      </c>
    </row>
    <row r="43" customFormat="false" ht="15" hidden="false" customHeight="false" outlineLevel="0" collapsed="false">
      <c r="A43" s="36" t="str">
        <f aca="false">IF(TRIM('Raw data'!A43)="","",TRIM('Raw data'!A43))</f>
        <v/>
      </c>
      <c r="B43" s="36" t="str">
        <f aca="false">IF($A43="","",IF('Raw data'!B43="",UPPER(LEFT($A43,3)),'Raw data'!B43))</f>
        <v/>
      </c>
      <c r="C43" s="36" t="str">
        <f aca="false">IF($A43="","",'Raw data'!C43)</f>
        <v/>
      </c>
      <c r="D43" s="37" t="str">
        <f aca="false">IF(OR($A43="",'Raw data'!E43=""),"",'Raw data'!E43)</f>
        <v/>
      </c>
      <c r="E43" s="37" t="str">
        <f aca="false">IF(OR($A43="",'Raw data'!Q43=""),"",'Raw data'!Q43)</f>
        <v/>
      </c>
      <c r="F43" s="41" t="str">
        <f aca="false">IF($A43="","",IF(ISNUMBER('Raw data'!G43),'Raw data'!G43*100,""))</f>
        <v/>
      </c>
      <c r="G43" s="41" t="str">
        <f aca="false">IF($A43="","",IF(ISNUMBER('Raw data'!H43),'Raw data'!H43*100,""))</f>
        <v/>
      </c>
      <c r="H43" s="41" t="str">
        <f aca="false">IF($A43="","",IF(ISNUMBER('Raw data'!I43),'Raw data'!I43*100,""))</f>
        <v/>
      </c>
      <c r="I43" s="41" t="str">
        <f aca="false">IF($A43="","",IF(ISNUMBER('Raw data'!R43),'Raw data'!R43*100,""))</f>
        <v/>
      </c>
      <c r="J43" s="41" t="str">
        <f aca="false">IF($A43="","",IF(ISNUMBER('Raw data'!S43),'Raw data'!S43*100,""))</f>
        <v/>
      </c>
      <c r="K43" s="41" t="str">
        <f aca="false">IF($A43="","",IF(ISNUMBER('Raw data'!T43),'Raw data'!T43*100,""))</f>
        <v/>
      </c>
      <c r="L43" s="41" t="str">
        <f aca="false">IF($A43="","",IF('Raw data'!V43&lt;&gt;"",'Raw data'!V43*100,IF(AND(N('Raw data'!E43)&gt;0,'Raw data'!Q43&lt;&gt;""),'Raw data'!Q43*(1+N('Raw data'!S43))/('Raw data'!E43*(1+N('Raw data'!H43)))*100,"")))</f>
        <v/>
      </c>
      <c r="M43" s="41" t="str">
        <f aca="false">IF($A43="","",IF('Raw data'!U43&lt;&gt;"",'Raw data'!U43*100,IF(AND(N('Raw data'!E43)&gt;0,'Raw data'!Q43&lt;&gt;""),'Raw data'!Q43/'Raw data'!E43*100,"")))</f>
        <v/>
      </c>
      <c r="N43" s="42" t="str">
        <f aca="false">IF($A43="","",IF(ISNUMBER('Raw data'!W43),'Raw data'!W43,""))</f>
        <v/>
      </c>
      <c r="O43" s="42" t="str">
        <f aca="false">IF($A43="","",IF(ISNUMBER('Raw data'!X43),'Raw data'!X43,""))</f>
        <v/>
      </c>
      <c r="P43" s="42" t="str">
        <f aca="false">IF($A43="","",IF(ISNUMBER('Raw data'!Y43),'Raw data'!Y43,""))</f>
        <v/>
      </c>
      <c r="Q43" s="42" t="str">
        <f aca="false">IF($A43="","",IF(ISNUMBER('Raw data'!Z43),'Raw data'!Z43,""))</f>
        <v/>
      </c>
      <c r="R43" s="42" t="str">
        <f aca="false">IF($A43="","",IF(ISNUMBER('Raw data'!J43),'Raw data'!J43*100,""))</f>
        <v/>
      </c>
      <c r="S43" s="41" t="str">
        <f aca="false">IF($A43="","",IF(ISNUMBER('Raw data'!K43),'Raw data'!K43*100,""))</f>
        <v/>
      </c>
      <c r="T43" s="41" t="str">
        <f aca="false">IF($A43="","",IF(ISNUMBER('Raw data'!L43),'Raw data'!L43*100,""))</f>
        <v/>
      </c>
      <c r="U43" s="41" t="str">
        <f aca="false">IF($A43="","",IF(ISNUMBER('Raw data'!M43),'Raw data'!M43*100,""))</f>
        <v/>
      </c>
      <c r="V43" s="41" t="str">
        <f aca="false">IF($A43="","",IF(ISNUMBER('Raw data'!N43),'Raw data'!N43*100,""))</f>
        <v/>
      </c>
      <c r="W43" s="41" t="str">
        <f aca="false">IF($A43="","",IF(ISNUMBER('Raw data'!O43),'Raw data'!O43*100,""))</f>
        <v/>
      </c>
      <c r="X43" s="41" t="str">
        <f aca="false">IF($A43="","",IF(ISNUMBER('Raw data'!P43),'Raw data'!P43*100,""))</f>
        <v/>
      </c>
      <c r="Y43" s="43" t="str">
        <f aca="false">IF($A43="","",IF(AND(ISNUMBER('Raw data'!J43),ISNUMBER('Raw data'!H43),ISNUMBER('Raw data'!L43),ISNUMBER('Raw data'!O43)),ROUND(('Raw data'!J43*'Raw data'!L43+(1-'Raw data'!J43)*'Raw data'!O43-'Raw data'!H43)*100,1),""))</f>
        <v/>
      </c>
    </row>
    <row r="44" customFormat="false" ht="15" hidden="false" customHeight="false" outlineLevel="0" collapsed="false">
      <c r="A44" s="36" t="str">
        <f aca="false">IF(TRIM('Raw data'!A44)="","",TRIM('Raw data'!A44))</f>
        <v/>
      </c>
      <c r="B44" s="36" t="str">
        <f aca="false">IF($A44="","",IF('Raw data'!B44="",UPPER(LEFT($A44,3)),'Raw data'!B44))</f>
        <v/>
      </c>
      <c r="C44" s="36" t="str">
        <f aca="false">IF($A44="","",'Raw data'!C44)</f>
        <v/>
      </c>
      <c r="D44" s="37" t="str">
        <f aca="false">IF(OR($A44="",'Raw data'!E44=""),"",'Raw data'!E44)</f>
        <v/>
      </c>
      <c r="E44" s="37" t="str">
        <f aca="false">IF(OR($A44="",'Raw data'!Q44=""),"",'Raw data'!Q44)</f>
        <v/>
      </c>
      <c r="F44" s="41" t="str">
        <f aca="false">IF($A44="","",IF(ISNUMBER('Raw data'!G44),'Raw data'!G44*100,""))</f>
        <v/>
      </c>
      <c r="G44" s="41" t="str">
        <f aca="false">IF($A44="","",IF(ISNUMBER('Raw data'!H44),'Raw data'!H44*100,""))</f>
        <v/>
      </c>
      <c r="H44" s="41" t="str">
        <f aca="false">IF($A44="","",IF(ISNUMBER('Raw data'!I44),'Raw data'!I44*100,""))</f>
        <v/>
      </c>
      <c r="I44" s="41" t="str">
        <f aca="false">IF($A44="","",IF(ISNUMBER('Raw data'!R44),'Raw data'!R44*100,""))</f>
        <v/>
      </c>
      <c r="J44" s="41" t="str">
        <f aca="false">IF($A44="","",IF(ISNUMBER('Raw data'!S44),'Raw data'!S44*100,""))</f>
        <v/>
      </c>
      <c r="K44" s="41" t="str">
        <f aca="false">IF($A44="","",IF(ISNUMBER('Raw data'!T44),'Raw data'!T44*100,""))</f>
        <v/>
      </c>
      <c r="L44" s="41" t="str">
        <f aca="false">IF($A44="","",IF('Raw data'!V44&lt;&gt;"",'Raw data'!V44*100,IF(AND(N('Raw data'!E44)&gt;0,'Raw data'!Q44&lt;&gt;""),'Raw data'!Q44*(1+N('Raw data'!S44))/('Raw data'!E44*(1+N('Raw data'!H44)))*100,"")))</f>
        <v/>
      </c>
      <c r="M44" s="41" t="str">
        <f aca="false">IF($A44="","",IF('Raw data'!U44&lt;&gt;"",'Raw data'!U44*100,IF(AND(N('Raw data'!E44)&gt;0,'Raw data'!Q44&lt;&gt;""),'Raw data'!Q44/'Raw data'!E44*100,"")))</f>
        <v/>
      </c>
      <c r="N44" s="42" t="str">
        <f aca="false">IF($A44="","",IF(ISNUMBER('Raw data'!W44),'Raw data'!W44,""))</f>
        <v/>
      </c>
      <c r="O44" s="42" t="str">
        <f aca="false">IF($A44="","",IF(ISNUMBER('Raw data'!X44),'Raw data'!X44,""))</f>
        <v/>
      </c>
      <c r="P44" s="42" t="str">
        <f aca="false">IF($A44="","",IF(ISNUMBER('Raw data'!Y44),'Raw data'!Y44,""))</f>
        <v/>
      </c>
      <c r="Q44" s="42" t="str">
        <f aca="false">IF($A44="","",IF(ISNUMBER('Raw data'!Z44),'Raw data'!Z44,""))</f>
        <v/>
      </c>
      <c r="R44" s="42" t="str">
        <f aca="false">IF($A44="","",IF(ISNUMBER('Raw data'!J44),'Raw data'!J44*100,""))</f>
        <v/>
      </c>
      <c r="S44" s="41" t="str">
        <f aca="false">IF($A44="","",IF(ISNUMBER('Raw data'!K44),'Raw data'!K44*100,""))</f>
        <v/>
      </c>
      <c r="T44" s="41" t="str">
        <f aca="false">IF($A44="","",IF(ISNUMBER('Raw data'!L44),'Raw data'!L44*100,""))</f>
        <v/>
      </c>
      <c r="U44" s="41" t="str">
        <f aca="false">IF($A44="","",IF(ISNUMBER('Raw data'!M44),'Raw data'!M44*100,""))</f>
        <v/>
      </c>
      <c r="V44" s="41" t="str">
        <f aca="false">IF($A44="","",IF(ISNUMBER('Raw data'!N44),'Raw data'!N44*100,""))</f>
        <v/>
      </c>
      <c r="W44" s="41" t="str">
        <f aca="false">IF($A44="","",IF(ISNUMBER('Raw data'!O44),'Raw data'!O44*100,""))</f>
        <v/>
      </c>
      <c r="X44" s="41" t="str">
        <f aca="false">IF($A44="","",IF(ISNUMBER('Raw data'!P44),'Raw data'!P44*100,""))</f>
        <v/>
      </c>
      <c r="Y44" s="43" t="str">
        <f aca="false">IF($A44="","",IF(AND(ISNUMBER('Raw data'!J44),ISNUMBER('Raw data'!H44),ISNUMBER('Raw data'!L44),ISNUMBER('Raw data'!O44)),ROUND(('Raw data'!J44*'Raw data'!L44+(1-'Raw data'!J44)*'Raw data'!O44-'Raw data'!H44)*100,1),""))</f>
        <v/>
      </c>
    </row>
    <row r="45" customFormat="false" ht="15" hidden="false" customHeight="false" outlineLevel="0" collapsed="false">
      <c r="A45" s="36" t="str">
        <f aca="false">IF(TRIM('Raw data'!A45)="","",TRIM('Raw data'!A45))</f>
        <v/>
      </c>
      <c r="B45" s="36" t="str">
        <f aca="false">IF($A45="","",IF('Raw data'!B45="",UPPER(LEFT($A45,3)),'Raw data'!B45))</f>
        <v/>
      </c>
      <c r="C45" s="36" t="str">
        <f aca="false">IF($A45="","",'Raw data'!C45)</f>
        <v/>
      </c>
      <c r="D45" s="37" t="str">
        <f aca="false">IF(OR($A45="",'Raw data'!E45=""),"",'Raw data'!E45)</f>
        <v/>
      </c>
      <c r="E45" s="37" t="str">
        <f aca="false">IF(OR($A45="",'Raw data'!Q45=""),"",'Raw data'!Q45)</f>
        <v/>
      </c>
      <c r="F45" s="41" t="str">
        <f aca="false">IF($A45="","",IF(ISNUMBER('Raw data'!G45),'Raw data'!G45*100,""))</f>
        <v/>
      </c>
      <c r="G45" s="41" t="str">
        <f aca="false">IF($A45="","",IF(ISNUMBER('Raw data'!H45),'Raw data'!H45*100,""))</f>
        <v/>
      </c>
      <c r="H45" s="41" t="str">
        <f aca="false">IF($A45="","",IF(ISNUMBER('Raw data'!I45),'Raw data'!I45*100,""))</f>
        <v/>
      </c>
      <c r="I45" s="41" t="str">
        <f aca="false">IF($A45="","",IF(ISNUMBER('Raw data'!R45),'Raw data'!R45*100,""))</f>
        <v/>
      </c>
      <c r="J45" s="41" t="str">
        <f aca="false">IF($A45="","",IF(ISNUMBER('Raw data'!S45),'Raw data'!S45*100,""))</f>
        <v/>
      </c>
      <c r="K45" s="41" t="str">
        <f aca="false">IF($A45="","",IF(ISNUMBER('Raw data'!T45),'Raw data'!T45*100,""))</f>
        <v/>
      </c>
      <c r="L45" s="41" t="str">
        <f aca="false">IF($A45="","",IF('Raw data'!V45&lt;&gt;"",'Raw data'!V45*100,IF(AND(N('Raw data'!E45)&gt;0,'Raw data'!Q45&lt;&gt;""),'Raw data'!Q45*(1+N('Raw data'!S45))/('Raw data'!E45*(1+N('Raw data'!H45)))*100,"")))</f>
        <v/>
      </c>
      <c r="M45" s="41" t="str">
        <f aca="false">IF($A45="","",IF('Raw data'!U45&lt;&gt;"",'Raw data'!U45*100,IF(AND(N('Raw data'!E45)&gt;0,'Raw data'!Q45&lt;&gt;""),'Raw data'!Q45/'Raw data'!E45*100,"")))</f>
        <v/>
      </c>
      <c r="N45" s="42" t="str">
        <f aca="false">IF($A45="","",IF(ISNUMBER('Raw data'!W45),'Raw data'!W45,""))</f>
        <v/>
      </c>
      <c r="O45" s="42" t="str">
        <f aca="false">IF($A45="","",IF(ISNUMBER('Raw data'!X45),'Raw data'!X45,""))</f>
        <v/>
      </c>
      <c r="P45" s="42" t="str">
        <f aca="false">IF($A45="","",IF(ISNUMBER('Raw data'!Y45),'Raw data'!Y45,""))</f>
        <v/>
      </c>
      <c r="Q45" s="42" t="str">
        <f aca="false">IF($A45="","",IF(ISNUMBER('Raw data'!Z45),'Raw data'!Z45,""))</f>
        <v/>
      </c>
      <c r="R45" s="42" t="str">
        <f aca="false">IF($A45="","",IF(ISNUMBER('Raw data'!J45),'Raw data'!J45*100,""))</f>
        <v/>
      </c>
      <c r="S45" s="41" t="str">
        <f aca="false">IF($A45="","",IF(ISNUMBER('Raw data'!K45),'Raw data'!K45*100,""))</f>
        <v/>
      </c>
      <c r="T45" s="41" t="str">
        <f aca="false">IF($A45="","",IF(ISNUMBER('Raw data'!L45),'Raw data'!L45*100,""))</f>
        <v/>
      </c>
      <c r="U45" s="41" t="str">
        <f aca="false">IF($A45="","",IF(ISNUMBER('Raw data'!M45),'Raw data'!M45*100,""))</f>
        <v/>
      </c>
      <c r="V45" s="41" t="str">
        <f aca="false">IF($A45="","",IF(ISNUMBER('Raw data'!N45),'Raw data'!N45*100,""))</f>
        <v/>
      </c>
      <c r="W45" s="41" t="str">
        <f aca="false">IF($A45="","",IF(ISNUMBER('Raw data'!O45),'Raw data'!O45*100,""))</f>
        <v/>
      </c>
      <c r="X45" s="41" t="str">
        <f aca="false">IF($A45="","",IF(ISNUMBER('Raw data'!P45),'Raw data'!P45*100,""))</f>
        <v/>
      </c>
      <c r="Y45" s="43" t="str">
        <f aca="false">IF($A45="","",IF(AND(ISNUMBER('Raw data'!J45),ISNUMBER('Raw data'!H45),ISNUMBER('Raw data'!L45),ISNUMBER('Raw data'!O45)),ROUND(('Raw data'!J45*'Raw data'!L45+(1-'Raw data'!J45)*'Raw data'!O45-'Raw data'!H45)*100,1),""))</f>
        <v/>
      </c>
    </row>
    <row r="46" customFormat="false" ht="15" hidden="false" customHeight="false" outlineLevel="0" collapsed="false">
      <c r="A46" s="36" t="str">
        <f aca="false">IF(TRIM('Raw data'!A46)="","",TRIM('Raw data'!A46))</f>
        <v/>
      </c>
      <c r="B46" s="36" t="str">
        <f aca="false">IF($A46="","",IF('Raw data'!B46="",UPPER(LEFT($A46,3)),'Raw data'!B46))</f>
        <v/>
      </c>
      <c r="C46" s="36" t="str">
        <f aca="false">IF($A46="","",'Raw data'!C46)</f>
        <v/>
      </c>
      <c r="D46" s="37" t="str">
        <f aca="false">IF(OR($A46="",'Raw data'!E46=""),"",'Raw data'!E46)</f>
        <v/>
      </c>
      <c r="E46" s="37" t="str">
        <f aca="false">IF(OR($A46="",'Raw data'!Q46=""),"",'Raw data'!Q46)</f>
        <v/>
      </c>
      <c r="F46" s="41" t="str">
        <f aca="false">IF($A46="","",IF(ISNUMBER('Raw data'!G46),'Raw data'!G46*100,""))</f>
        <v/>
      </c>
      <c r="G46" s="41" t="str">
        <f aca="false">IF($A46="","",IF(ISNUMBER('Raw data'!H46),'Raw data'!H46*100,""))</f>
        <v/>
      </c>
      <c r="H46" s="41" t="str">
        <f aca="false">IF($A46="","",IF(ISNUMBER('Raw data'!I46),'Raw data'!I46*100,""))</f>
        <v/>
      </c>
      <c r="I46" s="41" t="str">
        <f aca="false">IF($A46="","",IF(ISNUMBER('Raw data'!R46),'Raw data'!R46*100,""))</f>
        <v/>
      </c>
      <c r="J46" s="41" t="str">
        <f aca="false">IF($A46="","",IF(ISNUMBER('Raw data'!S46),'Raw data'!S46*100,""))</f>
        <v/>
      </c>
      <c r="K46" s="41" t="str">
        <f aca="false">IF($A46="","",IF(ISNUMBER('Raw data'!T46),'Raw data'!T46*100,""))</f>
        <v/>
      </c>
      <c r="L46" s="41" t="str">
        <f aca="false">IF($A46="","",IF('Raw data'!V46&lt;&gt;"",'Raw data'!V46*100,IF(AND(N('Raw data'!E46)&gt;0,'Raw data'!Q46&lt;&gt;""),'Raw data'!Q46*(1+N('Raw data'!S46))/('Raw data'!E46*(1+N('Raw data'!H46)))*100,"")))</f>
        <v/>
      </c>
      <c r="M46" s="41" t="str">
        <f aca="false">IF($A46="","",IF('Raw data'!U46&lt;&gt;"",'Raw data'!U46*100,IF(AND(N('Raw data'!E46)&gt;0,'Raw data'!Q46&lt;&gt;""),'Raw data'!Q46/'Raw data'!E46*100,"")))</f>
        <v/>
      </c>
      <c r="N46" s="42" t="str">
        <f aca="false">IF($A46="","",IF(ISNUMBER('Raw data'!W46),'Raw data'!W46,""))</f>
        <v/>
      </c>
      <c r="O46" s="42" t="str">
        <f aca="false">IF($A46="","",IF(ISNUMBER('Raw data'!X46),'Raw data'!X46,""))</f>
        <v/>
      </c>
      <c r="P46" s="42" t="str">
        <f aca="false">IF($A46="","",IF(ISNUMBER('Raw data'!Y46),'Raw data'!Y46,""))</f>
        <v/>
      </c>
      <c r="Q46" s="42" t="str">
        <f aca="false">IF($A46="","",IF(ISNUMBER('Raw data'!Z46),'Raw data'!Z46,""))</f>
        <v/>
      </c>
      <c r="R46" s="42" t="str">
        <f aca="false">IF($A46="","",IF(ISNUMBER('Raw data'!J46),'Raw data'!J46*100,""))</f>
        <v/>
      </c>
      <c r="S46" s="41" t="str">
        <f aca="false">IF($A46="","",IF(ISNUMBER('Raw data'!K46),'Raw data'!K46*100,""))</f>
        <v/>
      </c>
      <c r="T46" s="41" t="str">
        <f aca="false">IF($A46="","",IF(ISNUMBER('Raw data'!L46),'Raw data'!L46*100,""))</f>
        <v/>
      </c>
      <c r="U46" s="41" t="str">
        <f aca="false">IF($A46="","",IF(ISNUMBER('Raw data'!M46),'Raw data'!M46*100,""))</f>
        <v/>
      </c>
      <c r="V46" s="41" t="str">
        <f aca="false">IF($A46="","",IF(ISNUMBER('Raw data'!N46),'Raw data'!N46*100,""))</f>
        <v/>
      </c>
      <c r="W46" s="41" t="str">
        <f aca="false">IF($A46="","",IF(ISNUMBER('Raw data'!O46),'Raw data'!O46*100,""))</f>
        <v/>
      </c>
      <c r="X46" s="41" t="str">
        <f aca="false">IF($A46="","",IF(ISNUMBER('Raw data'!P46),'Raw data'!P46*100,""))</f>
        <v/>
      </c>
      <c r="Y46" s="43" t="str">
        <f aca="false">IF($A46="","",IF(AND(ISNUMBER('Raw data'!J46),ISNUMBER('Raw data'!H46),ISNUMBER('Raw data'!L46),ISNUMBER('Raw data'!O46)),ROUND(('Raw data'!J46*'Raw data'!L46+(1-'Raw data'!J46)*'Raw data'!O46-'Raw data'!H46)*100,1),""))</f>
        <v/>
      </c>
    </row>
    <row r="47" customFormat="false" ht="15" hidden="false" customHeight="false" outlineLevel="0" collapsed="false">
      <c r="A47" s="36" t="str">
        <f aca="false">IF(TRIM('Raw data'!A47)="","",TRIM('Raw data'!A47))</f>
        <v/>
      </c>
      <c r="B47" s="36" t="str">
        <f aca="false">IF($A47="","",IF('Raw data'!B47="",UPPER(LEFT($A47,3)),'Raw data'!B47))</f>
        <v/>
      </c>
      <c r="C47" s="36" t="str">
        <f aca="false">IF($A47="","",'Raw data'!C47)</f>
        <v/>
      </c>
      <c r="D47" s="37" t="str">
        <f aca="false">IF(OR($A47="",'Raw data'!E47=""),"",'Raw data'!E47)</f>
        <v/>
      </c>
      <c r="E47" s="37" t="str">
        <f aca="false">IF(OR($A47="",'Raw data'!Q47=""),"",'Raw data'!Q47)</f>
        <v/>
      </c>
      <c r="F47" s="41" t="str">
        <f aca="false">IF($A47="","",IF(ISNUMBER('Raw data'!G47),'Raw data'!G47*100,""))</f>
        <v/>
      </c>
      <c r="G47" s="41" t="str">
        <f aca="false">IF($A47="","",IF(ISNUMBER('Raw data'!H47),'Raw data'!H47*100,""))</f>
        <v/>
      </c>
      <c r="H47" s="41" t="str">
        <f aca="false">IF($A47="","",IF(ISNUMBER('Raw data'!I47),'Raw data'!I47*100,""))</f>
        <v/>
      </c>
      <c r="I47" s="41" t="str">
        <f aca="false">IF($A47="","",IF(ISNUMBER('Raw data'!R47),'Raw data'!R47*100,""))</f>
        <v/>
      </c>
      <c r="J47" s="41" t="str">
        <f aca="false">IF($A47="","",IF(ISNUMBER('Raw data'!S47),'Raw data'!S47*100,""))</f>
        <v/>
      </c>
      <c r="K47" s="41" t="str">
        <f aca="false">IF($A47="","",IF(ISNUMBER('Raw data'!T47),'Raw data'!T47*100,""))</f>
        <v/>
      </c>
      <c r="L47" s="41" t="str">
        <f aca="false">IF($A47="","",IF('Raw data'!V47&lt;&gt;"",'Raw data'!V47*100,IF(AND(N('Raw data'!E47)&gt;0,'Raw data'!Q47&lt;&gt;""),'Raw data'!Q47*(1+N('Raw data'!S47))/('Raw data'!E47*(1+N('Raw data'!H47)))*100,"")))</f>
        <v/>
      </c>
      <c r="M47" s="41" t="str">
        <f aca="false">IF($A47="","",IF('Raw data'!U47&lt;&gt;"",'Raw data'!U47*100,IF(AND(N('Raw data'!E47)&gt;0,'Raw data'!Q47&lt;&gt;""),'Raw data'!Q47/'Raw data'!E47*100,"")))</f>
        <v/>
      </c>
      <c r="N47" s="42" t="str">
        <f aca="false">IF($A47="","",IF(ISNUMBER('Raw data'!W47),'Raw data'!W47,""))</f>
        <v/>
      </c>
      <c r="O47" s="42" t="str">
        <f aca="false">IF($A47="","",IF(ISNUMBER('Raw data'!X47),'Raw data'!X47,""))</f>
        <v/>
      </c>
      <c r="P47" s="42" t="str">
        <f aca="false">IF($A47="","",IF(ISNUMBER('Raw data'!Y47),'Raw data'!Y47,""))</f>
        <v/>
      </c>
      <c r="Q47" s="42" t="str">
        <f aca="false">IF($A47="","",IF(ISNUMBER('Raw data'!Z47),'Raw data'!Z47,""))</f>
        <v/>
      </c>
      <c r="R47" s="42" t="str">
        <f aca="false">IF($A47="","",IF(ISNUMBER('Raw data'!J47),'Raw data'!J47*100,""))</f>
        <v/>
      </c>
      <c r="S47" s="41" t="str">
        <f aca="false">IF($A47="","",IF(ISNUMBER('Raw data'!K47),'Raw data'!K47*100,""))</f>
        <v/>
      </c>
      <c r="T47" s="41" t="str">
        <f aca="false">IF($A47="","",IF(ISNUMBER('Raw data'!L47),'Raw data'!L47*100,""))</f>
        <v/>
      </c>
      <c r="U47" s="41" t="str">
        <f aca="false">IF($A47="","",IF(ISNUMBER('Raw data'!M47),'Raw data'!M47*100,""))</f>
        <v/>
      </c>
      <c r="V47" s="41" t="str">
        <f aca="false">IF($A47="","",IF(ISNUMBER('Raw data'!N47),'Raw data'!N47*100,""))</f>
        <v/>
      </c>
      <c r="W47" s="41" t="str">
        <f aca="false">IF($A47="","",IF(ISNUMBER('Raw data'!O47),'Raw data'!O47*100,""))</f>
        <v/>
      </c>
      <c r="X47" s="41" t="str">
        <f aca="false">IF($A47="","",IF(ISNUMBER('Raw data'!P47),'Raw data'!P47*100,""))</f>
        <v/>
      </c>
      <c r="Y47" s="43" t="str">
        <f aca="false">IF($A47="","",IF(AND(ISNUMBER('Raw data'!J47),ISNUMBER('Raw data'!H47),ISNUMBER('Raw data'!L47),ISNUMBER('Raw data'!O47)),ROUND(('Raw data'!J47*'Raw data'!L47+(1-'Raw data'!J47)*'Raw data'!O47-'Raw data'!H47)*100,1),""))</f>
        <v/>
      </c>
    </row>
    <row r="48" customFormat="false" ht="15" hidden="false" customHeight="false" outlineLevel="0" collapsed="false">
      <c r="A48" s="36" t="str">
        <f aca="false">IF(TRIM('Raw data'!A48)="","",TRIM('Raw data'!A48))</f>
        <v/>
      </c>
      <c r="B48" s="36" t="str">
        <f aca="false">IF($A48="","",IF('Raw data'!B48="",UPPER(LEFT($A48,3)),'Raw data'!B48))</f>
        <v/>
      </c>
      <c r="C48" s="36" t="str">
        <f aca="false">IF($A48="","",'Raw data'!C48)</f>
        <v/>
      </c>
      <c r="D48" s="37" t="str">
        <f aca="false">IF(OR($A48="",'Raw data'!E48=""),"",'Raw data'!E48)</f>
        <v/>
      </c>
      <c r="E48" s="37" t="str">
        <f aca="false">IF(OR($A48="",'Raw data'!Q48=""),"",'Raw data'!Q48)</f>
        <v/>
      </c>
      <c r="F48" s="41" t="str">
        <f aca="false">IF($A48="","",IF(ISNUMBER('Raw data'!G48),'Raw data'!G48*100,""))</f>
        <v/>
      </c>
      <c r="G48" s="41" t="str">
        <f aca="false">IF($A48="","",IF(ISNUMBER('Raw data'!H48),'Raw data'!H48*100,""))</f>
        <v/>
      </c>
      <c r="H48" s="41" t="str">
        <f aca="false">IF($A48="","",IF(ISNUMBER('Raw data'!I48),'Raw data'!I48*100,""))</f>
        <v/>
      </c>
      <c r="I48" s="41" t="str">
        <f aca="false">IF($A48="","",IF(ISNUMBER('Raw data'!R48),'Raw data'!R48*100,""))</f>
        <v/>
      </c>
      <c r="J48" s="41" t="str">
        <f aca="false">IF($A48="","",IF(ISNUMBER('Raw data'!S48),'Raw data'!S48*100,""))</f>
        <v/>
      </c>
      <c r="K48" s="41" t="str">
        <f aca="false">IF($A48="","",IF(ISNUMBER('Raw data'!T48),'Raw data'!T48*100,""))</f>
        <v/>
      </c>
      <c r="L48" s="41" t="str">
        <f aca="false">IF($A48="","",IF('Raw data'!V48&lt;&gt;"",'Raw data'!V48*100,IF(AND(N('Raw data'!E48)&gt;0,'Raw data'!Q48&lt;&gt;""),'Raw data'!Q48*(1+N('Raw data'!S48))/('Raw data'!E48*(1+N('Raw data'!H48)))*100,"")))</f>
        <v/>
      </c>
      <c r="M48" s="41" t="str">
        <f aca="false">IF($A48="","",IF('Raw data'!U48&lt;&gt;"",'Raw data'!U48*100,IF(AND(N('Raw data'!E48)&gt;0,'Raw data'!Q48&lt;&gt;""),'Raw data'!Q48/'Raw data'!E48*100,"")))</f>
        <v/>
      </c>
      <c r="N48" s="42" t="str">
        <f aca="false">IF($A48="","",IF(ISNUMBER('Raw data'!W48),'Raw data'!W48,""))</f>
        <v/>
      </c>
      <c r="O48" s="42" t="str">
        <f aca="false">IF($A48="","",IF(ISNUMBER('Raw data'!X48),'Raw data'!X48,""))</f>
        <v/>
      </c>
      <c r="P48" s="42" t="str">
        <f aca="false">IF($A48="","",IF(ISNUMBER('Raw data'!Y48),'Raw data'!Y48,""))</f>
        <v/>
      </c>
      <c r="Q48" s="42" t="str">
        <f aca="false">IF($A48="","",IF(ISNUMBER('Raw data'!Z48),'Raw data'!Z48,""))</f>
        <v/>
      </c>
      <c r="R48" s="42" t="str">
        <f aca="false">IF($A48="","",IF(ISNUMBER('Raw data'!J48),'Raw data'!J48*100,""))</f>
        <v/>
      </c>
      <c r="S48" s="41" t="str">
        <f aca="false">IF($A48="","",IF(ISNUMBER('Raw data'!K48),'Raw data'!K48*100,""))</f>
        <v/>
      </c>
      <c r="T48" s="41" t="str">
        <f aca="false">IF($A48="","",IF(ISNUMBER('Raw data'!L48),'Raw data'!L48*100,""))</f>
        <v/>
      </c>
      <c r="U48" s="41" t="str">
        <f aca="false">IF($A48="","",IF(ISNUMBER('Raw data'!M48),'Raw data'!M48*100,""))</f>
        <v/>
      </c>
      <c r="V48" s="41" t="str">
        <f aca="false">IF($A48="","",IF(ISNUMBER('Raw data'!N48),'Raw data'!N48*100,""))</f>
        <v/>
      </c>
      <c r="W48" s="41" t="str">
        <f aca="false">IF($A48="","",IF(ISNUMBER('Raw data'!O48),'Raw data'!O48*100,""))</f>
        <v/>
      </c>
      <c r="X48" s="41" t="str">
        <f aca="false">IF($A48="","",IF(ISNUMBER('Raw data'!P48),'Raw data'!P48*100,""))</f>
        <v/>
      </c>
      <c r="Y48" s="43" t="str">
        <f aca="false">IF($A48="","",IF(AND(ISNUMBER('Raw data'!J48),ISNUMBER('Raw data'!H48),ISNUMBER('Raw data'!L48),ISNUMBER('Raw data'!O48)),ROUND(('Raw data'!J48*'Raw data'!L48+(1-'Raw data'!J48)*'Raw data'!O48-'Raw data'!H48)*100,1),""))</f>
        <v/>
      </c>
    </row>
    <row r="49" customFormat="false" ht="15" hidden="false" customHeight="false" outlineLevel="0" collapsed="false">
      <c r="A49" s="36" t="str">
        <f aca="false">IF(TRIM('Raw data'!A49)="","",TRIM('Raw data'!A49))</f>
        <v/>
      </c>
      <c r="B49" s="36" t="str">
        <f aca="false">IF($A49="","",IF('Raw data'!B49="",UPPER(LEFT($A49,3)),'Raw data'!B49))</f>
        <v/>
      </c>
      <c r="C49" s="36" t="str">
        <f aca="false">IF($A49="","",'Raw data'!C49)</f>
        <v/>
      </c>
      <c r="D49" s="37" t="str">
        <f aca="false">IF(OR($A49="",'Raw data'!E49=""),"",'Raw data'!E49)</f>
        <v/>
      </c>
      <c r="E49" s="37" t="str">
        <f aca="false">IF(OR($A49="",'Raw data'!Q49=""),"",'Raw data'!Q49)</f>
        <v/>
      </c>
      <c r="F49" s="41" t="str">
        <f aca="false">IF($A49="","",IF(ISNUMBER('Raw data'!G49),'Raw data'!G49*100,""))</f>
        <v/>
      </c>
      <c r="G49" s="41" t="str">
        <f aca="false">IF($A49="","",IF(ISNUMBER('Raw data'!H49),'Raw data'!H49*100,""))</f>
        <v/>
      </c>
      <c r="H49" s="41" t="str">
        <f aca="false">IF($A49="","",IF(ISNUMBER('Raw data'!I49),'Raw data'!I49*100,""))</f>
        <v/>
      </c>
      <c r="I49" s="41" t="str">
        <f aca="false">IF($A49="","",IF(ISNUMBER('Raw data'!R49),'Raw data'!R49*100,""))</f>
        <v/>
      </c>
      <c r="J49" s="41" t="str">
        <f aca="false">IF($A49="","",IF(ISNUMBER('Raw data'!S49),'Raw data'!S49*100,""))</f>
        <v/>
      </c>
      <c r="K49" s="41" t="str">
        <f aca="false">IF($A49="","",IF(ISNUMBER('Raw data'!T49),'Raw data'!T49*100,""))</f>
        <v/>
      </c>
      <c r="L49" s="41" t="str">
        <f aca="false">IF($A49="","",IF('Raw data'!V49&lt;&gt;"",'Raw data'!V49*100,IF(AND(N('Raw data'!E49)&gt;0,'Raw data'!Q49&lt;&gt;""),'Raw data'!Q49*(1+N('Raw data'!S49))/('Raw data'!E49*(1+N('Raw data'!H49)))*100,"")))</f>
        <v/>
      </c>
      <c r="M49" s="41" t="str">
        <f aca="false">IF($A49="","",IF('Raw data'!U49&lt;&gt;"",'Raw data'!U49*100,IF(AND(N('Raw data'!E49)&gt;0,'Raw data'!Q49&lt;&gt;""),'Raw data'!Q49/'Raw data'!E49*100,"")))</f>
        <v/>
      </c>
      <c r="N49" s="42" t="str">
        <f aca="false">IF($A49="","",IF(ISNUMBER('Raw data'!W49),'Raw data'!W49,""))</f>
        <v/>
      </c>
      <c r="O49" s="42" t="str">
        <f aca="false">IF($A49="","",IF(ISNUMBER('Raw data'!X49),'Raw data'!X49,""))</f>
        <v/>
      </c>
      <c r="P49" s="42" t="str">
        <f aca="false">IF($A49="","",IF(ISNUMBER('Raw data'!Y49),'Raw data'!Y49,""))</f>
        <v/>
      </c>
      <c r="Q49" s="42" t="str">
        <f aca="false">IF($A49="","",IF(ISNUMBER('Raw data'!Z49),'Raw data'!Z49,""))</f>
        <v/>
      </c>
      <c r="R49" s="42" t="str">
        <f aca="false">IF($A49="","",IF(ISNUMBER('Raw data'!J49),'Raw data'!J49*100,""))</f>
        <v/>
      </c>
      <c r="S49" s="41" t="str">
        <f aca="false">IF($A49="","",IF(ISNUMBER('Raw data'!K49),'Raw data'!K49*100,""))</f>
        <v/>
      </c>
      <c r="T49" s="41" t="str">
        <f aca="false">IF($A49="","",IF(ISNUMBER('Raw data'!L49),'Raw data'!L49*100,""))</f>
        <v/>
      </c>
      <c r="U49" s="41" t="str">
        <f aca="false">IF($A49="","",IF(ISNUMBER('Raw data'!M49),'Raw data'!M49*100,""))</f>
        <v/>
      </c>
      <c r="V49" s="41" t="str">
        <f aca="false">IF($A49="","",IF(ISNUMBER('Raw data'!N49),'Raw data'!N49*100,""))</f>
        <v/>
      </c>
      <c r="W49" s="41" t="str">
        <f aca="false">IF($A49="","",IF(ISNUMBER('Raw data'!O49),'Raw data'!O49*100,""))</f>
        <v/>
      </c>
      <c r="X49" s="41" t="str">
        <f aca="false">IF($A49="","",IF(ISNUMBER('Raw data'!P49),'Raw data'!P49*100,""))</f>
        <v/>
      </c>
      <c r="Y49" s="43" t="str">
        <f aca="false">IF($A49="","",IF(AND(ISNUMBER('Raw data'!J49),ISNUMBER('Raw data'!H49),ISNUMBER('Raw data'!L49),ISNUMBER('Raw data'!O49)),ROUND(('Raw data'!J49*'Raw data'!L49+(1-'Raw data'!J49)*'Raw data'!O49-'Raw data'!H49)*100,1),""))</f>
        <v/>
      </c>
    </row>
    <row r="50" customFormat="false" ht="15" hidden="false" customHeight="false" outlineLevel="0" collapsed="false">
      <c r="A50" s="36" t="str">
        <f aca="false">IF(TRIM('Raw data'!A50)="","",TRIM('Raw data'!A50))</f>
        <v/>
      </c>
      <c r="B50" s="36" t="str">
        <f aca="false">IF($A50="","",IF('Raw data'!B50="",UPPER(LEFT($A50,3)),'Raw data'!B50))</f>
        <v/>
      </c>
      <c r="C50" s="36" t="str">
        <f aca="false">IF($A50="","",'Raw data'!C50)</f>
        <v/>
      </c>
      <c r="D50" s="37" t="str">
        <f aca="false">IF(OR($A50="",'Raw data'!E50=""),"",'Raw data'!E50)</f>
        <v/>
      </c>
      <c r="E50" s="37" t="str">
        <f aca="false">IF(OR($A50="",'Raw data'!Q50=""),"",'Raw data'!Q50)</f>
        <v/>
      </c>
      <c r="F50" s="41" t="str">
        <f aca="false">IF($A50="","",IF(ISNUMBER('Raw data'!G50),'Raw data'!G50*100,""))</f>
        <v/>
      </c>
      <c r="G50" s="41" t="str">
        <f aca="false">IF($A50="","",IF(ISNUMBER('Raw data'!H50),'Raw data'!H50*100,""))</f>
        <v/>
      </c>
      <c r="H50" s="41" t="str">
        <f aca="false">IF($A50="","",IF(ISNUMBER('Raw data'!I50),'Raw data'!I50*100,""))</f>
        <v/>
      </c>
      <c r="I50" s="41" t="str">
        <f aca="false">IF($A50="","",IF(ISNUMBER('Raw data'!R50),'Raw data'!R50*100,""))</f>
        <v/>
      </c>
      <c r="J50" s="41" t="str">
        <f aca="false">IF($A50="","",IF(ISNUMBER('Raw data'!S50),'Raw data'!S50*100,""))</f>
        <v/>
      </c>
      <c r="K50" s="41" t="str">
        <f aca="false">IF($A50="","",IF(ISNUMBER('Raw data'!T50),'Raw data'!T50*100,""))</f>
        <v/>
      </c>
      <c r="L50" s="41" t="str">
        <f aca="false">IF($A50="","",IF('Raw data'!V50&lt;&gt;"",'Raw data'!V50*100,IF(AND(N('Raw data'!E50)&gt;0,'Raw data'!Q50&lt;&gt;""),'Raw data'!Q50*(1+N('Raw data'!S50))/('Raw data'!E50*(1+N('Raw data'!H50)))*100,"")))</f>
        <v/>
      </c>
      <c r="M50" s="41" t="str">
        <f aca="false">IF($A50="","",IF('Raw data'!U50&lt;&gt;"",'Raw data'!U50*100,IF(AND(N('Raw data'!E50)&gt;0,'Raw data'!Q50&lt;&gt;""),'Raw data'!Q50/'Raw data'!E50*100,"")))</f>
        <v/>
      </c>
      <c r="N50" s="42" t="str">
        <f aca="false">IF($A50="","",IF(ISNUMBER('Raw data'!W50),'Raw data'!W50,""))</f>
        <v/>
      </c>
      <c r="O50" s="42" t="str">
        <f aca="false">IF($A50="","",IF(ISNUMBER('Raw data'!X50),'Raw data'!X50,""))</f>
        <v/>
      </c>
      <c r="P50" s="42" t="str">
        <f aca="false">IF($A50="","",IF(ISNUMBER('Raw data'!Y50),'Raw data'!Y50,""))</f>
        <v/>
      </c>
      <c r="Q50" s="42" t="str">
        <f aca="false">IF($A50="","",IF(ISNUMBER('Raw data'!Z50),'Raw data'!Z50,""))</f>
        <v/>
      </c>
      <c r="R50" s="42" t="str">
        <f aca="false">IF($A50="","",IF(ISNUMBER('Raw data'!J50),'Raw data'!J50*100,""))</f>
        <v/>
      </c>
      <c r="S50" s="41" t="str">
        <f aca="false">IF($A50="","",IF(ISNUMBER('Raw data'!K50),'Raw data'!K50*100,""))</f>
        <v/>
      </c>
      <c r="T50" s="41" t="str">
        <f aca="false">IF($A50="","",IF(ISNUMBER('Raw data'!L50),'Raw data'!L50*100,""))</f>
        <v/>
      </c>
      <c r="U50" s="41" t="str">
        <f aca="false">IF($A50="","",IF(ISNUMBER('Raw data'!M50),'Raw data'!M50*100,""))</f>
        <v/>
      </c>
      <c r="V50" s="41" t="str">
        <f aca="false">IF($A50="","",IF(ISNUMBER('Raw data'!N50),'Raw data'!N50*100,""))</f>
        <v/>
      </c>
      <c r="W50" s="41" t="str">
        <f aca="false">IF($A50="","",IF(ISNUMBER('Raw data'!O50),'Raw data'!O50*100,""))</f>
        <v/>
      </c>
      <c r="X50" s="41" t="str">
        <f aca="false">IF($A50="","",IF(ISNUMBER('Raw data'!P50),'Raw data'!P50*100,""))</f>
        <v/>
      </c>
      <c r="Y50" s="43" t="str">
        <f aca="false">IF($A50="","",IF(AND(ISNUMBER('Raw data'!J50),ISNUMBER('Raw data'!H50),ISNUMBER('Raw data'!L50),ISNUMBER('Raw data'!O50)),ROUND(('Raw data'!J50*'Raw data'!L50+(1-'Raw data'!J50)*'Raw data'!O50-'Raw data'!H50)*100,1),""))</f>
        <v/>
      </c>
    </row>
    <row r="51" customFormat="false" ht="15" hidden="false" customHeight="false" outlineLevel="0" collapsed="false">
      <c r="A51" s="36" t="str">
        <f aca="false">IF(TRIM('Raw data'!A51)="","",TRIM('Raw data'!A51))</f>
        <v/>
      </c>
      <c r="B51" s="36" t="str">
        <f aca="false">IF($A51="","",IF('Raw data'!B51="",UPPER(LEFT($A51,3)),'Raw data'!B51))</f>
        <v/>
      </c>
      <c r="C51" s="36" t="str">
        <f aca="false">IF($A51="","",'Raw data'!C51)</f>
        <v/>
      </c>
      <c r="D51" s="37" t="str">
        <f aca="false">IF(OR($A51="",'Raw data'!E51=""),"",'Raw data'!E51)</f>
        <v/>
      </c>
      <c r="E51" s="37" t="str">
        <f aca="false">IF(OR($A51="",'Raw data'!Q51=""),"",'Raw data'!Q51)</f>
        <v/>
      </c>
      <c r="F51" s="41" t="str">
        <f aca="false">IF($A51="","",IF(ISNUMBER('Raw data'!G51),'Raw data'!G51*100,""))</f>
        <v/>
      </c>
      <c r="G51" s="41" t="str">
        <f aca="false">IF($A51="","",IF(ISNUMBER('Raw data'!H51),'Raw data'!H51*100,""))</f>
        <v/>
      </c>
      <c r="H51" s="41" t="str">
        <f aca="false">IF($A51="","",IF(ISNUMBER('Raw data'!I51),'Raw data'!I51*100,""))</f>
        <v/>
      </c>
      <c r="I51" s="41" t="str">
        <f aca="false">IF($A51="","",IF(ISNUMBER('Raw data'!R51),'Raw data'!R51*100,""))</f>
        <v/>
      </c>
      <c r="J51" s="41" t="str">
        <f aca="false">IF($A51="","",IF(ISNUMBER('Raw data'!S51),'Raw data'!S51*100,""))</f>
        <v/>
      </c>
      <c r="K51" s="41" t="str">
        <f aca="false">IF($A51="","",IF(ISNUMBER('Raw data'!T51),'Raw data'!T51*100,""))</f>
        <v/>
      </c>
      <c r="L51" s="41" t="str">
        <f aca="false">IF($A51="","",IF('Raw data'!V51&lt;&gt;"",'Raw data'!V51*100,IF(AND(N('Raw data'!E51)&gt;0,'Raw data'!Q51&lt;&gt;""),'Raw data'!Q51*(1+N('Raw data'!S51))/('Raw data'!E51*(1+N('Raw data'!H51)))*100,"")))</f>
        <v/>
      </c>
      <c r="M51" s="41" t="str">
        <f aca="false">IF($A51="","",IF('Raw data'!U51&lt;&gt;"",'Raw data'!U51*100,IF(AND(N('Raw data'!E51)&gt;0,'Raw data'!Q51&lt;&gt;""),'Raw data'!Q51/'Raw data'!E51*100,"")))</f>
        <v/>
      </c>
      <c r="N51" s="42" t="str">
        <f aca="false">IF($A51="","",IF(ISNUMBER('Raw data'!W51),'Raw data'!W51,""))</f>
        <v/>
      </c>
      <c r="O51" s="42" t="str">
        <f aca="false">IF($A51="","",IF(ISNUMBER('Raw data'!X51),'Raw data'!X51,""))</f>
        <v/>
      </c>
      <c r="P51" s="42" t="str">
        <f aca="false">IF($A51="","",IF(ISNUMBER('Raw data'!Y51),'Raw data'!Y51,""))</f>
        <v/>
      </c>
      <c r="Q51" s="42" t="str">
        <f aca="false">IF($A51="","",IF(ISNUMBER('Raw data'!Z51),'Raw data'!Z51,""))</f>
        <v/>
      </c>
      <c r="R51" s="42" t="str">
        <f aca="false">IF($A51="","",IF(ISNUMBER('Raw data'!J51),'Raw data'!J51*100,""))</f>
        <v/>
      </c>
      <c r="S51" s="41" t="str">
        <f aca="false">IF($A51="","",IF(ISNUMBER('Raw data'!K51),'Raw data'!K51*100,""))</f>
        <v/>
      </c>
      <c r="T51" s="41" t="str">
        <f aca="false">IF($A51="","",IF(ISNUMBER('Raw data'!L51),'Raw data'!L51*100,""))</f>
        <v/>
      </c>
      <c r="U51" s="41" t="str">
        <f aca="false">IF($A51="","",IF(ISNUMBER('Raw data'!M51),'Raw data'!M51*100,""))</f>
        <v/>
      </c>
      <c r="V51" s="41" t="str">
        <f aca="false">IF($A51="","",IF(ISNUMBER('Raw data'!N51),'Raw data'!N51*100,""))</f>
        <v/>
      </c>
      <c r="W51" s="41" t="str">
        <f aca="false">IF($A51="","",IF(ISNUMBER('Raw data'!O51),'Raw data'!O51*100,""))</f>
        <v/>
      </c>
      <c r="X51" s="41" t="str">
        <f aca="false">IF($A51="","",IF(ISNUMBER('Raw data'!P51),'Raw data'!P51*100,""))</f>
        <v/>
      </c>
      <c r="Y51" s="43" t="str">
        <f aca="false">IF($A51="","",IF(AND(ISNUMBER('Raw data'!J51),ISNUMBER('Raw data'!H51),ISNUMBER('Raw data'!L51),ISNUMBER('Raw data'!O51)),ROUND(('Raw data'!J51*'Raw data'!L51+(1-'Raw data'!J51)*'Raw data'!O51-'Raw data'!H51)*100,1),""))</f>
        <v/>
      </c>
    </row>
    <row r="52" customFormat="false" ht="15" hidden="false" customHeight="false" outlineLevel="0" collapsed="false">
      <c r="A52" s="36" t="str">
        <f aca="false">IF(TRIM('Raw data'!A52)="","",TRIM('Raw data'!A52))</f>
        <v/>
      </c>
      <c r="B52" s="36" t="str">
        <f aca="false">IF($A52="","",IF('Raw data'!B52="",UPPER(LEFT($A52,3)),'Raw data'!B52))</f>
        <v/>
      </c>
      <c r="C52" s="36" t="str">
        <f aca="false">IF($A52="","",'Raw data'!C52)</f>
        <v/>
      </c>
      <c r="D52" s="37" t="str">
        <f aca="false">IF(OR($A52="",'Raw data'!E52=""),"",'Raw data'!E52)</f>
        <v/>
      </c>
      <c r="E52" s="37" t="str">
        <f aca="false">IF(OR($A52="",'Raw data'!Q52=""),"",'Raw data'!Q52)</f>
        <v/>
      </c>
      <c r="F52" s="41" t="str">
        <f aca="false">IF($A52="","",IF(ISNUMBER('Raw data'!G52),'Raw data'!G52*100,""))</f>
        <v/>
      </c>
      <c r="G52" s="41" t="str">
        <f aca="false">IF($A52="","",IF(ISNUMBER('Raw data'!H52),'Raw data'!H52*100,""))</f>
        <v/>
      </c>
      <c r="H52" s="41" t="str">
        <f aca="false">IF($A52="","",IF(ISNUMBER('Raw data'!I52),'Raw data'!I52*100,""))</f>
        <v/>
      </c>
      <c r="I52" s="41" t="str">
        <f aca="false">IF($A52="","",IF(ISNUMBER('Raw data'!R52),'Raw data'!R52*100,""))</f>
        <v/>
      </c>
      <c r="J52" s="41" t="str">
        <f aca="false">IF($A52="","",IF(ISNUMBER('Raw data'!S52),'Raw data'!S52*100,""))</f>
        <v/>
      </c>
      <c r="K52" s="41" t="str">
        <f aca="false">IF($A52="","",IF(ISNUMBER('Raw data'!T52),'Raw data'!T52*100,""))</f>
        <v/>
      </c>
      <c r="L52" s="41" t="str">
        <f aca="false">IF($A52="","",IF('Raw data'!V52&lt;&gt;"",'Raw data'!V52*100,IF(AND(N('Raw data'!E52)&gt;0,'Raw data'!Q52&lt;&gt;""),'Raw data'!Q52*(1+N('Raw data'!S52))/('Raw data'!E52*(1+N('Raw data'!H52)))*100,"")))</f>
        <v/>
      </c>
      <c r="M52" s="41" t="str">
        <f aca="false">IF($A52="","",IF('Raw data'!U52&lt;&gt;"",'Raw data'!U52*100,IF(AND(N('Raw data'!E52)&gt;0,'Raw data'!Q52&lt;&gt;""),'Raw data'!Q52/'Raw data'!E52*100,"")))</f>
        <v/>
      </c>
      <c r="N52" s="42" t="str">
        <f aca="false">IF($A52="","",IF(ISNUMBER('Raw data'!W52),'Raw data'!W52,""))</f>
        <v/>
      </c>
      <c r="O52" s="42" t="str">
        <f aca="false">IF($A52="","",IF(ISNUMBER('Raw data'!X52),'Raw data'!X52,""))</f>
        <v/>
      </c>
      <c r="P52" s="42" t="str">
        <f aca="false">IF($A52="","",IF(ISNUMBER('Raw data'!Y52),'Raw data'!Y52,""))</f>
        <v/>
      </c>
      <c r="Q52" s="42" t="str">
        <f aca="false">IF($A52="","",IF(ISNUMBER('Raw data'!Z52),'Raw data'!Z52,""))</f>
        <v/>
      </c>
      <c r="R52" s="42" t="str">
        <f aca="false">IF($A52="","",IF(ISNUMBER('Raw data'!J52),'Raw data'!J52*100,""))</f>
        <v/>
      </c>
      <c r="S52" s="41" t="str">
        <f aca="false">IF($A52="","",IF(ISNUMBER('Raw data'!K52),'Raw data'!K52*100,""))</f>
        <v/>
      </c>
      <c r="T52" s="41" t="str">
        <f aca="false">IF($A52="","",IF(ISNUMBER('Raw data'!L52),'Raw data'!L52*100,""))</f>
        <v/>
      </c>
      <c r="U52" s="41" t="str">
        <f aca="false">IF($A52="","",IF(ISNUMBER('Raw data'!M52),'Raw data'!M52*100,""))</f>
        <v/>
      </c>
      <c r="V52" s="41" t="str">
        <f aca="false">IF($A52="","",IF(ISNUMBER('Raw data'!N52),'Raw data'!N52*100,""))</f>
        <v/>
      </c>
      <c r="W52" s="41" t="str">
        <f aca="false">IF($A52="","",IF(ISNUMBER('Raw data'!O52),'Raw data'!O52*100,""))</f>
        <v/>
      </c>
      <c r="X52" s="41" t="str">
        <f aca="false">IF($A52="","",IF(ISNUMBER('Raw data'!P52),'Raw data'!P52*100,""))</f>
        <v/>
      </c>
      <c r="Y52" s="43" t="str">
        <f aca="false">IF($A52="","",IF(AND(ISNUMBER('Raw data'!J52),ISNUMBER('Raw data'!H52),ISNUMBER('Raw data'!L52),ISNUMBER('Raw data'!O52)),ROUND(('Raw data'!J52*'Raw data'!L52+(1-'Raw data'!J52)*'Raw data'!O52-'Raw data'!H52)*100,1),""))</f>
        <v/>
      </c>
    </row>
    <row r="53" customFormat="false" ht="15" hidden="false" customHeight="false" outlineLevel="0" collapsed="false">
      <c r="A53" s="36" t="str">
        <f aca="false">IF(TRIM('Raw data'!A53)="","",TRIM('Raw data'!A53))</f>
        <v/>
      </c>
      <c r="B53" s="36" t="str">
        <f aca="false">IF($A53="","",IF('Raw data'!B53="",UPPER(LEFT($A53,3)),'Raw data'!B53))</f>
        <v/>
      </c>
      <c r="C53" s="36" t="str">
        <f aca="false">IF($A53="","",'Raw data'!C53)</f>
        <v/>
      </c>
      <c r="D53" s="37" t="str">
        <f aca="false">IF(OR($A53="",'Raw data'!E53=""),"",'Raw data'!E53)</f>
        <v/>
      </c>
      <c r="E53" s="37" t="str">
        <f aca="false">IF(OR($A53="",'Raw data'!Q53=""),"",'Raw data'!Q53)</f>
        <v/>
      </c>
      <c r="F53" s="41" t="str">
        <f aca="false">IF($A53="","",IF(ISNUMBER('Raw data'!G53),'Raw data'!G53*100,""))</f>
        <v/>
      </c>
      <c r="G53" s="41" t="str">
        <f aca="false">IF($A53="","",IF(ISNUMBER('Raw data'!H53),'Raw data'!H53*100,""))</f>
        <v/>
      </c>
      <c r="H53" s="41" t="str">
        <f aca="false">IF($A53="","",IF(ISNUMBER('Raw data'!I53),'Raw data'!I53*100,""))</f>
        <v/>
      </c>
      <c r="I53" s="41" t="str">
        <f aca="false">IF($A53="","",IF(ISNUMBER('Raw data'!R53),'Raw data'!R53*100,""))</f>
        <v/>
      </c>
      <c r="J53" s="41" t="str">
        <f aca="false">IF($A53="","",IF(ISNUMBER('Raw data'!S53),'Raw data'!S53*100,""))</f>
        <v/>
      </c>
      <c r="K53" s="41" t="str">
        <f aca="false">IF($A53="","",IF(ISNUMBER('Raw data'!T53),'Raw data'!T53*100,""))</f>
        <v/>
      </c>
      <c r="L53" s="41" t="str">
        <f aca="false">IF($A53="","",IF('Raw data'!V53&lt;&gt;"",'Raw data'!V53*100,IF(AND(N('Raw data'!E53)&gt;0,'Raw data'!Q53&lt;&gt;""),'Raw data'!Q53*(1+N('Raw data'!S53))/('Raw data'!E53*(1+N('Raw data'!H53)))*100,"")))</f>
        <v/>
      </c>
      <c r="M53" s="41" t="str">
        <f aca="false">IF($A53="","",IF('Raw data'!U53&lt;&gt;"",'Raw data'!U53*100,IF(AND(N('Raw data'!E53)&gt;0,'Raw data'!Q53&lt;&gt;""),'Raw data'!Q53/'Raw data'!E53*100,"")))</f>
        <v/>
      </c>
      <c r="N53" s="42" t="str">
        <f aca="false">IF($A53="","",IF(ISNUMBER('Raw data'!W53),'Raw data'!W53,""))</f>
        <v/>
      </c>
      <c r="O53" s="42" t="str">
        <f aca="false">IF($A53="","",IF(ISNUMBER('Raw data'!X53),'Raw data'!X53,""))</f>
        <v/>
      </c>
      <c r="P53" s="42" t="str">
        <f aca="false">IF($A53="","",IF(ISNUMBER('Raw data'!Y53),'Raw data'!Y53,""))</f>
        <v/>
      </c>
      <c r="Q53" s="42" t="str">
        <f aca="false">IF($A53="","",IF(ISNUMBER('Raw data'!Z53),'Raw data'!Z53,""))</f>
        <v/>
      </c>
      <c r="R53" s="42" t="str">
        <f aca="false">IF($A53="","",IF(ISNUMBER('Raw data'!J53),'Raw data'!J53*100,""))</f>
        <v/>
      </c>
      <c r="S53" s="41" t="str">
        <f aca="false">IF($A53="","",IF(ISNUMBER('Raw data'!K53),'Raw data'!K53*100,""))</f>
        <v/>
      </c>
      <c r="T53" s="41" t="str">
        <f aca="false">IF($A53="","",IF(ISNUMBER('Raw data'!L53),'Raw data'!L53*100,""))</f>
        <v/>
      </c>
      <c r="U53" s="41" t="str">
        <f aca="false">IF($A53="","",IF(ISNUMBER('Raw data'!M53),'Raw data'!M53*100,""))</f>
        <v/>
      </c>
      <c r="V53" s="41" t="str">
        <f aca="false">IF($A53="","",IF(ISNUMBER('Raw data'!N53),'Raw data'!N53*100,""))</f>
        <v/>
      </c>
      <c r="W53" s="41" t="str">
        <f aca="false">IF($A53="","",IF(ISNUMBER('Raw data'!O53),'Raw data'!O53*100,""))</f>
        <v/>
      </c>
      <c r="X53" s="41" t="str">
        <f aca="false">IF($A53="","",IF(ISNUMBER('Raw data'!P53),'Raw data'!P53*100,""))</f>
        <v/>
      </c>
      <c r="Y53" s="43" t="str">
        <f aca="false">IF($A53="","",IF(AND(ISNUMBER('Raw data'!J53),ISNUMBER('Raw data'!H53),ISNUMBER('Raw data'!L53),ISNUMBER('Raw data'!O53)),ROUND(('Raw data'!J53*'Raw data'!L53+(1-'Raw data'!J53)*'Raw data'!O53-'Raw data'!H53)*100,1),""))</f>
        <v/>
      </c>
    </row>
    <row r="54" customFormat="false" ht="15" hidden="false" customHeight="false" outlineLevel="0" collapsed="false">
      <c r="A54" s="36" t="str">
        <f aca="false">IF(TRIM('Raw data'!A54)="","",TRIM('Raw data'!A54))</f>
        <v/>
      </c>
      <c r="B54" s="36" t="str">
        <f aca="false">IF($A54="","",IF('Raw data'!B54="",UPPER(LEFT($A54,3)),'Raw data'!B54))</f>
        <v/>
      </c>
      <c r="C54" s="36" t="str">
        <f aca="false">IF($A54="","",'Raw data'!C54)</f>
        <v/>
      </c>
      <c r="D54" s="37" t="str">
        <f aca="false">IF(OR($A54="",'Raw data'!E54=""),"",'Raw data'!E54)</f>
        <v/>
      </c>
      <c r="E54" s="37" t="str">
        <f aca="false">IF(OR($A54="",'Raw data'!Q54=""),"",'Raw data'!Q54)</f>
        <v/>
      </c>
      <c r="F54" s="41" t="str">
        <f aca="false">IF($A54="","",IF(ISNUMBER('Raw data'!G54),'Raw data'!G54*100,""))</f>
        <v/>
      </c>
      <c r="G54" s="41" t="str">
        <f aca="false">IF($A54="","",IF(ISNUMBER('Raw data'!H54),'Raw data'!H54*100,""))</f>
        <v/>
      </c>
      <c r="H54" s="41" t="str">
        <f aca="false">IF($A54="","",IF(ISNUMBER('Raw data'!I54),'Raw data'!I54*100,""))</f>
        <v/>
      </c>
      <c r="I54" s="41" t="str">
        <f aca="false">IF($A54="","",IF(ISNUMBER('Raw data'!R54),'Raw data'!R54*100,""))</f>
        <v/>
      </c>
      <c r="J54" s="41" t="str">
        <f aca="false">IF($A54="","",IF(ISNUMBER('Raw data'!S54),'Raw data'!S54*100,""))</f>
        <v/>
      </c>
      <c r="K54" s="41" t="str">
        <f aca="false">IF($A54="","",IF(ISNUMBER('Raw data'!T54),'Raw data'!T54*100,""))</f>
        <v/>
      </c>
      <c r="L54" s="41" t="str">
        <f aca="false">IF($A54="","",IF('Raw data'!V54&lt;&gt;"",'Raw data'!V54*100,IF(AND(N('Raw data'!E54)&gt;0,'Raw data'!Q54&lt;&gt;""),'Raw data'!Q54*(1+N('Raw data'!S54))/('Raw data'!E54*(1+N('Raw data'!H54)))*100,"")))</f>
        <v/>
      </c>
      <c r="M54" s="41" t="str">
        <f aca="false">IF($A54="","",IF('Raw data'!U54&lt;&gt;"",'Raw data'!U54*100,IF(AND(N('Raw data'!E54)&gt;0,'Raw data'!Q54&lt;&gt;""),'Raw data'!Q54/'Raw data'!E54*100,"")))</f>
        <v/>
      </c>
      <c r="N54" s="42" t="str">
        <f aca="false">IF($A54="","",IF(ISNUMBER('Raw data'!W54),'Raw data'!W54,""))</f>
        <v/>
      </c>
      <c r="O54" s="42" t="str">
        <f aca="false">IF($A54="","",IF(ISNUMBER('Raw data'!X54),'Raw data'!X54,""))</f>
        <v/>
      </c>
      <c r="P54" s="42" t="str">
        <f aca="false">IF($A54="","",IF(ISNUMBER('Raw data'!Y54),'Raw data'!Y54,""))</f>
        <v/>
      </c>
      <c r="Q54" s="42" t="str">
        <f aca="false">IF($A54="","",IF(ISNUMBER('Raw data'!Z54),'Raw data'!Z54,""))</f>
        <v/>
      </c>
      <c r="R54" s="42" t="str">
        <f aca="false">IF($A54="","",IF(ISNUMBER('Raw data'!J54),'Raw data'!J54*100,""))</f>
        <v/>
      </c>
      <c r="S54" s="41" t="str">
        <f aca="false">IF($A54="","",IF(ISNUMBER('Raw data'!K54),'Raw data'!K54*100,""))</f>
        <v/>
      </c>
      <c r="T54" s="41" t="str">
        <f aca="false">IF($A54="","",IF(ISNUMBER('Raw data'!L54),'Raw data'!L54*100,""))</f>
        <v/>
      </c>
      <c r="U54" s="41" t="str">
        <f aca="false">IF($A54="","",IF(ISNUMBER('Raw data'!M54),'Raw data'!M54*100,""))</f>
        <v/>
      </c>
      <c r="V54" s="41" t="str">
        <f aca="false">IF($A54="","",IF(ISNUMBER('Raw data'!N54),'Raw data'!N54*100,""))</f>
        <v/>
      </c>
      <c r="W54" s="41" t="str">
        <f aca="false">IF($A54="","",IF(ISNUMBER('Raw data'!O54),'Raw data'!O54*100,""))</f>
        <v/>
      </c>
      <c r="X54" s="41" t="str">
        <f aca="false">IF($A54="","",IF(ISNUMBER('Raw data'!P54),'Raw data'!P54*100,""))</f>
        <v/>
      </c>
      <c r="Y54" s="43" t="str">
        <f aca="false">IF($A54="","",IF(AND(ISNUMBER('Raw data'!J54),ISNUMBER('Raw data'!H54),ISNUMBER('Raw data'!L54),ISNUMBER('Raw data'!O54)),ROUND(('Raw data'!J54*'Raw data'!L54+(1-'Raw data'!J54)*'Raw data'!O54-'Raw data'!H54)*100,1),""))</f>
        <v/>
      </c>
    </row>
    <row r="55" customFormat="false" ht="15" hidden="false" customHeight="false" outlineLevel="0" collapsed="false">
      <c r="A55" s="36" t="str">
        <f aca="false">IF(TRIM('Raw data'!A55)="","",TRIM('Raw data'!A55))</f>
        <v/>
      </c>
      <c r="B55" s="36" t="str">
        <f aca="false">IF($A55="","",IF('Raw data'!B55="",UPPER(LEFT($A55,3)),'Raw data'!B55))</f>
        <v/>
      </c>
      <c r="C55" s="36" t="str">
        <f aca="false">IF($A55="","",'Raw data'!C55)</f>
        <v/>
      </c>
      <c r="D55" s="37" t="str">
        <f aca="false">IF(OR($A55="",'Raw data'!E55=""),"",'Raw data'!E55)</f>
        <v/>
      </c>
      <c r="E55" s="37" t="str">
        <f aca="false">IF(OR($A55="",'Raw data'!Q55=""),"",'Raw data'!Q55)</f>
        <v/>
      </c>
      <c r="F55" s="41" t="str">
        <f aca="false">IF($A55="","",IF(ISNUMBER('Raw data'!G55),'Raw data'!G55*100,""))</f>
        <v/>
      </c>
      <c r="G55" s="41" t="str">
        <f aca="false">IF($A55="","",IF(ISNUMBER('Raw data'!H55),'Raw data'!H55*100,""))</f>
        <v/>
      </c>
      <c r="H55" s="41" t="str">
        <f aca="false">IF($A55="","",IF(ISNUMBER('Raw data'!I55),'Raw data'!I55*100,""))</f>
        <v/>
      </c>
      <c r="I55" s="41" t="str">
        <f aca="false">IF($A55="","",IF(ISNUMBER('Raw data'!R55),'Raw data'!R55*100,""))</f>
        <v/>
      </c>
      <c r="J55" s="41" t="str">
        <f aca="false">IF($A55="","",IF(ISNUMBER('Raw data'!S55),'Raw data'!S55*100,""))</f>
        <v/>
      </c>
      <c r="K55" s="41" t="str">
        <f aca="false">IF($A55="","",IF(ISNUMBER('Raw data'!T55),'Raw data'!T55*100,""))</f>
        <v/>
      </c>
      <c r="L55" s="41" t="str">
        <f aca="false">IF($A55="","",IF('Raw data'!V55&lt;&gt;"",'Raw data'!V55*100,IF(AND(N('Raw data'!E55)&gt;0,'Raw data'!Q55&lt;&gt;""),'Raw data'!Q55*(1+N('Raw data'!S55))/('Raw data'!E55*(1+N('Raw data'!H55)))*100,"")))</f>
        <v/>
      </c>
      <c r="M55" s="41" t="str">
        <f aca="false">IF($A55="","",IF('Raw data'!U55&lt;&gt;"",'Raw data'!U55*100,IF(AND(N('Raw data'!E55)&gt;0,'Raw data'!Q55&lt;&gt;""),'Raw data'!Q55/'Raw data'!E55*100,"")))</f>
        <v/>
      </c>
      <c r="N55" s="42" t="str">
        <f aca="false">IF($A55="","",IF(ISNUMBER('Raw data'!W55),'Raw data'!W55,""))</f>
        <v/>
      </c>
      <c r="O55" s="42" t="str">
        <f aca="false">IF($A55="","",IF(ISNUMBER('Raw data'!X55),'Raw data'!X55,""))</f>
        <v/>
      </c>
      <c r="P55" s="42" t="str">
        <f aca="false">IF($A55="","",IF(ISNUMBER('Raw data'!Y55),'Raw data'!Y55,""))</f>
        <v/>
      </c>
      <c r="Q55" s="42" t="str">
        <f aca="false">IF($A55="","",IF(ISNUMBER('Raw data'!Z55),'Raw data'!Z55,""))</f>
        <v/>
      </c>
      <c r="R55" s="42" t="str">
        <f aca="false">IF($A55="","",IF(ISNUMBER('Raw data'!J55),'Raw data'!J55*100,""))</f>
        <v/>
      </c>
      <c r="S55" s="41" t="str">
        <f aca="false">IF($A55="","",IF(ISNUMBER('Raw data'!K55),'Raw data'!K55*100,""))</f>
        <v/>
      </c>
      <c r="T55" s="41" t="str">
        <f aca="false">IF($A55="","",IF(ISNUMBER('Raw data'!L55),'Raw data'!L55*100,""))</f>
        <v/>
      </c>
      <c r="U55" s="41" t="str">
        <f aca="false">IF($A55="","",IF(ISNUMBER('Raw data'!M55),'Raw data'!M55*100,""))</f>
        <v/>
      </c>
      <c r="V55" s="41" t="str">
        <f aca="false">IF($A55="","",IF(ISNUMBER('Raw data'!N55),'Raw data'!N55*100,""))</f>
        <v/>
      </c>
      <c r="W55" s="41" t="str">
        <f aca="false">IF($A55="","",IF(ISNUMBER('Raw data'!O55),'Raw data'!O55*100,""))</f>
        <v/>
      </c>
      <c r="X55" s="41" t="str">
        <f aca="false">IF($A55="","",IF(ISNUMBER('Raw data'!P55),'Raw data'!P55*100,""))</f>
        <v/>
      </c>
      <c r="Y55" s="43" t="str">
        <f aca="false">IF($A55="","",IF(AND(ISNUMBER('Raw data'!J55),ISNUMBER('Raw data'!H55),ISNUMBER('Raw data'!L55),ISNUMBER('Raw data'!O55)),ROUND(('Raw data'!J55*'Raw data'!L55+(1-'Raw data'!J55)*'Raw data'!O55-'Raw data'!H55)*100,1),""))</f>
        <v/>
      </c>
    </row>
    <row r="56" customFormat="false" ht="15" hidden="false" customHeight="false" outlineLevel="0" collapsed="false">
      <c r="A56" s="36" t="str">
        <f aca="false">IF(TRIM('Raw data'!A56)="","",TRIM('Raw data'!A56))</f>
        <v/>
      </c>
      <c r="B56" s="36" t="str">
        <f aca="false">IF($A56="","",IF('Raw data'!B56="",UPPER(LEFT($A56,3)),'Raw data'!B56))</f>
        <v/>
      </c>
      <c r="C56" s="36" t="str">
        <f aca="false">IF($A56="","",'Raw data'!C56)</f>
        <v/>
      </c>
      <c r="D56" s="37" t="str">
        <f aca="false">IF(OR($A56="",'Raw data'!E56=""),"",'Raw data'!E56)</f>
        <v/>
      </c>
      <c r="E56" s="37" t="str">
        <f aca="false">IF(OR($A56="",'Raw data'!Q56=""),"",'Raw data'!Q56)</f>
        <v/>
      </c>
      <c r="F56" s="41" t="str">
        <f aca="false">IF($A56="","",IF(ISNUMBER('Raw data'!G56),'Raw data'!G56*100,""))</f>
        <v/>
      </c>
      <c r="G56" s="41" t="str">
        <f aca="false">IF($A56="","",IF(ISNUMBER('Raw data'!H56),'Raw data'!H56*100,""))</f>
        <v/>
      </c>
      <c r="H56" s="41" t="str">
        <f aca="false">IF($A56="","",IF(ISNUMBER('Raw data'!I56),'Raw data'!I56*100,""))</f>
        <v/>
      </c>
      <c r="I56" s="41" t="str">
        <f aca="false">IF($A56="","",IF(ISNUMBER('Raw data'!R56),'Raw data'!R56*100,""))</f>
        <v/>
      </c>
      <c r="J56" s="41" t="str">
        <f aca="false">IF($A56="","",IF(ISNUMBER('Raw data'!S56),'Raw data'!S56*100,""))</f>
        <v/>
      </c>
      <c r="K56" s="41" t="str">
        <f aca="false">IF($A56="","",IF(ISNUMBER('Raw data'!T56),'Raw data'!T56*100,""))</f>
        <v/>
      </c>
      <c r="L56" s="41" t="str">
        <f aca="false">IF($A56="","",IF('Raw data'!V56&lt;&gt;"",'Raw data'!V56*100,IF(AND(N('Raw data'!E56)&gt;0,'Raw data'!Q56&lt;&gt;""),'Raw data'!Q56*(1+N('Raw data'!S56))/('Raw data'!E56*(1+N('Raw data'!H56)))*100,"")))</f>
        <v/>
      </c>
      <c r="M56" s="41" t="str">
        <f aca="false">IF($A56="","",IF('Raw data'!U56&lt;&gt;"",'Raw data'!U56*100,IF(AND(N('Raw data'!E56)&gt;0,'Raw data'!Q56&lt;&gt;""),'Raw data'!Q56/'Raw data'!E56*100,"")))</f>
        <v/>
      </c>
      <c r="N56" s="42" t="str">
        <f aca="false">IF($A56="","",IF(ISNUMBER('Raw data'!W56),'Raw data'!W56,""))</f>
        <v/>
      </c>
      <c r="O56" s="42" t="str">
        <f aca="false">IF($A56="","",IF(ISNUMBER('Raw data'!X56),'Raw data'!X56,""))</f>
        <v/>
      </c>
      <c r="P56" s="42" t="str">
        <f aca="false">IF($A56="","",IF(ISNUMBER('Raw data'!Y56),'Raw data'!Y56,""))</f>
        <v/>
      </c>
      <c r="Q56" s="42" t="str">
        <f aca="false">IF($A56="","",IF(ISNUMBER('Raw data'!Z56),'Raw data'!Z56,""))</f>
        <v/>
      </c>
      <c r="R56" s="42" t="str">
        <f aca="false">IF($A56="","",IF(ISNUMBER('Raw data'!J56),'Raw data'!J56*100,""))</f>
        <v/>
      </c>
      <c r="S56" s="41" t="str">
        <f aca="false">IF($A56="","",IF(ISNUMBER('Raw data'!K56),'Raw data'!K56*100,""))</f>
        <v/>
      </c>
      <c r="T56" s="41" t="str">
        <f aca="false">IF($A56="","",IF(ISNUMBER('Raw data'!L56),'Raw data'!L56*100,""))</f>
        <v/>
      </c>
      <c r="U56" s="41" t="str">
        <f aca="false">IF($A56="","",IF(ISNUMBER('Raw data'!M56),'Raw data'!M56*100,""))</f>
        <v/>
      </c>
      <c r="V56" s="41" t="str">
        <f aca="false">IF($A56="","",IF(ISNUMBER('Raw data'!N56),'Raw data'!N56*100,""))</f>
        <v/>
      </c>
      <c r="W56" s="41" t="str">
        <f aca="false">IF($A56="","",IF(ISNUMBER('Raw data'!O56),'Raw data'!O56*100,""))</f>
        <v/>
      </c>
      <c r="X56" s="41" t="str">
        <f aca="false">IF($A56="","",IF(ISNUMBER('Raw data'!P56),'Raw data'!P56*100,""))</f>
        <v/>
      </c>
      <c r="Y56" s="43" t="str">
        <f aca="false">IF($A56="","",IF(AND(ISNUMBER('Raw data'!J56),ISNUMBER('Raw data'!H56),ISNUMBER('Raw data'!L56),ISNUMBER('Raw data'!O56)),ROUND(('Raw data'!J56*'Raw data'!L56+(1-'Raw data'!J56)*'Raw data'!O56-'Raw data'!H56)*100,1),""))</f>
        <v/>
      </c>
    </row>
    <row r="57" customFormat="false" ht="15" hidden="false" customHeight="false" outlineLevel="0" collapsed="false">
      <c r="A57" s="36" t="str">
        <f aca="false">IF(TRIM('Raw data'!A57)="","",TRIM('Raw data'!A57))</f>
        <v/>
      </c>
      <c r="B57" s="36" t="str">
        <f aca="false">IF($A57="","",IF('Raw data'!B57="",UPPER(LEFT($A57,3)),'Raw data'!B57))</f>
        <v/>
      </c>
      <c r="C57" s="36" t="str">
        <f aca="false">IF($A57="","",'Raw data'!C57)</f>
        <v/>
      </c>
      <c r="D57" s="37" t="str">
        <f aca="false">IF(OR($A57="",'Raw data'!E57=""),"",'Raw data'!E57)</f>
        <v/>
      </c>
      <c r="E57" s="37" t="str">
        <f aca="false">IF(OR($A57="",'Raw data'!Q57=""),"",'Raw data'!Q57)</f>
        <v/>
      </c>
      <c r="F57" s="41" t="str">
        <f aca="false">IF($A57="","",IF(ISNUMBER('Raw data'!G57),'Raw data'!G57*100,""))</f>
        <v/>
      </c>
      <c r="G57" s="41" t="str">
        <f aca="false">IF($A57="","",IF(ISNUMBER('Raw data'!H57),'Raw data'!H57*100,""))</f>
        <v/>
      </c>
      <c r="H57" s="41" t="str">
        <f aca="false">IF($A57="","",IF(ISNUMBER('Raw data'!I57),'Raw data'!I57*100,""))</f>
        <v/>
      </c>
      <c r="I57" s="41" t="str">
        <f aca="false">IF($A57="","",IF(ISNUMBER('Raw data'!R57),'Raw data'!R57*100,""))</f>
        <v/>
      </c>
      <c r="J57" s="41" t="str">
        <f aca="false">IF($A57="","",IF(ISNUMBER('Raw data'!S57),'Raw data'!S57*100,""))</f>
        <v/>
      </c>
      <c r="K57" s="41" t="str">
        <f aca="false">IF($A57="","",IF(ISNUMBER('Raw data'!T57),'Raw data'!T57*100,""))</f>
        <v/>
      </c>
      <c r="L57" s="41" t="str">
        <f aca="false">IF($A57="","",IF('Raw data'!V57&lt;&gt;"",'Raw data'!V57*100,IF(AND(N('Raw data'!E57)&gt;0,'Raw data'!Q57&lt;&gt;""),'Raw data'!Q57*(1+N('Raw data'!S57))/('Raw data'!E57*(1+N('Raw data'!H57)))*100,"")))</f>
        <v/>
      </c>
      <c r="M57" s="41" t="str">
        <f aca="false">IF($A57="","",IF('Raw data'!U57&lt;&gt;"",'Raw data'!U57*100,IF(AND(N('Raw data'!E57)&gt;0,'Raw data'!Q57&lt;&gt;""),'Raw data'!Q57/'Raw data'!E57*100,"")))</f>
        <v/>
      </c>
      <c r="N57" s="42" t="str">
        <f aca="false">IF($A57="","",IF(ISNUMBER('Raw data'!W57),'Raw data'!W57,""))</f>
        <v/>
      </c>
      <c r="O57" s="42" t="str">
        <f aca="false">IF($A57="","",IF(ISNUMBER('Raw data'!X57),'Raw data'!X57,""))</f>
        <v/>
      </c>
      <c r="P57" s="42" t="str">
        <f aca="false">IF($A57="","",IF(ISNUMBER('Raw data'!Y57),'Raw data'!Y57,""))</f>
        <v/>
      </c>
      <c r="Q57" s="42" t="str">
        <f aca="false">IF($A57="","",IF(ISNUMBER('Raw data'!Z57),'Raw data'!Z57,""))</f>
        <v/>
      </c>
      <c r="R57" s="42" t="str">
        <f aca="false">IF($A57="","",IF(ISNUMBER('Raw data'!J57),'Raw data'!J57*100,""))</f>
        <v/>
      </c>
      <c r="S57" s="41" t="str">
        <f aca="false">IF($A57="","",IF(ISNUMBER('Raw data'!K57),'Raw data'!K57*100,""))</f>
        <v/>
      </c>
      <c r="T57" s="41" t="str">
        <f aca="false">IF($A57="","",IF(ISNUMBER('Raw data'!L57),'Raw data'!L57*100,""))</f>
        <v/>
      </c>
      <c r="U57" s="41" t="str">
        <f aca="false">IF($A57="","",IF(ISNUMBER('Raw data'!M57),'Raw data'!M57*100,""))</f>
        <v/>
      </c>
      <c r="V57" s="41" t="str">
        <f aca="false">IF($A57="","",IF(ISNUMBER('Raw data'!N57),'Raw data'!N57*100,""))</f>
        <v/>
      </c>
      <c r="W57" s="41" t="str">
        <f aca="false">IF($A57="","",IF(ISNUMBER('Raw data'!O57),'Raw data'!O57*100,""))</f>
        <v/>
      </c>
      <c r="X57" s="41" t="str">
        <f aca="false">IF($A57="","",IF(ISNUMBER('Raw data'!P57),'Raw data'!P57*100,""))</f>
        <v/>
      </c>
      <c r="Y57" s="43" t="str">
        <f aca="false">IF($A57="","",IF(AND(ISNUMBER('Raw data'!J57),ISNUMBER('Raw data'!H57),ISNUMBER('Raw data'!L57),ISNUMBER('Raw data'!O57)),ROUND(('Raw data'!J57*'Raw data'!L57+(1-'Raw data'!J57)*'Raw data'!O57-'Raw data'!H57)*100,1),""))</f>
        <v/>
      </c>
    </row>
    <row r="58" customFormat="false" ht="15" hidden="false" customHeight="false" outlineLevel="0" collapsed="false">
      <c r="A58" s="36" t="str">
        <f aca="false">IF(TRIM('Raw data'!A58)="","",TRIM('Raw data'!A58))</f>
        <v/>
      </c>
      <c r="B58" s="36" t="str">
        <f aca="false">IF($A58="","",IF('Raw data'!B58="",UPPER(LEFT($A58,3)),'Raw data'!B58))</f>
        <v/>
      </c>
      <c r="C58" s="36" t="str">
        <f aca="false">IF($A58="","",'Raw data'!C58)</f>
        <v/>
      </c>
      <c r="D58" s="37" t="str">
        <f aca="false">IF(OR($A58="",'Raw data'!E58=""),"",'Raw data'!E58)</f>
        <v/>
      </c>
      <c r="E58" s="37" t="str">
        <f aca="false">IF(OR($A58="",'Raw data'!Q58=""),"",'Raw data'!Q58)</f>
        <v/>
      </c>
      <c r="F58" s="41" t="str">
        <f aca="false">IF($A58="","",IF(ISNUMBER('Raw data'!G58),'Raw data'!G58*100,""))</f>
        <v/>
      </c>
      <c r="G58" s="41" t="str">
        <f aca="false">IF($A58="","",IF(ISNUMBER('Raw data'!H58),'Raw data'!H58*100,""))</f>
        <v/>
      </c>
      <c r="H58" s="41" t="str">
        <f aca="false">IF($A58="","",IF(ISNUMBER('Raw data'!I58),'Raw data'!I58*100,""))</f>
        <v/>
      </c>
      <c r="I58" s="41" t="str">
        <f aca="false">IF($A58="","",IF(ISNUMBER('Raw data'!R58),'Raw data'!R58*100,""))</f>
        <v/>
      </c>
      <c r="J58" s="41" t="str">
        <f aca="false">IF($A58="","",IF(ISNUMBER('Raw data'!S58),'Raw data'!S58*100,""))</f>
        <v/>
      </c>
      <c r="K58" s="41" t="str">
        <f aca="false">IF($A58="","",IF(ISNUMBER('Raw data'!T58),'Raw data'!T58*100,""))</f>
        <v/>
      </c>
      <c r="L58" s="41" t="str">
        <f aca="false">IF($A58="","",IF('Raw data'!V58&lt;&gt;"",'Raw data'!V58*100,IF(AND(N('Raw data'!E58)&gt;0,'Raw data'!Q58&lt;&gt;""),'Raw data'!Q58*(1+N('Raw data'!S58))/('Raw data'!E58*(1+N('Raw data'!H58)))*100,"")))</f>
        <v/>
      </c>
      <c r="M58" s="41" t="str">
        <f aca="false">IF($A58="","",IF('Raw data'!U58&lt;&gt;"",'Raw data'!U58*100,IF(AND(N('Raw data'!E58)&gt;0,'Raw data'!Q58&lt;&gt;""),'Raw data'!Q58/'Raw data'!E58*100,"")))</f>
        <v/>
      </c>
      <c r="N58" s="42" t="str">
        <f aca="false">IF($A58="","",IF(ISNUMBER('Raw data'!W58),'Raw data'!W58,""))</f>
        <v/>
      </c>
      <c r="O58" s="42" t="str">
        <f aca="false">IF($A58="","",IF(ISNUMBER('Raw data'!X58),'Raw data'!X58,""))</f>
        <v/>
      </c>
      <c r="P58" s="42" t="str">
        <f aca="false">IF($A58="","",IF(ISNUMBER('Raw data'!Y58),'Raw data'!Y58,""))</f>
        <v/>
      </c>
      <c r="Q58" s="42" t="str">
        <f aca="false">IF($A58="","",IF(ISNUMBER('Raw data'!Z58),'Raw data'!Z58,""))</f>
        <v/>
      </c>
      <c r="R58" s="42" t="str">
        <f aca="false">IF($A58="","",IF(ISNUMBER('Raw data'!J58),'Raw data'!J58*100,""))</f>
        <v/>
      </c>
      <c r="S58" s="41" t="str">
        <f aca="false">IF($A58="","",IF(ISNUMBER('Raw data'!K58),'Raw data'!K58*100,""))</f>
        <v/>
      </c>
      <c r="T58" s="41" t="str">
        <f aca="false">IF($A58="","",IF(ISNUMBER('Raw data'!L58),'Raw data'!L58*100,""))</f>
        <v/>
      </c>
      <c r="U58" s="41" t="str">
        <f aca="false">IF($A58="","",IF(ISNUMBER('Raw data'!M58),'Raw data'!M58*100,""))</f>
        <v/>
      </c>
      <c r="V58" s="41" t="str">
        <f aca="false">IF($A58="","",IF(ISNUMBER('Raw data'!N58),'Raw data'!N58*100,""))</f>
        <v/>
      </c>
      <c r="W58" s="41" t="str">
        <f aca="false">IF($A58="","",IF(ISNUMBER('Raw data'!O58),'Raw data'!O58*100,""))</f>
        <v/>
      </c>
      <c r="X58" s="41" t="str">
        <f aca="false">IF($A58="","",IF(ISNUMBER('Raw data'!P58),'Raw data'!P58*100,""))</f>
        <v/>
      </c>
      <c r="Y58" s="43" t="str">
        <f aca="false">IF($A58="","",IF(AND(ISNUMBER('Raw data'!J58),ISNUMBER('Raw data'!H58),ISNUMBER('Raw data'!L58),ISNUMBER('Raw data'!O58)),ROUND(('Raw data'!J58*'Raw data'!L58+(1-'Raw data'!J58)*'Raw data'!O58-'Raw data'!H58)*100,1),""))</f>
        <v/>
      </c>
    </row>
    <row r="59" customFormat="false" ht="15" hidden="false" customHeight="false" outlineLevel="0" collapsed="false">
      <c r="A59" s="36" t="str">
        <f aca="false">IF(TRIM('Raw data'!A59)="","",TRIM('Raw data'!A59))</f>
        <v/>
      </c>
      <c r="B59" s="36" t="str">
        <f aca="false">IF($A59="","",IF('Raw data'!B59="",UPPER(LEFT($A59,3)),'Raw data'!B59))</f>
        <v/>
      </c>
      <c r="C59" s="36" t="str">
        <f aca="false">IF($A59="","",'Raw data'!C59)</f>
        <v/>
      </c>
      <c r="D59" s="37" t="str">
        <f aca="false">IF(OR($A59="",'Raw data'!E59=""),"",'Raw data'!E59)</f>
        <v/>
      </c>
      <c r="E59" s="37" t="str">
        <f aca="false">IF(OR($A59="",'Raw data'!Q59=""),"",'Raw data'!Q59)</f>
        <v/>
      </c>
      <c r="F59" s="41" t="str">
        <f aca="false">IF($A59="","",IF(ISNUMBER('Raw data'!G59),'Raw data'!G59*100,""))</f>
        <v/>
      </c>
      <c r="G59" s="41" t="str">
        <f aca="false">IF($A59="","",IF(ISNUMBER('Raw data'!H59),'Raw data'!H59*100,""))</f>
        <v/>
      </c>
      <c r="H59" s="41" t="str">
        <f aca="false">IF($A59="","",IF(ISNUMBER('Raw data'!I59),'Raw data'!I59*100,""))</f>
        <v/>
      </c>
      <c r="I59" s="41" t="str">
        <f aca="false">IF($A59="","",IF(ISNUMBER('Raw data'!R59),'Raw data'!R59*100,""))</f>
        <v/>
      </c>
      <c r="J59" s="41" t="str">
        <f aca="false">IF($A59="","",IF(ISNUMBER('Raw data'!S59),'Raw data'!S59*100,""))</f>
        <v/>
      </c>
      <c r="K59" s="41" t="str">
        <f aca="false">IF($A59="","",IF(ISNUMBER('Raw data'!T59),'Raw data'!T59*100,""))</f>
        <v/>
      </c>
      <c r="L59" s="41" t="str">
        <f aca="false">IF($A59="","",IF('Raw data'!V59&lt;&gt;"",'Raw data'!V59*100,IF(AND(N('Raw data'!E59)&gt;0,'Raw data'!Q59&lt;&gt;""),'Raw data'!Q59*(1+N('Raw data'!S59))/('Raw data'!E59*(1+N('Raw data'!H59)))*100,"")))</f>
        <v/>
      </c>
      <c r="M59" s="41" t="str">
        <f aca="false">IF($A59="","",IF('Raw data'!U59&lt;&gt;"",'Raw data'!U59*100,IF(AND(N('Raw data'!E59)&gt;0,'Raw data'!Q59&lt;&gt;""),'Raw data'!Q59/'Raw data'!E59*100,"")))</f>
        <v/>
      </c>
      <c r="N59" s="42" t="str">
        <f aca="false">IF($A59="","",IF(ISNUMBER('Raw data'!W59),'Raw data'!W59,""))</f>
        <v/>
      </c>
      <c r="O59" s="42" t="str">
        <f aca="false">IF($A59="","",IF(ISNUMBER('Raw data'!X59),'Raw data'!X59,""))</f>
        <v/>
      </c>
      <c r="P59" s="42" t="str">
        <f aca="false">IF($A59="","",IF(ISNUMBER('Raw data'!Y59),'Raw data'!Y59,""))</f>
        <v/>
      </c>
      <c r="Q59" s="42" t="str">
        <f aca="false">IF($A59="","",IF(ISNUMBER('Raw data'!Z59),'Raw data'!Z59,""))</f>
        <v/>
      </c>
      <c r="R59" s="42" t="str">
        <f aca="false">IF($A59="","",IF(ISNUMBER('Raw data'!J59),'Raw data'!J59*100,""))</f>
        <v/>
      </c>
      <c r="S59" s="41" t="str">
        <f aca="false">IF($A59="","",IF(ISNUMBER('Raw data'!K59),'Raw data'!K59*100,""))</f>
        <v/>
      </c>
      <c r="T59" s="41" t="str">
        <f aca="false">IF($A59="","",IF(ISNUMBER('Raw data'!L59),'Raw data'!L59*100,""))</f>
        <v/>
      </c>
      <c r="U59" s="41" t="str">
        <f aca="false">IF($A59="","",IF(ISNUMBER('Raw data'!M59),'Raw data'!M59*100,""))</f>
        <v/>
      </c>
      <c r="V59" s="41" t="str">
        <f aca="false">IF($A59="","",IF(ISNUMBER('Raw data'!N59),'Raw data'!N59*100,""))</f>
        <v/>
      </c>
      <c r="W59" s="41" t="str">
        <f aca="false">IF($A59="","",IF(ISNUMBER('Raw data'!O59),'Raw data'!O59*100,""))</f>
        <v/>
      </c>
      <c r="X59" s="41" t="str">
        <f aca="false">IF($A59="","",IF(ISNUMBER('Raw data'!P59),'Raw data'!P59*100,""))</f>
        <v/>
      </c>
      <c r="Y59" s="43" t="str">
        <f aca="false">IF($A59="","",IF(AND(ISNUMBER('Raw data'!J59),ISNUMBER('Raw data'!H59),ISNUMBER('Raw data'!L59),ISNUMBER('Raw data'!O59)),ROUND(('Raw data'!J59*'Raw data'!L59+(1-'Raw data'!J59)*'Raw data'!O59-'Raw data'!H59)*100,1),""))</f>
        <v/>
      </c>
    </row>
    <row r="60" customFormat="false" ht="15" hidden="false" customHeight="false" outlineLevel="0" collapsed="false">
      <c r="A60" s="36" t="str">
        <f aca="false">IF(TRIM('Raw data'!A60)="","",TRIM('Raw data'!A60))</f>
        <v/>
      </c>
      <c r="B60" s="36" t="str">
        <f aca="false">IF($A60="","",IF('Raw data'!B60="",UPPER(LEFT($A60,3)),'Raw data'!B60))</f>
        <v/>
      </c>
      <c r="C60" s="36" t="str">
        <f aca="false">IF($A60="","",'Raw data'!C60)</f>
        <v/>
      </c>
      <c r="D60" s="37" t="str">
        <f aca="false">IF(OR($A60="",'Raw data'!E60=""),"",'Raw data'!E60)</f>
        <v/>
      </c>
      <c r="E60" s="37" t="str">
        <f aca="false">IF(OR($A60="",'Raw data'!Q60=""),"",'Raw data'!Q60)</f>
        <v/>
      </c>
      <c r="F60" s="41" t="str">
        <f aca="false">IF($A60="","",IF(ISNUMBER('Raw data'!G60),'Raw data'!G60*100,""))</f>
        <v/>
      </c>
      <c r="G60" s="41" t="str">
        <f aca="false">IF($A60="","",IF(ISNUMBER('Raw data'!H60),'Raw data'!H60*100,""))</f>
        <v/>
      </c>
      <c r="H60" s="41" t="str">
        <f aca="false">IF($A60="","",IF(ISNUMBER('Raw data'!I60),'Raw data'!I60*100,""))</f>
        <v/>
      </c>
      <c r="I60" s="41" t="str">
        <f aca="false">IF($A60="","",IF(ISNUMBER('Raw data'!R60),'Raw data'!R60*100,""))</f>
        <v/>
      </c>
      <c r="J60" s="41" t="str">
        <f aca="false">IF($A60="","",IF(ISNUMBER('Raw data'!S60),'Raw data'!S60*100,""))</f>
        <v/>
      </c>
      <c r="K60" s="41" t="str">
        <f aca="false">IF($A60="","",IF(ISNUMBER('Raw data'!T60),'Raw data'!T60*100,""))</f>
        <v/>
      </c>
      <c r="L60" s="41" t="str">
        <f aca="false">IF($A60="","",IF('Raw data'!V60&lt;&gt;"",'Raw data'!V60*100,IF(AND(N('Raw data'!E60)&gt;0,'Raw data'!Q60&lt;&gt;""),'Raw data'!Q60*(1+N('Raw data'!S60))/('Raw data'!E60*(1+N('Raw data'!H60)))*100,"")))</f>
        <v/>
      </c>
      <c r="M60" s="41" t="str">
        <f aca="false">IF($A60="","",IF('Raw data'!U60&lt;&gt;"",'Raw data'!U60*100,IF(AND(N('Raw data'!E60)&gt;0,'Raw data'!Q60&lt;&gt;""),'Raw data'!Q60/'Raw data'!E60*100,"")))</f>
        <v/>
      </c>
      <c r="N60" s="42" t="str">
        <f aca="false">IF($A60="","",IF(ISNUMBER('Raw data'!W60),'Raw data'!W60,""))</f>
        <v/>
      </c>
      <c r="O60" s="42" t="str">
        <f aca="false">IF($A60="","",IF(ISNUMBER('Raw data'!X60),'Raw data'!X60,""))</f>
        <v/>
      </c>
      <c r="P60" s="42" t="str">
        <f aca="false">IF($A60="","",IF(ISNUMBER('Raw data'!Y60),'Raw data'!Y60,""))</f>
        <v/>
      </c>
      <c r="Q60" s="42" t="str">
        <f aca="false">IF($A60="","",IF(ISNUMBER('Raw data'!Z60),'Raw data'!Z60,""))</f>
        <v/>
      </c>
      <c r="R60" s="42" t="str">
        <f aca="false">IF($A60="","",IF(ISNUMBER('Raw data'!J60),'Raw data'!J60*100,""))</f>
        <v/>
      </c>
      <c r="S60" s="41" t="str">
        <f aca="false">IF($A60="","",IF(ISNUMBER('Raw data'!K60),'Raw data'!K60*100,""))</f>
        <v/>
      </c>
      <c r="T60" s="41" t="str">
        <f aca="false">IF($A60="","",IF(ISNUMBER('Raw data'!L60),'Raw data'!L60*100,""))</f>
        <v/>
      </c>
      <c r="U60" s="41" t="str">
        <f aca="false">IF($A60="","",IF(ISNUMBER('Raw data'!M60),'Raw data'!M60*100,""))</f>
        <v/>
      </c>
      <c r="V60" s="41" t="str">
        <f aca="false">IF($A60="","",IF(ISNUMBER('Raw data'!N60),'Raw data'!N60*100,""))</f>
        <v/>
      </c>
      <c r="W60" s="41" t="str">
        <f aca="false">IF($A60="","",IF(ISNUMBER('Raw data'!O60),'Raw data'!O60*100,""))</f>
        <v/>
      </c>
      <c r="X60" s="41" t="str">
        <f aca="false">IF($A60="","",IF(ISNUMBER('Raw data'!P60),'Raw data'!P60*100,""))</f>
        <v/>
      </c>
      <c r="Y60" s="43" t="str">
        <f aca="false">IF($A60="","",IF(AND(ISNUMBER('Raw data'!J60),ISNUMBER('Raw data'!H60),ISNUMBER('Raw data'!L60),ISNUMBER('Raw data'!O60)),ROUND(('Raw data'!J60*'Raw data'!L60+(1-'Raw data'!J60)*'Raw data'!O60-'Raw data'!H60)*100,1),""))</f>
        <v/>
      </c>
    </row>
    <row r="61" customFormat="false" ht="15" hidden="false" customHeight="false" outlineLevel="0" collapsed="false">
      <c r="A61" s="36" t="str">
        <f aca="false">IF(TRIM('Raw data'!A61)="","",TRIM('Raw data'!A61))</f>
        <v/>
      </c>
      <c r="B61" s="36" t="str">
        <f aca="false">IF($A61="","",IF('Raw data'!B61="",UPPER(LEFT($A61,3)),'Raw data'!B61))</f>
        <v/>
      </c>
      <c r="C61" s="36" t="str">
        <f aca="false">IF($A61="","",'Raw data'!C61)</f>
        <v/>
      </c>
      <c r="D61" s="37" t="str">
        <f aca="false">IF(OR($A61="",'Raw data'!E61=""),"",'Raw data'!E61)</f>
        <v/>
      </c>
      <c r="E61" s="37" t="str">
        <f aca="false">IF(OR($A61="",'Raw data'!Q61=""),"",'Raw data'!Q61)</f>
        <v/>
      </c>
      <c r="F61" s="41" t="str">
        <f aca="false">IF($A61="","",IF(ISNUMBER('Raw data'!G61),'Raw data'!G61*100,""))</f>
        <v/>
      </c>
      <c r="G61" s="41" t="str">
        <f aca="false">IF($A61="","",IF(ISNUMBER('Raw data'!H61),'Raw data'!H61*100,""))</f>
        <v/>
      </c>
      <c r="H61" s="41" t="str">
        <f aca="false">IF($A61="","",IF(ISNUMBER('Raw data'!I61),'Raw data'!I61*100,""))</f>
        <v/>
      </c>
      <c r="I61" s="41" t="str">
        <f aca="false">IF($A61="","",IF(ISNUMBER('Raw data'!R61),'Raw data'!R61*100,""))</f>
        <v/>
      </c>
      <c r="J61" s="41" t="str">
        <f aca="false">IF($A61="","",IF(ISNUMBER('Raw data'!S61),'Raw data'!S61*100,""))</f>
        <v/>
      </c>
      <c r="K61" s="41" t="str">
        <f aca="false">IF($A61="","",IF(ISNUMBER('Raw data'!T61),'Raw data'!T61*100,""))</f>
        <v/>
      </c>
      <c r="L61" s="41" t="str">
        <f aca="false">IF($A61="","",IF('Raw data'!V61&lt;&gt;"",'Raw data'!V61*100,IF(AND(N('Raw data'!E61)&gt;0,'Raw data'!Q61&lt;&gt;""),'Raw data'!Q61*(1+N('Raw data'!S61))/('Raw data'!E61*(1+N('Raw data'!H61)))*100,"")))</f>
        <v/>
      </c>
      <c r="M61" s="41" t="str">
        <f aca="false">IF($A61="","",IF('Raw data'!U61&lt;&gt;"",'Raw data'!U61*100,IF(AND(N('Raw data'!E61)&gt;0,'Raw data'!Q61&lt;&gt;""),'Raw data'!Q61/'Raw data'!E61*100,"")))</f>
        <v/>
      </c>
      <c r="N61" s="42" t="str">
        <f aca="false">IF($A61="","",IF(ISNUMBER('Raw data'!W61),'Raw data'!W61,""))</f>
        <v/>
      </c>
      <c r="O61" s="42" t="str">
        <f aca="false">IF($A61="","",IF(ISNUMBER('Raw data'!X61),'Raw data'!X61,""))</f>
        <v/>
      </c>
      <c r="P61" s="42" t="str">
        <f aca="false">IF($A61="","",IF(ISNUMBER('Raw data'!Y61),'Raw data'!Y61,""))</f>
        <v/>
      </c>
      <c r="Q61" s="42" t="str">
        <f aca="false">IF($A61="","",IF(ISNUMBER('Raw data'!Z61),'Raw data'!Z61,""))</f>
        <v/>
      </c>
      <c r="R61" s="42" t="str">
        <f aca="false">IF($A61="","",IF(ISNUMBER('Raw data'!J61),'Raw data'!J61*100,""))</f>
        <v/>
      </c>
      <c r="S61" s="41" t="str">
        <f aca="false">IF($A61="","",IF(ISNUMBER('Raw data'!K61),'Raw data'!K61*100,""))</f>
        <v/>
      </c>
      <c r="T61" s="41" t="str">
        <f aca="false">IF($A61="","",IF(ISNUMBER('Raw data'!L61),'Raw data'!L61*100,""))</f>
        <v/>
      </c>
      <c r="U61" s="41" t="str">
        <f aca="false">IF($A61="","",IF(ISNUMBER('Raw data'!M61),'Raw data'!M61*100,""))</f>
        <v/>
      </c>
      <c r="V61" s="41" t="str">
        <f aca="false">IF($A61="","",IF(ISNUMBER('Raw data'!N61),'Raw data'!N61*100,""))</f>
        <v/>
      </c>
      <c r="W61" s="41" t="str">
        <f aca="false">IF($A61="","",IF(ISNUMBER('Raw data'!O61),'Raw data'!O61*100,""))</f>
        <v/>
      </c>
      <c r="X61" s="41" t="str">
        <f aca="false">IF($A61="","",IF(ISNUMBER('Raw data'!P61),'Raw data'!P61*100,""))</f>
        <v/>
      </c>
      <c r="Y61" s="43" t="str">
        <f aca="false">IF($A61="","",IF(AND(ISNUMBER('Raw data'!J61),ISNUMBER('Raw data'!H61),ISNUMBER('Raw data'!L61),ISNUMBER('Raw data'!O61)),ROUND(('Raw data'!J61*'Raw data'!L61+(1-'Raw data'!J61)*'Raw data'!O61-'Raw data'!H61)*100,1),""))</f>
        <v/>
      </c>
    </row>
    <row r="62" customFormat="false" ht="15" hidden="false" customHeight="false" outlineLevel="0" collapsed="false">
      <c r="A62" s="36" t="str">
        <f aca="false">IF(TRIM('Raw data'!A62)="","",TRIM('Raw data'!A62))</f>
        <v/>
      </c>
      <c r="B62" s="36" t="str">
        <f aca="false">IF($A62="","",IF('Raw data'!B62="",UPPER(LEFT($A62,3)),'Raw data'!B62))</f>
        <v/>
      </c>
      <c r="C62" s="36" t="str">
        <f aca="false">IF($A62="","",'Raw data'!C62)</f>
        <v/>
      </c>
      <c r="D62" s="37" t="str">
        <f aca="false">IF(OR($A62="",'Raw data'!E62=""),"",'Raw data'!E62)</f>
        <v/>
      </c>
      <c r="E62" s="37" t="str">
        <f aca="false">IF(OR($A62="",'Raw data'!Q62=""),"",'Raw data'!Q62)</f>
        <v/>
      </c>
      <c r="F62" s="41" t="str">
        <f aca="false">IF($A62="","",IF(ISNUMBER('Raw data'!G62),'Raw data'!G62*100,""))</f>
        <v/>
      </c>
      <c r="G62" s="41" t="str">
        <f aca="false">IF($A62="","",IF(ISNUMBER('Raw data'!H62),'Raw data'!H62*100,""))</f>
        <v/>
      </c>
      <c r="H62" s="41" t="str">
        <f aca="false">IF($A62="","",IF(ISNUMBER('Raw data'!I62),'Raw data'!I62*100,""))</f>
        <v/>
      </c>
      <c r="I62" s="41" t="str">
        <f aca="false">IF($A62="","",IF(ISNUMBER('Raw data'!R62),'Raw data'!R62*100,""))</f>
        <v/>
      </c>
      <c r="J62" s="41" t="str">
        <f aca="false">IF($A62="","",IF(ISNUMBER('Raw data'!S62),'Raw data'!S62*100,""))</f>
        <v/>
      </c>
      <c r="K62" s="41" t="str">
        <f aca="false">IF($A62="","",IF(ISNUMBER('Raw data'!T62),'Raw data'!T62*100,""))</f>
        <v/>
      </c>
      <c r="L62" s="41" t="str">
        <f aca="false">IF($A62="","",IF('Raw data'!V62&lt;&gt;"",'Raw data'!V62*100,IF(AND(N('Raw data'!E62)&gt;0,'Raw data'!Q62&lt;&gt;""),'Raw data'!Q62*(1+N('Raw data'!S62))/('Raw data'!E62*(1+N('Raw data'!H62)))*100,"")))</f>
        <v/>
      </c>
      <c r="M62" s="41" t="str">
        <f aca="false">IF($A62="","",IF('Raw data'!U62&lt;&gt;"",'Raw data'!U62*100,IF(AND(N('Raw data'!E62)&gt;0,'Raw data'!Q62&lt;&gt;""),'Raw data'!Q62/'Raw data'!E62*100,"")))</f>
        <v/>
      </c>
      <c r="N62" s="42" t="str">
        <f aca="false">IF($A62="","",IF(ISNUMBER('Raw data'!W62),'Raw data'!W62,""))</f>
        <v/>
      </c>
      <c r="O62" s="42" t="str">
        <f aca="false">IF($A62="","",IF(ISNUMBER('Raw data'!X62),'Raw data'!X62,""))</f>
        <v/>
      </c>
      <c r="P62" s="42" t="str">
        <f aca="false">IF($A62="","",IF(ISNUMBER('Raw data'!Y62),'Raw data'!Y62,""))</f>
        <v/>
      </c>
      <c r="Q62" s="42" t="str">
        <f aca="false">IF($A62="","",IF(ISNUMBER('Raw data'!Z62),'Raw data'!Z62,""))</f>
        <v/>
      </c>
      <c r="R62" s="42" t="str">
        <f aca="false">IF($A62="","",IF(ISNUMBER('Raw data'!J62),'Raw data'!J62*100,""))</f>
        <v/>
      </c>
      <c r="S62" s="41" t="str">
        <f aca="false">IF($A62="","",IF(ISNUMBER('Raw data'!K62),'Raw data'!K62*100,""))</f>
        <v/>
      </c>
      <c r="T62" s="41" t="str">
        <f aca="false">IF($A62="","",IF(ISNUMBER('Raw data'!L62),'Raw data'!L62*100,""))</f>
        <v/>
      </c>
      <c r="U62" s="41" t="str">
        <f aca="false">IF($A62="","",IF(ISNUMBER('Raw data'!M62),'Raw data'!M62*100,""))</f>
        <v/>
      </c>
      <c r="V62" s="41" t="str">
        <f aca="false">IF($A62="","",IF(ISNUMBER('Raw data'!N62),'Raw data'!N62*100,""))</f>
        <v/>
      </c>
      <c r="W62" s="41" t="str">
        <f aca="false">IF($A62="","",IF(ISNUMBER('Raw data'!O62),'Raw data'!O62*100,""))</f>
        <v/>
      </c>
      <c r="X62" s="41" t="str">
        <f aca="false">IF($A62="","",IF(ISNUMBER('Raw data'!P62),'Raw data'!P62*100,""))</f>
        <v/>
      </c>
      <c r="Y62" s="43" t="str">
        <f aca="false">IF($A62="","",IF(AND(ISNUMBER('Raw data'!J62),ISNUMBER('Raw data'!H62),ISNUMBER('Raw data'!L62),ISNUMBER('Raw data'!O62)),ROUND(('Raw data'!J62*'Raw data'!L62+(1-'Raw data'!J62)*'Raw data'!O62-'Raw data'!H62)*100,1),""))</f>
        <v/>
      </c>
    </row>
    <row r="63" customFormat="false" ht="15" hidden="false" customHeight="false" outlineLevel="0" collapsed="false">
      <c r="A63" s="36" t="str">
        <f aca="false">IF(TRIM('Raw data'!A63)="","",TRIM('Raw data'!A63))</f>
        <v/>
      </c>
      <c r="B63" s="36" t="str">
        <f aca="false">IF($A63="","",IF('Raw data'!B63="",UPPER(LEFT($A63,3)),'Raw data'!B63))</f>
        <v/>
      </c>
      <c r="C63" s="36" t="str">
        <f aca="false">IF($A63="","",'Raw data'!C63)</f>
        <v/>
      </c>
      <c r="D63" s="37" t="str">
        <f aca="false">IF(OR($A63="",'Raw data'!E63=""),"",'Raw data'!E63)</f>
        <v/>
      </c>
      <c r="E63" s="37" t="str">
        <f aca="false">IF(OR($A63="",'Raw data'!Q63=""),"",'Raw data'!Q63)</f>
        <v/>
      </c>
      <c r="F63" s="41" t="str">
        <f aca="false">IF($A63="","",IF(ISNUMBER('Raw data'!G63),'Raw data'!G63*100,""))</f>
        <v/>
      </c>
      <c r="G63" s="41" t="str">
        <f aca="false">IF($A63="","",IF(ISNUMBER('Raw data'!H63),'Raw data'!H63*100,""))</f>
        <v/>
      </c>
      <c r="H63" s="41" t="str">
        <f aca="false">IF($A63="","",IF(ISNUMBER('Raw data'!I63),'Raw data'!I63*100,""))</f>
        <v/>
      </c>
      <c r="I63" s="41" t="str">
        <f aca="false">IF($A63="","",IF(ISNUMBER('Raw data'!R63),'Raw data'!R63*100,""))</f>
        <v/>
      </c>
      <c r="J63" s="41" t="str">
        <f aca="false">IF($A63="","",IF(ISNUMBER('Raw data'!S63),'Raw data'!S63*100,""))</f>
        <v/>
      </c>
      <c r="K63" s="41" t="str">
        <f aca="false">IF($A63="","",IF(ISNUMBER('Raw data'!T63),'Raw data'!T63*100,""))</f>
        <v/>
      </c>
      <c r="L63" s="41" t="str">
        <f aca="false">IF($A63="","",IF('Raw data'!V63&lt;&gt;"",'Raw data'!V63*100,IF(AND(N('Raw data'!E63)&gt;0,'Raw data'!Q63&lt;&gt;""),'Raw data'!Q63*(1+N('Raw data'!S63))/('Raw data'!E63*(1+N('Raw data'!H63)))*100,"")))</f>
        <v/>
      </c>
      <c r="M63" s="41" t="str">
        <f aca="false">IF($A63="","",IF('Raw data'!U63&lt;&gt;"",'Raw data'!U63*100,IF(AND(N('Raw data'!E63)&gt;0,'Raw data'!Q63&lt;&gt;""),'Raw data'!Q63/'Raw data'!E63*100,"")))</f>
        <v/>
      </c>
      <c r="N63" s="42" t="str">
        <f aca="false">IF($A63="","",IF(ISNUMBER('Raw data'!W63),'Raw data'!W63,""))</f>
        <v/>
      </c>
      <c r="O63" s="42" t="str">
        <f aca="false">IF($A63="","",IF(ISNUMBER('Raw data'!X63),'Raw data'!X63,""))</f>
        <v/>
      </c>
      <c r="P63" s="42" t="str">
        <f aca="false">IF($A63="","",IF(ISNUMBER('Raw data'!Y63),'Raw data'!Y63,""))</f>
        <v/>
      </c>
      <c r="Q63" s="42" t="str">
        <f aca="false">IF($A63="","",IF(ISNUMBER('Raw data'!Z63),'Raw data'!Z63,""))</f>
        <v/>
      </c>
      <c r="R63" s="42" t="str">
        <f aca="false">IF($A63="","",IF(ISNUMBER('Raw data'!J63),'Raw data'!J63*100,""))</f>
        <v/>
      </c>
      <c r="S63" s="41" t="str">
        <f aca="false">IF($A63="","",IF(ISNUMBER('Raw data'!K63),'Raw data'!K63*100,""))</f>
        <v/>
      </c>
      <c r="T63" s="41" t="str">
        <f aca="false">IF($A63="","",IF(ISNUMBER('Raw data'!L63),'Raw data'!L63*100,""))</f>
        <v/>
      </c>
      <c r="U63" s="41" t="str">
        <f aca="false">IF($A63="","",IF(ISNUMBER('Raw data'!M63),'Raw data'!M63*100,""))</f>
        <v/>
      </c>
      <c r="V63" s="41" t="str">
        <f aca="false">IF($A63="","",IF(ISNUMBER('Raw data'!N63),'Raw data'!N63*100,""))</f>
        <v/>
      </c>
      <c r="W63" s="41" t="str">
        <f aca="false">IF($A63="","",IF(ISNUMBER('Raw data'!O63),'Raw data'!O63*100,""))</f>
        <v/>
      </c>
      <c r="X63" s="41" t="str">
        <f aca="false">IF($A63="","",IF(ISNUMBER('Raw data'!P63),'Raw data'!P63*100,""))</f>
        <v/>
      </c>
      <c r="Y63" s="43" t="str">
        <f aca="false">IF($A63="","",IF(AND(ISNUMBER('Raw data'!J63),ISNUMBER('Raw data'!H63),ISNUMBER('Raw data'!L63),ISNUMBER('Raw data'!O63)),ROUND(('Raw data'!J63*'Raw data'!L63+(1-'Raw data'!J63)*'Raw data'!O63-'Raw data'!H63)*100,1),""))</f>
        <v/>
      </c>
    </row>
    <row r="64" customFormat="false" ht="15" hidden="false" customHeight="false" outlineLevel="0" collapsed="false">
      <c r="A64" s="36" t="str">
        <f aca="false">IF(TRIM('Raw data'!A64)="","",TRIM('Raw data'!A64))</f>
        <v/>
      </c>
      <c r="B64" s="36" t="str">
        <f aca="false">IF($A64="","",IF('Raw data'!B64="",UPPER(LEFT($A64,3)),'Raw data'!B64))</f>
        <v/>
      </c>
      <c r="C64" s="36" t="str">
        <f aca="false">IF($A64="","",'Raw data'!C64)</f>
        <v/>
      </c>
      <c r="D64" s="37" t="str">
        <f aca="false">IF(OR($A64="",'Raw data'!E64=""),"",'Raw data'!E64)</f>
        <v/>
      </c>
      <c r="E64" s="37" t="str">
        <f aca="false">IF(OR($A64="",'Raw data'!Q64=""),"",'Raw data'!Q64)</f>
        <v/>
      </c>
      <c r="F64" s="41" t="str">
        <f aca="false">IF($A64="","",IF(ISNUMBER('Raw data'!G64),'Raw data'!G64*100,""))</f>
        <v/>
      </c>
      <c r="G64" s="41" t="str">
        <f aca="false">IF($A64="","",IF(ISNUMBER('Raw data'!H64),'Raw data'!H64*100,""))</f>
        <v/>
      </c>
      <c r="H64" s="41" t="str">
        <f aca="false">IF($A64="","",IF(ISNUMBER('Raw data'!I64),'Raw data'!I64*100,""))</f>
        <v/>
      </c>
      <c r="I64" s="41" t="str">
        <f aca="false">IF($A64="","",IF(ISNUMBER('Raw data'!R64),'Raw data'!R64*100,""))</f>
        <v/>
      </c>
      <c r="J64" s="41" t="str">
        <f aca="false">IF($A64="","",IF(ISNUMBER('Raw data'!S64),'Raw data'!S64*100,""))</f>
        <v/>
      </c>
      <c r="K64" s="41" t="str">
        <f aca="false">IF($A64="","",IF(ISNUMBER('Raw data'!T64),'Raw data'!T64*100,""))</f>
        <v/>
      </c>
      <c r="L64" s="41" t="str">
        <f aca="false">IF($A64="","",IF('Raw data'!V64&lt;&gt;"",'Raw data'!V64*100,IF(AND(N('Raw data'!E64)&gt;0,'Raw data'!Q64&lt;&gt;""),'Raw data'!Q64*(1+N('Raw data'!S64))/('Raw data'!E64*(1+N('Raw data'!H64)))*100,"")))</f>
        <v/>
      </c>
      <c r="M64" s="41" t="str">
        <f aca="false">IF($A64="","",IF('Raw data'!U64&lt;&gt;"",'Raw data'!U64*100,IF(AND(N('Raw data'!E64)&gt;0,'Raw data'!Q64&lt;&gt;""),'Raw data'!Q64/'Raw data'!E64*100,"")))</f>
        <v/>
      </c>
      <c r="N64" s="42" t="str">
        <f aca="false">IF($A64="","",IF(ISNUMBER('Raw data'!W64),'Raw data'!W64,""))</f>
        <v/>
      </c>
      <c r="O64" s="42" t="str">
        <f aca="false">IF($A64="","",IF(ISNUMBER('Raw data'!X64),'Raw data'!X64,""))</f>
        <v/>
      </c>
      <c r="P64" s="42" t="str">
        <f aca="false">IF($A64="","",IF(ISNUMBER('Raw data'!Y64),'Raw data'!Y64,""))</f>
        <v/>
      </c>
      <c r="Q64" s="42" t="str">
        <f aca="false">IF($A64="","",IF(ISNUMBER('Raw data'!Z64),'Raw data'!Z64,""))</f>
        <v/>
      </c>
      <c r="R64" s="42" t="str">
        <f aca="false">IF($A64="","",IF(ISNUMBER('Raw data'!J64),'Raw data'!J64*100,""))</f>
        <v/>
      </c>
      <c r="S64" s="41" t="str">
        <f aca="false">IF($A64="","",IF(ISNUMBER('Raw data'!K64),'Raw data'!K64*100,""))</f>
        <v/>
      </c>
      <c r="T64" s="41" t="str">
        <f aca="false">IF($A64="","",IF(ISNUMBER('Raw data'!L64),'Raw data'!L64*100,""))</f>
        <v/>
      </c>
      <c r="U64" s="41" t="str">
        <f aca="false">IF($A64="","",IF(ISNUMBER('Raw data'!M64),'Raw data'!M64*100,""))</f>
        <v/>
      </c>
      <c r="V64" s="41" t="str">
        <f aca="false">IF($A64="","",IF(ISNUMBER('Raw data'!N64),'Raw data'!N64*100,""))</f>
        <v/>
      </c>
      <c r="W64" s="41" t="str">
        <f aca="false">IF($A64="","",IF(ISNUMBER('Raw data'!O64),'Raw data'!O64*100,""))</f>
        <v/>
      </c>
      <c r="X64" s="41" t="str">
        <f aca="false">IF($A64="","",IF(ISNUMBER('Raw data'!P64),'Raw data'!P64*100,""))</f>
        <v/>
      </c>
      <c r="Y64" s="43" t="str">
        <f aca="false">IF($A64="","",IF(AND(ISNUMBER('Raw data'!J64),ISNUMBER('Raw data'!H64),ISNUMBER('Raw data'!L64),ISNUMBER('Raw data'!O64)),ROUND(('Raw data'!J64*'Raw data'!L64+(1-'Raw data'!J64)*'Raw data'!O64-'Raw data'!H64)*100,1),""))</f>
        <v/>
      </c>
    </row>
    <row r="65" customFormat="false" ht="15" hidden="false" customHeight="false" outlineLevel="0" collapsed="false">
      <c r="A65" s="36" t="str">
        <f aca="false">IF(TRIM('Raw data'!A65)="","",TRIM('Raw data'!A65))</f>
        <v/>
      </c>
      <c r="B65" s="36" t="str">
        <f aca="false">IF($A65="","",IF('Raw data'!B65="",UPPER(LEFT($A65,3)),'Raw data'!B65))</f>
        <v/>
      </c>
      <c r="C65" s="36" t="str">
        <f aca="false">IF($A65="","",'Raw data'!C65)</f>
        <v/>
      </c>
      <c r="D65" s="37" t="str">
        <f aca="false">IF(OR($A65="",'Raw data'!E65=""),"",'Raw data'!E65)</f>
        <v/>
      </c>
      <c r="E65" s="37" t="str">
        <f aca="false">IF(OR($A65="",'Raw data'!Q65=""),"",'Raw data'!Q65)</f>
        <v/>
      </c>
      <c r="F65" s="41" t="str">
        <f aca="false">IF($A65="","",IF(ISNUMBER('Raw data'!G65),'Raw data'!G65*100,""))</f>
        <v/>
      </c>
      <c r="G65" s="41" t="str">
        <f aca="false">IF($A65="","",IF(ISNUMBER('Raw data'!H65),'Raw data'!H65*100,""))</f>
        <v/>
      </c>
      <c r="H65" s="41" t="str">
        <f aca="false">IF($A65="","",IF(ISNUMBER('Raw data'!I65),'Raw data'!I65*100,""))</f>
        <v/>
      </c>
      <c r="I65" s="41" t="str">
        <f aca="false">IF($A65="","",IF(ISNUMBER('Raw data'!R65),'Raw data'!R65*100,""))</f>
        <v/>
      </c>
      <c r="J65" s="41" t="str">
        <f aca="false">IF($A65="","",IF(ISNUMBER('Raw data'!S65),'Raw data'!S65*100,""))</f>
        <v/>
      </c>
      <c r="K65" s="41" t="str">
        <f aca="false">IF($A65="","",IF(ISNUMBER('Raw data'!T65),'Raw data'!T65*100,""))</f>
        <v/>
      </c>
      <c r="L65" s="41" t="str">
        <f aca="false">IF($A65="","",IF('Raw data'!V65&lt;&gt;"",'Raw data'!V65*100,IF(AND(N('Raw data'!E65)&gt;0,'Raw data'!Q65&lt;&gt;""),'Raw data'!Q65*(1+N('Raw data'!S65))/('Raw data'!E65*(1+N('Raw data'!H65)))*100,"")))</f>
        <v/>
      </c>
      <c r="M65" s="41" t="str">
        <f aca="false">IF($A65="","",IF('Raw data'!U65&lt;&gt;"",'Raw data'!U65*100,IF(AND(N('Raw data'!E65)&gt;0,'Raw data'!Q65&lt;&gt;""),'Raw data'!Q65/'Raw data'!E65*100,"")))</f>
        <v/>
      </c>
      <c r="N65" s="42" t="str">
        <f aca="false">IF($A65="","",IF(ISNUMBER('Raw data'!W65),'Raw data'!W65,""))</f>
        <v/>
      </c>
      <c r="O65" s="42" t="str">
        <f aca="false">IF($A65="","",IF(ISNUMBER('Raw data'!X65),'Raw data'!X65,""))</f>
        <v/>
      </c>
      <c r="P65" s="42" t="str">
        <f aca="false">IF($A65="","",IF(ISNUMBER('Raw data'!Y65),'Raw data'!Y65,""))</f>
        <v/>
      </c>
      <c r="Q65" s="42" t="str">
        <f aca="false">IF($A65="","",IF(ISNUMBER('Raw data'!Z65),'Raw data'!Z65,""))</f>
        <v/>
      </c>
      <c r="R65" s="42" t="str">
        <f aca="false">IF($A65="","",IF(ISNUMBER('Raw data'!J65),'Raw data'!J65*100,""))</f>
        <v/>
      </c>
      <c r="S65" s="41" t="str">
        <f aca="false">IF($A65="","",IF(ISNUMBER('Raw data'!K65),'Raw data'!K65*100,""))</f>
        <v/>
      </c>
      <c r="T65" s="41" t="str">
        <f aca="false">IF($A65="","",IF(ISNUMBER('Raw data'!L65),'Raw data'!L65*100,""))</f>
        <v/>
      </c>
      <c r="U65" s="41" t="str">
        <f aca="false">IF($A65="","",IF(ISNUMBER('Raw data'!M65),'Raw data'!M65*100,""))</f>
        <v/>
      </c>
      <c r="V65" s="41" t="str">
        <f aca="false">IF($A65="","",IF(ISNUMBER('Raw data'!N65),'Raw data'!N65*100,""))</f>
        <v/>
      </c>
      <c r="W65" s="41" t="str">
        <f aca="false">IF($A65="","",IF(ISNUMBER('Raw data'!O65),'Raw data'!O65*100,""))</f>
        <v/>
      </c>
      <c r="X65" s="41" t="str">
        <f aca="false">IF($A65="","",IF(ISNUMBER('Raw data'!P65),'Raw data'!P65*100,""))</f>
        <v/>
      </c>
      <c r="Y65" s="43" t="str">
        <f aca="false">IF($A65="","",IF(AND(ISNUMBER('Raw data'!J65),ISNUMBER('Raw data'!H65),ISNUMBER('Raw data'!L65),ISNUMBER('Raw data'!O65)),ROUND(('Raw data'!J65*'Raw data'!L65+(1-'Raw data'!J65)*'Raw data'!O65-'Raw data'!H65)*100,1),""))</f>
        <v/>
      </c>
    </row>
  </sheetData>
  <conditionalFormatting sqref="Y6:Y65">
    <cfRule type="expression" priority="2" aboveAverage="0" equalAverage="0" bottom="0" percent="0" rank="0" text="" dxfId="0">
      <formula>AND(ISNUMBER(Y6),ABS(Y6)&gt;0.5)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2026-10-09T12:02:07Z</dcterms:created>
  <dc:creator>openpyxl</dc:creator>
  <dc:description/>
  <dc:language>en-US</dc:language>
  <cp:lastModifiedBy/>
  <dcterms:modified xsi:type="dcterms:W3CDTF">2026-10-09T12:02:08Z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